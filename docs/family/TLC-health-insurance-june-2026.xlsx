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nottinghaminsurance1-my.sharepoint.com/personal/jsensi_nottinghaminsurance_com/Documents/BENEFITS/BENEFITS DEPT/________Dana Client Folders/2026/06-2026/TLC II LLC (Tuckerton Lumber)/"/>
    </mc:Choice>
  </mc:AlternateContent>
  <xr:revisionPtr revIDLastSave="12" documentId="8_{2B3F9F86-DAAB-4FD6-B6A1-545029C899AF}" xr6:coauthVersionLast="47" xr6:coauthVersionMax="47" xr10:uidLastSave="{C65FD331-9CAB-5DD1-A096-50E851D7B28F}"/>
  <bookViews>
    <workbookView xWindow="60" yWindow="315" windowWidth="28200" windowHeight="15225" tabRatio="871" xr2:uid="{6988E2CA-0234-E34E-976B-1B3F66DA4C8A}"/>
  </bookViews>
  <sheets>
    <sheet name="Coversheet" sheetId="1" r:id="rId1"/>
    <sheet name="Summary" sheetId="24" r:id="rId2"/>
    <sheet name="Medical Current Plan 1~a" sheetId="77" r:id="rId3"/>
    <sheet name="Medical Current Plan 1~b" sheetId="78" r:id="rId4"/>
    <sheet name="Medical Current Plan 1~c" sheetId="79" r:id="rId5"/>
    <sheet name="Medical Current Plan 1~d" sheetId="80" r:id="rId6"/>
    <sheet name="Medical Current Plan 1~e" sheetId="81" r:id="rId7"/>
    <sheet name="Medical Current Plan 1~f" sheetId="82" r:id="rId8"/>
    <sheet name="Medical Current Plan 1~g" sheetId="83" r:id="rId9"/>
    <sheet name="Medical Current Plan 1~h" sheetId="84" r:id="rId10"/>
    <sheet name="Medical Current Plan 1~i" sheetId="85" r:id="rId11"/>
    <sheet name="Medical Current Plan 1~j" sheetId="86" r:id="rId12"/>
    <sheet name="Medical Current Plan 1~k" sheetId="87" r:id="rId13"/>
    <sheet name="Medical Current Plan 1~l" sheetId="88" r:id="rId14"/>
    <sheet name="Medical Current Plan 1~m" sheetId="89" r:id="rId15"/>
    <sheet name="Medical Current Plan 1~n" sheetId="90" r:id="rId16"/>
    <sheet name="Medical Current Plan 1~o" sheetId="91" r:id="rId17"/>
    <sheet name="Medical Current Plan 1~p" sheetId="92" r:id="rId18"/>
    <sheet name="Medical Current Plan 1~q" sheetId="93" r:id="rId19"/>
    <sheet name="Medical Current Plan 1~r" sheetId="94" r:id="rId20"/>
    <sheet name="Medical Current Plan 1~s" sheetId="95" r:id="rId21"/>
    <sheet name="Medical Current Plan 1~t" sheetId="96" r:id="rId22"/>
    <sheet name="Medical Current Plan 2~a" sheetId="98" r:id="rId23"/>
    <sheet name="Medical Current Plan 2~b" sheetId="99" r:id="rId24"/>
    <sheet name="Medical Current Plan 2~c" sheetId="100" r:id="rId25"/>
    <sheet name="Medical Current Plan 2~d" sheetId="101" r:id="rId26"/>
    <sheet name="Medical Current Plan 2~e" sheetId="102" r:id="rId27"/>
    <sheet name="Medical Current Plan 2~f" sheetId="103" r:id="rId28"/>
    <sheet name="Medical Current Plan 2~g" sheetId="104" r:id="rId29"/>
    <sheet name="Medical Current Plan 2~h" sheetId="105" r:id="rId30"/>
    <sheet name="Medical Current Plan 2~i" sheetId="106" r:id="rId31"/>
    <sheet name="Medical Current Plan 2~j" sheetId="107" r:id="rId32"/>
    <sheet name="Medical Current Plan 2~k" sheetId="108" r:id="rId33"/>
    <sheet name="Medical Current Plan 2~l" sheetId="109" r:id="rId34"/>
    <sheet name="Medical Current Plan 2~m" sheetId="110" r:id="rId35"/>
    <sheet name="Medical Current Plan 2~n" sheetId="111" r:id="rId36"/>
    <sheet name="Medical Current Plan 2~o" sheetId="112" r:id="rId37"/>
    <sheet name="Medical Current Plan 2~p" sheetId="113" r:id="rId38"/>
    <sheet name="Medical Current Plan 2~q" sheetId="114" r:id="rId39"/>
    <sheet name="Medical Current Plan 2~r" sheetId="115" r:id="rId40"/>
    <sheet name="Medical Current Plan 2~s" sheetId="116" r:id="rId41"/>
    <sheet name="Medical Current Plan 2~t" sheetId="117" r:id="rId42"/>
    <sheet name="Medical Current Plan 3~a" sheetId="119" r:id="rId43"/>
    <sheet name="Medical Current Plan 3~b" sheetId="120" r:id="rId44"/>
    <sheet name="Medical Current Plan 3~c" sheetId="121" r:id="rId45"/>
    <sheet name="Medical Current Plan 3~d" sheetId="122" r:id="rId46"/>
    <sheet name="Medical Current Plan 3~e" sheetId="123" r:id="rId47"/>
    <sheet name="Medical Current Plan 3~f" sheetId="124" r:id="rId48"/>
    <sheet name="Medical Current Plan 3~g" sheetId="125" r:id="rId49"/>
    <sheet name="Medical Current Plan 3~h" sheetId="126" r:id="rId50"/>
    <sheet name="Medical Current Plan 3~i" sheetId="127" r:id="rId51"/>
    <sheet name="Medical Current Plan 3~j" sheetId="128" r:id="rId52"/>
    <sheet name="Medical Current Plan 3~k" sheetId="129" r:id="rId53"/>
    <sheet name="Medical Current Plan 3~l" sheetId="130" r:id="rId54"/>
    <sheet name="Medical Current Plan 3~m" sheetId="131" r:id="rId55"/>
    <sheet name="Medical Current Plan 3~n" sheetId="132" r:id="rId56"/>
    <sheet name="Medical Current Plan 3~o" sheetId="133" r:id="rId57"/>
    <sheet name="Medical Current Plan 3~p" sheetId="134" r:id="rId58"/>
    <sheet name="Medical Current Plan 3~q" sheetId="135" r:id="rId59"/>
    <sheet name="Medical Current Plan 3~r" sheetId="136" r:id="rId60"/>
    <sheet name="Medical Current Plan 3~s" sheetId="137" r:id="rId61"/>
    <sheet name="Medical Current Plan 3~t" sheetId="138" r:id="rId62"/>
    <sheet name="Census Details Current Plan ~1a" sheetId="41" r:id="rId63"/>
    <sheet name="Census Details Current Plan ~1b" sheetId="42" r:id="rId64"/>
    <sheet name="Census Details Current Plan ~1c" sheetId="43" r:id="rId65"/>
    <sheet name="Census Details Current Plan ~1d" sheetId="44" r:id="rId66"/>
    <sheet name="Census Details Current Plan ~1e" sheetId="45" r:id="rId67"/>
    <sheet name="Census Details Current Plan ~1f" sheetId="46" r:id="rId68"/>
    <sheet name="Census Details Current Plan ~1g" sheetId="47" r:id="rId69"/>
    <sheet name="Census Details Current Plan ~1h" sheetId="48" r:id="rId70"/>
    <sheet name="Census Details Current Plan ~1i" sheetId="49" r:id="rId71"/>
    <sheet name="Census Details Current Plan ~1j" sheetId="50" r:id="rId72"/>
    <sheet name="Census Details Current Plan ~1k" sheetId="51" r:id="rId73"/>
    <sheet name="Census Details Current Plan ~2a" sheetId="53" r:id="rId74"/>
    <sheet name="Census Details Current Plan ~2b" sheetId="54" r:id="rId75"/>
    <sheet name="Census Details Current Plan ~2c" sheetId="55" r:id="rId76"/>
    <sheet name="Census Details Current Plan ~2d" sheetId="56" r:id="rId77"/>
    <sheet name="Census Details Current Plan ~2e" sheetId="57" r:id="rId78"/>
    <sheet name="Census Details Current Plan ~2f" sheetId="58" r:id="rId79"/>
    <sheet name="Census Details Current Plan ~2g" sheetId="59" r:id="rId80"/>
    <sheet name="Census Details Current Plan ~2h" sheetId="60" r:id="rId81"/>
    <sheet name="Census Details Current Plan ~2i" sheetId="61" r:id="rId82"/>
    <sheet name="Census Details Current Plan ~2j" sheetId="62" r:id="rId83"/>
    <sheet name="Census Details Current Plan ~2k" sheetId="63" r:id="rId84"/>
    <sheet name="Census Details Current Plan ~3a" sheetId="65" r:id="rId85"/>
    <sheet name="Census Details Current Plan ~3b" sheetId="66" r:id="rId86"/>
    <sheet name="Census Details Current Plan ~3c" sheetId="67" r:id="rId87"/>
    <sheet name="Census Details Current Plan ~3d" sheetId="68" r:id="rId88"/>
    <sheet name="Census Details Current Plan ~3e" sheetId="69" r:id="rId89"/>
    <sheet name="Census Details Current Plan ~3f" sheetId="70" r:id="rId90"/>
    <sheet name="Census Details Current Plan ~3g" sheetId="71" r:id="rId91"/>
    <sheet name="Census Details Current Plan ~3h" sheetId="72" r:id="rId92"/>
    <sheet name="Census Details Current Plan ~3i" sheetId="73" r:id="rId93"/>
    <sheet name="Census Details Current Plan ~3j" sheetId="74" r:id="rId94"/>
    <sheet name="Census Details Current Plan ~3k" sheetId="75" r:id="rId95"/>
    <sheet name="Rate Table" sheetId="39" r:id="rId96"/>
    <sheet name="Multi Option Summary Data" sheetId="25" state="hidden" r:id="rId97"/>
  </sheets>
  <definedNames>
    <definedName name="effective_date">Coversheet!$A$39</definedName>
    <definedName name="group_name">Coversheet!$A$14</definedName>
    <definedName name="member_count">Coversheet!$A$40</definedName>
    <definedName name="prepared_date">Coversheet!$A$38</definedName>
    <definedName name="_xlnm.Print_Area" localSheetId="62">'Census Details Current Plan ~1a'!$A$2:$Y$51</definedName>
    <definedName name="_xlnm.Print_Area" localSheetId="63">'Census Details Current Plan ~1b'!$A$2:$Y$48</definedName>
    <definedName name="_xlnm.Print_Area" localSheetId="64">'Census Details Current Plan ~1c'!$A$2:$Y$48</definedName>
    <definedName name="_xlnm.Print_Area" localSheetId="65">'Census Details Current Plan ~1d'!$A$2:$Y$48</definedName>
    <definedName name="_xlnm.Print_Area" localSheetId="66">'Census Details Current Plan ~1e'!$A$2:$Y$48</definedName>
    <definedName name="_xlnm.Print_Area" localSheetId="67">'Census Details Current Plan ~1f'!$A$2:$Y$48</definedName>
    <definedName name="_xlnm.Print_Area" localSheetId="68">'Census Details Current Plan ~1g'!$A$2:$Y$48</definedName>
    <definedName name="_xlnm.Print_Area" localSheetId="69">'Census Details Current Plan ~1h'!$A$2:$Y$48</definedName>
    <definedName name="_xlnm.Print_Area" localSheetId="70">'Census Details Current Plan ~1i'!$A$2:$Y$48</definedName>
    <definedName name="_xlnm.Print_Area" localSheetId="71">'Census Details Current Plan ~1j'!$A$2:$Y$48</definedName>
    <definedName name="_xlnm.Print_Area" localSheetId="72">'Census Details Current Plan ~1k'!$A$2:$J$48</definedName>
    <definedName name="_xlnm.Print_Area" localSheetId="73">'Census Details Current Plan ~2a'!$A$2:$Y$51</definedName>
    <definedName name="_xlnm.Print_Area" localSheetId="74">'Census Details Current Plan ~2b'!$A$2:$Y$48</definedName>
    <definedName name="_xlnm.Print_Area" localSheetId="75">'Census Details Current Plan ~2c'!$A$2:$Y$48</definedName>
    <definedName name="_xlnm.Print_Area" localSheetId="76">'Census Details Current Plan ~2d'!$A$2:$Y$48</definedName>
    <definedName name="_xlnm.Print_Area" localSheetId="77">'Census Details Current Plan ~2e'!$A$2:$Y$48</definedName>
    <definedName name="_xlnm.Print_Area" localSheetId="78">'Census Details Current Plan ~2f'!$A$2:$Y$48</definedName>
    <definedName name="_xlnm.Print_Area" localSheetId="79">'Census Details Current Plan ~2g'!$A$2:$Y$48</definedName>
    <definedName name="_xlnm.Print_Area" localSheetId="80">'Census Details Current Plan ~2h'!$A$2:$Y$48</definedName>
    <definedName name="_xlnm.Print_Area" localSheetId="81">'Census Details Current Plan ~2i'!$A$2:$Y$48</definedName>
    <definedName name="_xlnm.Print_Area" localSheetId="82">'Census Details Current Plan ~2j'!$A$2:$Y$48</definedName>
    <definedName name="_xlnm.Print_Area" localSheetId="83">'Census Details Current Plan ~2k'!$A$2:$J$48</definedName>
    <definedName name="_xlnm.Print_Area" localSheetId="84">'Census Details Current Plan ~3a'!$A$2:$Y$51</definedName>
    <definedName name="_xlnm.Print_Area" localSheetId="85">'Census Details Current Plan ~3b'!$A$2:$Y$48</definedName>
    <definedName name="_xlnm.Print_Area" localSheetId="86">'Census Details Current Plan ~3c'!$A$2:$Y$48</definedName>
    <definedName name="_xlnm.Print_Area" localSheetId="87">'Census Details Current Plan ~3d'!$A$2:$Y$48</definedName>
    <definedName name="_xlnm.Print_Area" localSheetId="88">'Census Details Current Plan ~3e'!$A$2:$Y$48</definedName>
    <definedName name="_xlnm.Print_Area" localSheetId="89">'Census Details Current Plan ~3f'!$A$2:$Y$48</definedName>
    <definedName name="_xlnm.Print_Area" localSheetId="90">'Census Details Current Plan ~3g'!$A$2:$Y$48</definedName>
    <definedName name="_xlnm.Print_Area" localSheetId="91">'Census Details Current Plan ~3h'!$A$2:$Y$48</definedName>
    <definedName name="_xlnm.Print_Area" localSheetId="92">'Census Details Current Plan ~3i'!$A$2:$Y$48</definedName>
    <definedName name="_xlnm.Print_Area" localSheetId="93">'Census Details Current Plan ~3j'!$A$2:$Y$48</definedName>
    <definedName name="_xlnm.Print_Area" localSheetId="94">'Census Details Current Plan ~3k'!$A$2:$J$48</definedName>
    <definedName name="_xlnm.Print_Area" localSheetId="0">Coversheet!$A$1:$M$43</definedName>
    <definedName name="_xlnm.Print_Area" localSheetId="2">'Medical Current Plan 1~a'!$A$2:$H$51</definedName>
    <definedName name="_xlnm.Print_Area" localSheetId="3">'Medical Current Plan 1~b'!$A$2:$H$51</definedName>
    <definedName name="_xlnm.Print_Area" localSheetId="4">'Medical Current Plan 1~c'!$A$2:$H$51</definedName>
    <definedName name="_xlnm.Print_Area" localSheetId="5">'Medical Current Plan 1~d'!$A$2:$H$51</definedName>
    <definedName name="_xlnm.Print_Area" localSheetId="6">'Medical Current Plan 1~e'!$A$2:$H$51</definedName>
    <definedName name="_xlnm.Print_Area" localSheetId="7">'Medical Current Plan 1~f'!$A$2:$H$51</definedName>
    <definedName name="_xlnm.Print_Area" localSheetId="8">'Medical Current Plan 1~g'!$A$2:$H$51</definedName>
    <definedName name="_xlnm.Print_Area" localSheetId="9">'Medical Current Plan 1~h'!$A$2:$H$51</definedName>
    <definedName name="_xlnm.Print_Area" localSheetId="10">'Medical Current Plan 1~i'!$A$2:$H$51</definedName>
    <definedName name="_xlnm.Print_Area" localSheetId="11">'Medical Current Plan 1~j'!$A$2:$H$51</definedName>
    <definedName name="_xlnm.Print_Area" localSheetId="12">'Medical Current Plan 1~k'!$A$2:$H$51</definedName>
    <definedName name="_xlnm.Print_Area" localSheetId="13">'Medical Current Plan 1~l'!$A$2:$H$51</definedName>
    <definedName name="_xlnm.Print_Area" localSheetId="14">'Medical Current Plan 1~m'!$A$2:$H$51</definedName>
    <definedName name="_xlnm.Print_Area" localSheetId="15">'Medical Current Plan 1~n'!$A$2:$H$51</definedName>
    <definedName name="_xlnm.Print_Area" localSheetId="16">'Medical Current Plan 1~o'!$A$2:$H$51</definedName>
    <definedName name="_xlnm.Print_Area" localSheetId="17">'Medical Current Plan 1~p'!$A$2:$H$51</definedName>
    <definedName name="_xlnm.Print_Area" localSheetId="18">'Medical Current Plan 1~q'!$A$2:$H$51</definedName>
    <definedName name="_xlnm.Print_Area" localSheetId="19">'Medical Current Plan 1~r'!$A$2:$H$51</definedName>
    <definedName name="_xlnm.Print_Area" localSheetId="20">'Medical Current Plan 1~s'!$A$2:$H$51</definedName>
    <definedName name="_xlnm.Print_Area" localSheetId="21">'Medical Current Plan 1~t'!$A$2:$G$51</definedName>
    <definedName name="_xlnm.Print_Area" localSheetId="22">'Medical Current Plan 2~a'!$A$2:$H$51</definedName>
    <definedName name="_xlnm.Print_Area" localSheetId="23">'Medical Current Plan 2~b'!$A$2:$H$51</definedName>
    <definedName name="_xlnm.Print_Area" localSheetId="24">'Medical Current Plan 2~c'!$A$2:$H$51</definedName>
    <definedName name="_xlnm.Print_Area" localSheetId="25">'Medical Current Plan 2~d'!$A$2:$H$51</definedName>
    <definedName name="_xlnm.Print_Area" localSheetId="26">'Medical Current Plan 2~e'!$A$2:$H$51</definedName>
    <definedName name="_xlnm.Print_Area" localSheetId="27">'Medical Current Plan 2~f'!$A$2:$H$51</definedName>
    <definedName name="_xlnm.Print_Area" localSheetId="28">'Medical Current Plan 2~g'!$A$2:$H$51</definedName>
    <definedName name="_xlnm.Print_Area" localSheetId="29">'Medical Current Plan 2~h'!$A$2:$H$51</definedName>
    <definedName name="_xlnm.Print_Area" localSheetId="30">'Medical Current Plan 2~i'!$A$2:$H$51</definedName>
    <definedName name="_xlnm.Print_Area" localSheetId="31">'Medical Current Plan 2~j'!$A$2:$H$51</definedName>
    <definedName name="_xlnm.Print_Area" localSheetId="32">'Medical Current Plan 2~k'!$A$2:$H$51</definedName>
    <definedName name="_xlnm.Print_Area" localSheetId="33">'Medical Current Plan 2~l'!$A$2:$H$51</definedName>
    <definedName name="_xlnm.Print_Area" localSheetId="34">'Medical Current Plan 2~m'!$A$2:$H$51</definedName>
    <definedName name="_xlnm.Print_Area" localSheetId="35">'Medical Current Plan 2~n'!$A$2:$H$51</definedName>
    <definedName name="_xlnm.Print_Area" localSheetId="36">'Medical Current Plan 2~o'!$A$2:$H$51</definedName>
    <definedName name="_xlnm.Print_Area" localSheetId="37">'Medical Current Plan 2~p'!$A$2:$H$51</definedName>
    <definedName name="_xlnm.Print_Area" localSheetId="38">'Medical Current Plan 2~q'!$A$2:$H$51</definedName>
    <definedName name="_xlnm.Print_Area" localSheetId="39">'Medical Current Plan 2~r'!$A$2:$H$51</definedName>
    <definedName name="_xlnm.Print_Area" localSheetId="40">'Medical Current Plan 2~s'!$A$2:$H$51</definedName>
    <definedName name="_xlnm.Print_Area" localSheetId="41">'Medical Current Plan 2~t'!$A$2:$G$51</definedName>
    <definedName name="_xlnm.Print_Area" localSheetId="42">'Medical Current Plan 3~a'!$A$2:$H$51</definedName>
    <definedName name="_xlnm.Print_Area" localSheetId="43">'Medical Current Plan 3~b'!$A$2:$H$51</definedName>
    <definedName name="_xlnm.Print_Area" localSheetId="44">'Medical Current Plan 3~c'!$A$2:$H$51</definedName>
    <definedName name="_xlnm.Print_Area" localSheetId="45">'Medical Current Plan 3~d'!$A$2:$H$51</definedName>
    <definedName name="_xlnm.Print_Area" localSheetId="46">'Medical Current Plan 3~e'!$A$2:$H$51</definedName>
    <definedName name="_xlnm.Print_Area" localSheetId="47">'Medical Current Plan 3~f'!$A$2:$H$51</definedName>
    <definedName name="_xlnm.Print_Area" localSheetId="48">'Medical Current Plan 3~g'!$A$2:$H$51</definedName>
    <definedName name="_xlnm.Print_Area" localSheetId="49">'Medical Current Plan 3~h'!$A$2:$H$51</definedName>
    <definedName name="_xlnm.Print_Area" localSheetId="50">'Medical Current Plan 3~i'!$A$2:$H$51</definedName>
    <definedName name="_xlnm.Print_Area" localSheetId="51">'Medical Current Plan 3~j'!$A$2:$H$51</definedName>
    <definedName name="_xlnm.Print_Area" localSheetId="52">'Medical Current Plan 3~k'!$A$2:$H$51</definedName>
    <definedName name="_xlnm.Print_Area" localSheetId="53">'Medical Current Plan 3~l'!$A$2:$H$51</definedName>
    <definedName name="_xlnm.Print_Area" localSheetId="54">'Medical Current Plan 3~m'!$A$2:$H$51</definedName>
    <definedName name="_xlnm.Print_Area" localSheetId="55">'Medical Current Plan 3~n'!$A$2:$H$51</definedName>
    <definedName name="_xlnm.Print_Area" localSheetId="56">'Medical Current Plan 3~o'!$A$2:$H$51</definedName>
    <definedName name="_xlnm.Print_Area" localSheetId="57">'Medical Current Plan 3~p'!$A$2:$H$51</definedName>
    <definedName name="_xlnm.Print_Area" localSheetId="58">'Medical Current Plan 3~q'!$A$2:$H$51</definedName>
    <definedName name="_xlnm.Print_Area" localSheetId="59">'Medical Current Plan 3~r'!$A$2:$H$51</definedName>
    <definedName name="_xlnm.Print_Area" localSheetId="60">'Medical Current Plan 3~s'!$A$2:$H$51</definedName>
    <definedName name="_xlnm.Print_Area" localSheetId="61">'Medical Current Plan 3~t'!$A$2:$G$51</definedName>
    <definedName name="_xlnm.Print_Area" localSheetId="95">'Rate Table'!$A$2:$DO$61</definedName>
    <definedName name="_xlnm.Print_Area" localSheetId="1">Summary!$B$201:$D$221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1" i="25" l="1"/>
  <c r="A120" i="25"/>
  <c r="A119" i="25"/>
  <c r="A118" i="25"/>
  <c r="A117" i="25"/>
  <c r="A116" i="25"/>
  <c r="A115" i="25"/>
  <c r="A114" i="25"/>
  <c r="A113" i="25"/>
  <c r="A112" i="25"/>
  <c r="A111" i="25"/>
  <c r="A110" i="25"/>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4" i="25"/>
  <c r="A3" i="25"/>
  <c r="A2" i="25"/>
  <c r="A4" i="39"/>
  <c r="A2" i="39"/>
  <c r="F45" i="75"/>
  <c r="A4" i="75"/>
  <c r="A2" i="75"/>
  <c r="U45" i="74"/>
  <c r="P45" i="74"/>
  <c r="K45" i="74"/>
  <c r="F45" i="74"/>
  <c r="A4" i="74"/>
  <c r="A2" i="74"/>
  <c r="U45" i="73"/>
  <c r="P45" i="73"/>
  <c r="K45" i="73"/>
  <c r="F45" i="73"/>
  <c r="A4" i="73"/>
  <c r="A2" i="73"/>
  <c r="U45" i="72"/>
  <c r="P45" i="72"/>
  <c r="K45" i="72"/>
  <c r="F45" i="72"/>
  <c r="A4" i="72"/>
  <c r="A2" i="72"/>
  <c r="U45" i="71"/>
  <c r="P45" i="71"/>
  <c r="K45" i="71"/>
  <c r="F45" i="71"/>
  <c r="A4" i="71"/>
  <c r="A2" i="71"/>
  <c r="U45" i="70"/>
  <c r="P45" i="70"/>
  <c r="K45" i="70"/>
  <c r="F45" i="70"/>
  <c r="A4" i="70"/>
  <c r="A2" i="70"/>
  <c r="U45" i="69"/>
  <c r="P45" i="69"/>
  <c r="K45" i="69"/>
  <c r="F45" i="69"/>
  <c r="A4" i="69"/>
  <c r="A2" i="69"/>
  <c r="U45" i="68"/>
  <c r="P45" i="68"/>
  <c r="K45" i="68"/>
  <c r="F45" i="68"/>
  <c r="A4" i="68"/>
  <c r="A2" i="68"/>
  <c r="U45" i="67"/>
  <c r="P45" i="67"/>
  <c r="K45" i="67"/>
  <c r="F45" i="67"/>
  <c r="A4" i="67"/>
  <c r="A2" i="67"/>
  <c r="U45" i="66"/>
  <c r="P45" i="66"/>
  <c r="K45" i="66"/>
  <c r="F45" i="66"/>
  <c r="A4" i="66"/>
  <c r="A2" i="66"/>
  <c r="U48" i="65"/>
  <c r="P48" i="65"/>
  <c r="K48" i="65"/>
  <c r="U47" i="65"/>
  <c r="P47" i="65"/>
  <c r="K47" i="65"/>
  <c r="U46" i="65"/>
  <c r="P46" i="65"/>
  <c r="K46" i="65"/>
  <c r="U45" i="65"/>
  <c r="P45" i="65"/>
  <c r="K45" i="65"/>
  <c r="F45" i="65"/>
  <c r="A4" i="65"/>
  <c r="A2" i="65"/>
  <c r="F45" i="63"/>
  <c r="A4" i="63"/>
  <c r="A2" i="63"/>
  <c r="U45" i="62"/>
  <c r="P45" i="62"/>
  <c r="K45" i="62"/>
  <c r="F45" i="62"/>
  <c r="A4" i="62"/>
  <c r="A2" i="62"/>
  <c r="U45" i="61"/>
  <c r="P45" i="61"/>
  <c r="K45" i="61"/>
  <c r="F45" i="61"/>
  <c r="A4" i="61"/>
  <c r="A2" i="61"/>
  <c r="U45" i="60"/>
  <c r="P45" i="60"/>
  <c r="K45" i="60"/>
  <c r="F45" i="60"/>
  <c r="A4" i="60"/>
  <c r="A2" i="60"/>
  <c r="U45" i="59"/>
  <c r="P45" i="59"/>
  <c r="K45" i="59"/>
  <c r="F45" i="59"/>
  <c r="A4" i="59"/>
  <c r="A2" i="59"/>
  <c r="U45" i="58"/>
  <c r="P45" i="58"/>
  <c r="K45" i="58"/>
  <c r="F45" i="58"/>
  <c r="A4" i="58"/>
  <c r="A2" i="58"/>
  <c r="U45" i="57"/>
  <c r="P45" i="57"/>
  <c r="K45" i="57"/>
  <c r="F45" i="57"/>
  <c r="A4" i="57"/>
  <c r="A2" i="57"/>
  <c r="U45" i="56"/>
  <c r="P45" i="56"/>
  <c r="K45" i="56"/>
  <c r="F45" i="56"/>
  <c r="A4" i="56"/>
  <c r="A2" i="56"/>
  <c r="U45" i="55"/>
  <c r="P45" i="55"/>
  <c r="K45" i="55"/>
  <c r="F45" i="55"/>
  <c r="A4" i="55"/>
  <c r="A2" i="55"/>
  <c r="U45" i="54"/>
  <c r="P45" i="54"/>
  <c r="K45" i="54"/>
  <c r="F45" i="54"/>
  <c r="A4" i="54"/>
  <c r="A2" i="54"/>
  <c r="U48" i="53"/>
  <c r="P48" i="53"/>
  <c r="K48" i="53"/>
  <c r="U47" i="53"/>
  <c r="P47" i="53"/>
  <c r="K47" i="53"/>
  <c r="U46" i="53"/>
  <c r="P46" i="53"/>
  <c r="K46" i="53"/>
  <c r="U45" i="53"/>
  <c r="P45" i="53"/>
  <c r="K45" i="53"/>
  <c r="F45" i="53"/>
  <c r="A4" i="53"/>
  <c r="A2" i="53"/>
  <c r="F45" i="51"/>
  <c r="A4" i="51"/>
  <c r="A2" i="51"/>
  <c r="U45" i="50"/>
  <c r="P45" i="50"/>
  <c r="K45" i="50"/>
  <c r="F45" i="50"/>
  <c r="A4" i="50"/>
  <c r="A2" i="50"/>
  <c r="U45" i="49"/>
  <c r="P45" i="49"/>
  <c r="K45" i="49"/>
  <c r="F45" i="49"/>
  <c r="A4" i="49"/>
  <c r="A2" i="49"/>
  <c r="U45" i="48"/>
  <c r="P45" i="48"/>
  <c r="K45" i="48"/>
  <c r="F45" i="48"/>
  <c r="A4" i="48"/>
  <c r="A2" i="48"/>
  <c r="U45" i="47"/>
  <c r="P45" i="47"/>
  <c r="K45" i="47"/>
  <c r="F45" i="47"/>
  <c r="A4" i="47"/>
  <c r="A2" i="47"/>
  <c r="U45" i="46"/>
  <c r="P45" i="46"/>
  <c r="K45" i="46"/>
  <c r="F45" i="46"/>
  <c r="A4" i="46"/>
  <c r="A2" i="46"/>
  <c r="U45" i="45"/>
  <c r="P45" i="45"/>
  <c r="K45" i="45"/>
  <c r="F45" i="45"/>
  <c r="A4" i="45"/>
  <c r="A2" i="45"/>
  <c r="U45" i="44"/>
  <c r="P45" i="44"/>
  <c r="K45" i="44"/>
  <c r="F45" i="44"/>
  <c r="A4" i="44"/>
  <c r="A2" i="44"/>
  <c r="U45" i="43"/>
  <c r="P45" i="43"/>
  <c r="K45" i="43"/>
  <c r="F45" i="43"/>
  <c r="A4" i="43"/>
  <c r="A2" i="43"/>
  <c r="U45" i="42"/>
  <c r="P45" i="42"/>
  <c r="K45" i="42"/>
  <c r="F45" i="42"/>
  <c r="A4" i="42"/>
  <c r="A2" i="42"/>
  <c r="U48" i="41"/>
  <c r="P48" i="41"/>
  <c r="K48" i="41"/>
  <c r="U47" i="41"/>
  <c r="P47" i="41"/>
  <c r="K47" i="41"/>
  <c r="U46" i="41"/>
  <c r="P46" i="41"/>
  <c r="K46" i="41"/>
  <c r="U45" i="41"/>
  <c r="P45" i="41"/>
  <c r="K45" i="41"/>
  <c r="F45" i="41"/>
  <c r="A4" i="41"/>
  <c r="A2" i="41"/>
  <c r="G48" i="138"/>
  <c r="F48" i="138"/>
  <c r="E48" i="138"/>
  <c r="G47" i="138"/>
  <c r="F47" i="138"/>
  <c r="E47" i="138"/>
  <c r="G46" i="138"/>
  <c r="F46" i="138"/>
  <c r="E46" i="138"/>
  <c r="G45" i="138"/>
  <c r="F45" i="138"/>
  <c r="E45" i="138"/>
  <c r="G18" i="138"/>
  <c r="F18" i="138"/>
  <c r="G17" i="138"/>
  <c r="F17" i="138"/>
  <c r="G16" i="138"/>
  <c r="F16" i="138"/>
  <c r="G15" i="138"/>
  <c r="F15" i="138"/>
  <c r="E15" i="138"/>
  <c r="D5" i="138"/>
  <c r="A4" i="138"/>
  <c r="A2" i="138"/>
  <c r="H48" i="137"/>
  <c r="G48" i="137"/>
  <c r="F48" i="137"/>
  <c r="E48" i="137"/>
  <c r="H47" i="137"/>
  <c r="G47" i="137"/>
  <c r="F47" i="137"/>
  <c r="E47" i="137"/>
  <c r="H46" i="137"/>
  <c r="G46" i="137"/>
  <c r="F46" i="137"/>
  <c r="E46" i="137"/>
  <c r="H45" i="137"/>
  <c r="G45" i="137"/>
  <c r="F45" i="137"/>
  <c r="E45" i="137"/>
  <c r="H18" i="137"/>
  <c r="G18" i="137"/>
  <c r="F18" i="137"/>
  <c r="H17" i="137"/>
  <c r="G17" i="137"/>
  <c r="F17" i="137"/>
  <c r="H16" i="137"/>
  <c r="G16" i="137"/>
  <c r="F16" i="137"/>
  <c r="H15" i="137"/>
  <c r="G15" i="137"/>
  <c r="F15" i="137"/>
  <c r="E15" i="137"/>
  <c r="D5" i="137"/>
  <c r="A4" i="137"/>
  <c r="A2" i="137"/>
  <c r="H48" i="136"/>
  <c r="G48" i="136"/>
  <c r="F48" i="136"/>
  <c r="E48" i="136"/>
  <c r="H47" i="136"/>
  <c r="G47" i="136"/>
  <c r="F47" i="136"/>
  <c r="E47" i="136"/>
  <c r="H46" i="136"/>
  <c r="G46" i="136"/>
  <c r="F46" i="136"/>
  <c r="E46" i="136"/>
  <c r="H45" i="136"/>
  <c r="G45" i="136"/>
  <c r="F45" i="136"/>
  <c r="E45" i="136"/>
  <c r="H18" i="136"/>
  <c r="G18" i="136"/>
  <c r="F18" i="136"/>
  <c r="H17" i="136"/>
  <c r="G17" i="136"/>
  <c r="F17" i="136"/>
  <c r="H16" i="136"/>
  <c r="G16" i="136"/>
  <c r="F16" i="136"/>
  <c r="H15" i="136"/>
  <c r="G15" i="136"/>
  <c r="F15" i="136"/>
  <c r="E15" i="136"/>
  <c r="D5" i="136"/>
  <c r="A4" i="136"/>
  <c r="A2" i="136"/>
  <c r="H48" i="135"/>
  <c r="G48" i="135"/>
  <c r="F48" i="135"/>
  <c r="E48" i="135"/>
  <c r="H47" i="135"/>
  <c r="G47" i="135"/>
  <c r="F47" i="135"/>
  <c r="E47" i="135"/>
  <c r="H46" i="135"/>
  <c r="G46" i="135"/>
  <c r="F46" i="135"/>
  <c r="E46" i="135"/>
  <c r="H45" i="135"/>
  <c r="G45" i="135"/>
  <c r="F45" i="135"/>
  <c r="E45" i="135"/>
  <c r="H18" i="135"/>
  <c r="G18" i="135"/>
  <c r="F18" i="135"/>
  <c r="H17" i="135"/>
  <c r="G17" i="135"/>
  <c r="F17" i="135"/>
  <c r="H16" i="135"/>
  <c r="G16" i="135"/>
  <c r="F16" i="135"/>
  <c r="H15" i="135"/>
  <c r="G15" i="135"/>
  <c r="F15" i="135"/>
  <c r="E15" i="135"/>
  <c r="D5" i="135"/>
  <c r="A4" i="135"/>
  <c r="A2" i="135"/>
  <c r="H48" i="134"/>
  <c r="G48" i="134"/>
  <c r="F48" i="134"/>
  <c r="E48" i="134"/>
  <c r="H47" i="134"/>
  <c r="G47" i="134"/>
  <c r="F47" i="134"/>
  <c r="E47" i="134"/>
  <c r="H46" i="134"/>
  <c r="G46" i="134"/>
  <c r="F46" i="134"/>
  <c r="E46" i="134"/>
  <c r="H45" i="134"/>
  <c r="G45" i="134"/>
  <c r="F45" i="134"/>
  <c r="E45" i="134"/>
  <c r="H18" i="134"/>
  <c r="G18" i="134"/>
  <c r="F18" i="134"/>
  <c r="H17" i="134"/>
  <c r="G17" i="134"/>
  <c r="F17" i="134"/>
  <c r="H16" i="134"/>
  <c r="G16" i="134"/>
  <c r="F16" i="134"/>
  <c r="H15" i="134"/>
  <c r="G15" i="134"/>
  <c r="F15" i="134"/>
  <c r="E15" i="134"/>
  <c r="D5" i="134"/>
  <c r="A4" i="134"/>
  <c r="A2" i="134"/>
  <c r="H48" i="133"/>
  <c r="G48" i="133"/>
  <c r="F48" i="133"/>
  <c r="E48" i="133"/>
  <c r="H47" i="133"/>
  <c r="G47" i="133"/>
  <c r="F47" i="133"/>
  <c r="E47" i="133"/>
  <c r="H46" i="133"/>
  <c r="G46" i="133"/>
  <c r="F46" i="133"/>
  <c r="E46" i="133"/>
  <c r="H45" i="133"/>
  <c r="G45" i="133"/>
  <c r="F45" i="133"/>
  <c r="E45" i="133"/>
  <c r="H18" i="133"/>
  <c r="G18" i="133"/>
  <c r="F18" i="133"/>
  <c r="H17" i="133"/>
  <c r="G17" i="133"/>
  <c r="F17" i="133"/>
  <c r="H16" i="133"/>
  <c r="G16" i="133"/>
  <c r="F16" i="133"/>
  <c r="H15" i="133"/>
  <c r="G15" i="133"/>
  <c r="F15" i="133"/>
  <c r="E15" i="133"/>
  <c r="D5" i="133"/>
  <c r="A4" i="133"/>
  <c r="A2" i="133"/>
  <c r="H48" i="132"/>
  <c r="G48" i="132"/>
  <c r="F48" i="132"/>
  <c r="E48" i="132"/>
  <c r="H47" i="132"/>
  <c r="G47" i="132"/>
  <c r="F47" i="132"/>
  <c r="E47" i="132"/>
  <c r="H46" i="132"/>
  <c r="G46" i="132"/>
  <c r="F46" i="132"/>
  <c r="E46" i="132"/>
  <c r="H45" i="132"/>
  <c r="G45" i="132"/>
  <c r="F45" i="132"/>
  <c r="E45" i="132"/>
  <c r="H18" i="132"/>
  <c r="G18" i="132"/>
  <c r="F18" i="132"/>
  <c r="H17" i="132"/>
  <c r="G17" i="132"/>
  <c r="F17" i="132"/>
  <c r="H16" i="132"/>
  <c r="G16" i="132"/>
  <c r="F16" i="132"/>
  <c r="H15" i="132"/>
  <c r="G15" i="132"/>
  <c r="F15" i="132"/>
  <c r="E15" i="132"/>
  <c r="D5" i="132"/>
  <c r="A4" i="132"/>
  <c r="A2" i="132"/>
  <c r="H48" i="131"/>
  <c r="G48" i="131"/>
  <c r="F48" i="131"/>
  <c r="E48" i="131"/>
  <c r="H47" i="131"/>
  <c r="G47" i="131"/>
  <c r="F47" i="131"/>
  <c r="E47" i="131"/>
  <c r="H46" i="131"/>
  <c r="G46" i="131"/>
  <c r="F46" i="131"/>
  <c r="E46" i="131"/>
  <c r="H45" i="131"/>
  <c r="G45" i="131"/>
  <c r="F45" i="131"/>
  <c r="E45" i="131"/>
  <c r="H18" i="131"/>
  <c r="G18" i="131"/>
  <c r="F18" i="131"/>
  <c r="H17" i="131"/>
  <c r="G17" i="131"/>
  <c r="F17" i="131"/>
  <c r="H16" i="131"/>
  <c r="G16" i="131"/>
  <c r="F16" i="131"/>
  <c r="H15" i="131"/>
  <c r="G15" i="131"/>
  <c r="F15" i="131"/>
  <c r="E15" i="131"/>
  <c r="D5" i="131"/>
  <c r="A4" i="131"/>
  <c r="A2" i="131"/>
  <c r="H48" i="130"/>
  <c r="G48" i="130"/>
  <c r="F48" i="130"/>
  <c r="E48" i="130"/>
  <c r="H47" i="130"/>
  <c r="G47" i="130"/>
  <c r="F47" i="130"/>
  <c r="E47" i="130"/>
  <c r="H46" i="130"/>
  <c r="G46" i="130"/>
  <c r="F46" i="130"/>
  <c r="E46" i="130"/>
  <c r="H45" i="130"/>
  <c r="G45" i="130"/>
  <c r="F45" i="130"/>
  <c r="E45" i="130"/>
  <c r="H18" i="130"/>
  <c r="G18" i="130"/>
  <c r="F18" i="130"/>
  <c r="H17" i="130"/>
  <c r="G17" i="130"/>
  <c r="F17" i="130"/>
  <c r="H16" i="130"/>
  <c r="G16" i="130"/>
  <c r="F16" i="130"/>
  <c r="H15" i="130"/>
  <c r="G15" i="130"/>
  <c r="F15" i="130"/>
  <c r="E15" i="130"/>
  <c r="D5" i="130"/>
  <c r="A4" i="130"/>
  <c r="A2" i="130"/>
  <c r="H48" i="129"/>
  <c r="G48" i="129"/>
  <c r="F48" i="129"/>
  <c r="E48" i="129"/>
  <c r="H47" i="129"/>
  <c r="G47" i="129"/>
  <c r="F47" i="129"/>
  <c r="E47" i="129"/>
  <c r="H46" i="129"/>
  <c r="G46" i="129"/>
  <c r="F46" i="129"/>
  <c r="E46" i="129"/>
  <c r="H45" i="129"/>
  <c r="G45" i="129"/>
  <c r="F45" i="129"/>
  <c r="E45" i="129"/>
  <c r="H18" i="129"/>
  <c r="G18" i="129"/>
  <c r="F18" i="129"/>
  <c r="H17" i="129"/>
  <c r="G17" i="129"/>
  <c r="F17" i="129"/>
  <c r="H16" i="129"/>
  <c r="G16" i="129"/>
  <c r="F16" i="129"/>
  <c r="H15" i="129"/>
  <c r="G15" i="129"/>
  <c r="F15" i="129"/>
  <c r="E15" i="129"/>
  <c r="D5" i="129"/>
  <c r="A4" i="129"/>
  <c r="A2" i="129"/>
  <c r="H48" i="128"/>
  <c r="G48" i="128"/>
  <c r="F48" i="128"/>
  <c r="E48" i="128"/>
  <c r="H47" i="128"/>
  <c r="G47" i="128"/>
  <c r="F47" i="128"/>
  <c r="E47" i="128"/>
  <c r="H46" i="128"/>
  <c r="G46" i="128"/>
  <c r="F46" i="128"/>
  <c r="E46" i="128"/>
  <c r="H45" i="128"/>
  <c r="G45" i="128"/>
  <c r="F45" i="128"/>
  <c r="E45" i="128"/>
  <c r="H18" i="128"/>
  <c r="G18" i="128"/>
  <c r="F18" i="128"/>
  <c r="H17" i="128"/>
  <c r="G17" i="128"/>
  <c r="F17" i="128"/>
  <c r="H16" i="128"/>
  <c r="G16" i="128"/>
  <c r="F16" i="128"/>
  <c r="H15" i="128"/>
  <c r="G15" i="128"/>
  <c r="F15" i="128"/>
  <c r="E15" i="128"/>
  <c r="D5" i="128"/>
  <c r="A4" i="128"/>
  <c r="A2" i="128"/>
  <c r="H48" i="127"/>
  <c r="G48" i="127"/>
  <c r="F48" i="127"/>
  <c r="E48" i="127"/>
  <c r="H47" i="127"/>
  <c r="G47" i="127"/>
  <c r="F47" i="127"/>
  <c r="E47" i="127"/>
  <c r="H46" i="127"/>
  <c r="G46" i="127"/>
  <c r="F46" i="127"/>
  <c r="E46" i="127"/>
  <c r="H45" i="127"/>
  <c r="G45" i="127"/>
  <c r="F45" i="127"/>
  <c r="E45" i="127"/>
  <c r="H18" i="127"/>
  <c r="G18" i="127"/>
  <c r="F18" i="127"/>
  <c r="H17" i="127"/>
  <c r="G17" i="127"/>
  <c r="F17" i="127"/>
  <c r="H16" i="127"/>
  <c r="G16" i="127"/>
  <c r="F16" i="127"/>
  <c r="H15" i="127"/>
  <c r="G15" i="127"/>
  <c r="F15" i="127"/>
  <c r="E15" i="127"/>
  <c r="D5" i="127"/>
  <c r="A4" i="127"/>
  <c r="A2" i="127"/>
  <c r="H48" i="126"/>
  <c r="G48" i="126"/>
  <c r="F48" i="126"/>
  <c r="E48" i="126"/>
  <c r="H47" i="126"/>
  <c r="G47" i="126"/>
  <c r="F47" i="126"/>
  <c r="E47" i="126"/>
  <c r="H46" i="126"/>
  <c r="G46" i="126"/>
  <c r="F46" i="126"/>
  <c r="E46" i="126"/>
  <c r="H45" i="126"/>
  <c r="G45" i="126"/>
  <c r="F45" i="126"/>
  <c r="E45" i="126"/>
  <c r="H18" i="126"/>
  <c r="G18" i="126"/>
  <c r="F18" i="126"/>
  <c r="H17" i="126"/>
  <c r="G17" i="126"/>
  <c r="F17" i="126"/>
  <c r="H16" i="126"/>
  <c r="G16" i="126"/>
  <c r="F16" i="126"/>
  <c r="H15" i="126"/>
  <c r="G15" i="126"/>
  <c r="F15" i="126"/>
  <c r="E15" i="126"/>
  <c r="D5" i="126"/>
  <c r="A4" i="126"/>
  <c r="A2" i="126"/>
  <c r="H48" i="125"/>
  <c r="G48" i="125"/>
  <c r="F48" i="125"/>
  <c r="E48" i="125"/>
  <c r="H47" i="125"/>
  <c r="G47" i="125"/>
  <c r="F47" i="125"/>
  <c r="E47" i="125"/>
  <c r="H46" i="125"/>
  <c r="G46" i="125"/>
  <c r="F46" i="125"/>
  <c r="E46" i="125"/>
  <c r="H45" i="125"/>
  <c r="G45" i="125"/>
  <c r="F45" i="125"/>
  <c r="E45" i="125"/>
  <c r="H18" i="125"/>
  <c r="G18" i="125"/>
  <c r="F18" i="125"/>
  <c r="H17" i="125"/>
  <c r="G17" i="125"/>
  <c r="F17" i="125"/>
  <c r="H16" i="125"/>
  <c r="G16" i="125"/>
  <c r="F16" i="125"/>
  <c r="H15" i="125"/>
  <c r="G15" i="125"/>
  <c r="F15" i="125"/>
  <c r="E15" i="125"/>
  <c r="D5" i="125"/>
  <c r="A4" i="125"/>
  <c r="A2" i="125"/>
  <c r="H48" i="124"/>
  <c r="G48" i="124"/>
  <c r="F48" i="124"/>
  <c r="E48" i="124"/>
  <c r="H47" i="124"/>
  <c r="G47" i="124"/>
  <c r="F47" i="124"/>
  <c r="E47" i="124"/>
  <c r="H46" i="124"/>
  <c r="G46" i="124"/>
  <c r="F46" i="124"/>
  <c r="E46" i="124"/>
  <c r="H45" i="124"/>
  <c r="G45" i="124"/>
  <c r="F45" i="124"/>
  <c r="E45" i="124"/>
  <c r="H18" i="124"/>
  <c r="G18" i="124"/>
  <c r="F18" i="124"/>
  <c r="H17" i="124"/>
  <c r="G17" i="124"/>
  <c r="F17" i="124"/>
  <c r="H16" i="124"/>
  <c r="G16" i="124"/>
  <c r="F16" i="124"/>
  <c r="H15" i="124"/>
  <c r="G15" i="124"/>
  <c r="F15" i="124"/>
  <c r="E15" i="124"/>
  <c r="D5" i="124"/>
  <c r="A4" i="124"/>
  <c r="A2" i="124"/>
  <c r="H48" i="123"/>
  <c r="G48" i="123"/>
  <c r="F48" i="123"/>
  <c r="E48" i="123"/>
  <c r="H47" i="123"/>
  <c r="G47" i="123"/>
  <c r="F47" i="123"/>
  <c r="E47" i="123"/>
  <c r="H46" i="123"/>
  <c r="G46" i="123"/>
  <c r="F46" i="123"/>
  <c r="E46" i="123"/>
  <c r="H45" i="123"/>
  <c r="G45" i="123"/>
  <c r="F45" i="123"/>
  <c r="E45" i="123"/>
  <c r="H18" i="123"/>
  <c r="G18" i="123"/>
  <c r="F18" i="123"/>
  <c r="H17" i="123"/>
  <c r="G17" i="123"/>
  <c r="F17" i="123"/>
  <c r="H16" i="123"/>
  <c r="G16" i="123"/>
  <c r="F16" i="123"/>
  <c r="H15" i="123"/>
  <c r="G15" i="123"/>
  <c r="F15" i="123"/>
  <c r="E15" i="123"/>
  <c r="D5" i="123"/>
  <c r="A4" i="123"/>
  <c r="A2" i="123"/>
  <c r="H48" i="122"/>
  <c r="G48" i="122"/>
  <c r="F48" i="122"/>
  <c r="E48" i="122"/>
  <c r="H47" i="122"/>
  <c r="G47" i="122"/>
  <c r="F47" i="122"/>
  <c r="E47" i="122"/>
  <c r="H46" i="122"/>
  <c r="G46" i="122"/>
  <c r="F46" i="122"/>
  <c r="E46" i="122"/>
  <c r="H45" i="122"/>
  <c r="G45" i="122"/>
  <c r="F45" i="122"/>
  <c r="E45" i="122"/>
  <c r="H18" i="122"/>
  <c r="G18" i="122"/>
  <c r="F18" i="122"/>
  <c r="H17" i="122"/>
  <c r="G17" i="122"/>
  <c r="F17" i="122"/>
  <c r="H16" i="122"/>
  <c r="G16" i="122"/>
  <c r="F16" i="122"/>
  <c r="H15" i="122"/>
  <c r="G15" i="122"/>
  <c r="F15" i="122"/>
  <c r="E15" i="122"/>
  <c r="D5" i="122"/>
  <c r="A4" i="122"/>
  <c r="A2" i="122"/>
  <c r="H48" i="121"/>
  <c r="G48" i="121"/>
  <c r="F48" i="121"/>
  <c r="E48" i="121"/>
  <c r="H47" i="121"/>
  <c r="G47" i="121"/>
  <c r="F47" i="121"/>
  <c r="E47" i="121"/>
  <c r="H46" i="121"/>
  <c r="G46" i="121"/>
  <c r="F46" i="121"/>
  <c r="E46" i="121"/>
  <c r="H45" i="121"/>
  <c r="G45" i="121"/>
  <c r="F45" i="121"/>
  <c r="E45" i="121"/>
  <c r="H18" i="121"/>
  <c r="G18" i="121"/>
  <c r="F18" i="121"/>
  <c r="H17" i="121"/>
  <c r="G17" i="121"/>
  <c r="F17" i="121"/>
  <c r="H16" i="121"/>
  <c r="G16" i="121"/>
  <c r="F16" i="121"/>
  <c r="H15" i="121"/>
  <c r="G15" i="121"/>
  <c r="F15" i="121"/>
  <c r="E15" i="121"/>
  <c r="D5" i="121"/>
  <c r="A4" i="121"/>
  <c r="A2" i="121"/>
  <c r="H48" i="120"/>
  <c r="G48" i="120"/>
  <c r="F48" i="120"/>
  <c r="E48" i="120"/>
  <c r="H47" i="120"/>
  <c r="G47" i="120"/>
  <c r="F47" i="120"/>
  <c r="E47" i="120"/>
  <c r="H46" i="120"/>
  <c r="G46" i="120"/>
  <c r="F46" i="120"/>
  <c r="E46" i="120"/>
  <c r="H45" i="120"/>
  <c r="G45" i="120"/>
  <c r="F45" i="120"/>
  <c r="E45" i="120"/>
  <c r="H18" i="120"/>
  <c r="G18" i="120"/>
  <c r="F18" i="120"/>
  <c r="H17" i="120"/>
  <c r="G17" i="120"/>
  <c r="F17" i="120"/>
  <c r="H16" i="120"/>
  <c r="G16" i="120"/>
  <c r="F16" i="120"/>
  <c r="H15" i="120"/>
  <c r="G15" i="120"/>
  <c r="F15" i="120"/>
  <c r="E15" i="120"/>
  <c r="D5" i="120"/>
  <c r="A4" i="120"/>
  <c r="A2" i="120"/>
  <c r="H48" i="119"/>
  <c r="G48" i="119"/>
  <c r="F48" i="119"/>
  <c r="E48" i="119"/>
  <c r="H47" i="119"/>
  <c r="G47" i="119"/>
  <c r="F47" i="119"/>
  <c r="E47" i="119"/>
  <c r="H46" i="119"/>
  <c r="G46" i="119"/>
  <c r="F46" i="119"/>
  <c r="E46" i="119"/>
  <c r="H45" i="119"/>
  <c r="G45" i="119"/>
  <c r="F45" i="119"/>
  <c r="E45" i="119"/>
  <c r="H18" i="119"/>
  <c r="G18" i="119"/>
  <c r="F18" i="119"/>
  <c r="H17" i="119"/>
  <c r="G17" i="119"/>
  <c r="F17" i="119"/>
  <c r="H16" i="119"/>
  <c r="G16" i="119"/>
  <c r="F16" i="119"/>
  <c r="H15" i="119"/>
  <c r="G15" i="119"/>
  <c r="F15" i="119"/>
  <c r="E15" i="119"/>
  <c r="D5" i="119"/>
  <c r="A4" i="119"/>
  <c r="A2" i="119"/>
  <c r="G48" i="117"/>
  <c r="F48" i="117"/>
  <c r="E48" i="117"/>
  <c r="G47" i="117"/>
  <c r="F47" i="117"/>
  <c r="E47" i="117"/>
  <c r="G46" i="117"/>
  <c r="F46" i="117"/>
  <c r="E46" i="117"/>
  <c r="G45" i="117"/>
  <c r="F45" i="117"/>
  <c r="E45" i="117"/>
  <c r="G18" i="117"/>
  <c r="F18" i="117"/>
  <c r="G17" i="117"/>
  <c r="F17" i="117"/>
  <c r="G16" i="117"/>
  <c r="F16" i="117"/>
  <c r="G15" i="117"/>
  <c r="F15" i="117"/>
  <c r="E15" i="117"/>
  <c r="D5" i="117"/>
  <c r="A4" i="117"/>
  <c r="A2" i="117"/>
  <c r="H48" i="116"/>
  <c r="G48" i="116"/>
  <c r="F48" i="116"/>
  <c r="E48" i="116"/>
  <c r="H47" i="116"/>
  <c r="G47" i="116"/>
  <c r="F47" i="116"/>
  <c r="E47" i="116"/>
  <c r="H46" i="116"/>
  <c r="G46" i="116"/>
  <c r="F46" i="116"/>
  <c r="E46" i="116"/>
  <c r="H45" i="116"/>
  <c r="G45" i="116"/>
  <c r="F45" i="116"/>
  <c r="E45" i="116"/>
  <c r="H18" i="116"/>
  <c r="G18" i="116"/>
  <c r="F18" i="116"/>
  <c r="H17" i="116"/>
  <c r="G17" i="116"/>
  <c r="F17" i="116"/>
  <c r="H16" i="116"/>
  <c r="G16" i="116"/>
  <c r="F16" i="116"/>
  <c r="H15" i="116"/>
  <c r="G15" i="116"/>
  <c r="F15" i="116"/>
  <c r="E15" i="116"/>
  <c r="D5" i="116"/>
  <c r="A4" i="116"/>
  <c r="A2" i="116"/>
  <c r="H48" i="115"/>
  <c r="G48" i="115"/>
  <c r="F48" i="115"/>
  <c r="E48" i="115"/>
  <c r="H47" i="115"/>
  <c r="G47" i="115"/>
  <c r="F47" i="115"/>
  <c r="E47" i="115"/>
  <c r="H46" i="115"/>
  <c r="G46" i="115"/>
  <c r="F46" i="115"/>
  <c r="E46" i="115"/>
  <c r="H45" i="115"/>
  <c r="G45" i="115"/>
  <c r="F45" i="115"/>
  <c r="E45" i="115"/>
  <c r="H18" i="115"/>
  <c r="G18" i="115"/>
  <c r="F18" i="115"/>
  <c r="H17" i="115"/>
  <c r="G17" i="115"/>
  <c r="F17" i="115"/>
  <c r="H16" i="115"/>
  <c r="G16" i="115"/>
  <c r="F16" i="115"/>
  <c r="H15" i="115"/>
  <c r="G15" i="115"/>
  <c r="F15" i="115"/>
  <c r="E15" i="115"/>
  <c r="D5" i="115"/>
  <c r="A4" i="115"/>
  <c r="A2" i="115"/>
  <c r="H48" i="114"/>
  <c r="G48" i="114"/>
  <c r="F48" i="114"/>
  <c r="E48" i="114"/>
  <c r="H47" i="114"/>
  <c r="G47" i="114"/>
  <c r="F47" i="114"/>
  <c r="E47" i="114"/>
  <c r="H46" i="114"/>
  <c r="G46" i="114"/>
  <c r="F46" i="114"/>
  <c r="E46" i="114"/>
  <c r="H45" i="114"/>
  <c r="G45" i="114"/>
  <c r="F45" i="114"/>
  <c r="E45" i="114"/>
  <c r="H18" i="114"/>
  <c r="G18" i="114"/>
  <c r="F18" i="114"/>
  <c r="H17" i="114"/>
  <c r="G17" i="114"/>
  <c r="F17" i="114"/>
  <c r="H16" i="114"/>
  <c r="G16" i="114"/>
  <c r="F16" i="114"/>
  <c r="H15" i="114"/>
  <c r="G15" i="114"/>
  <c r="F15" i="114"/>
  <c r="E15" i="114"/>
  <c r="D5" i="114"/>
  <c r="A4" i="114"/>
  <c r="A2" i="114"/>
  <c r="H48" i="113"/>
  <c r="G48" i="113"/>
  <c r="F48" i="113"/>
  <c r="E48" i="113"/>
  <c r="H47" i="113"/>
  <c r="G47" i="113"/>
  <c r="F47" i="113"/>
  <c r="E47" i="113"/>
  <c r="H46" i="113"/>
  <c r="G46" i="113"/>
  <c r="F46" i="113"/>
  <c r="E46" i="113"/>
  <c r="H45" i="113"/>
  <c r="G45" i="113"/>
  <c r="F45" i="113"/>
  <c r="E45" i="113"/>
  <c r="H18" i="113"/>
  <c r="G18" i="113"/>
  <c r="F18" i="113"/>
  <c r="H17" i="113"/>
  <c r="G17" i="113"/>
  <c r="F17" i="113"/>
  <c r="H16" i="113"/>
  <c r="G16" i="113"/>
  <c r="F16" i="113"/>
  <c r="H15" i="113"/>
  <c r="G15" i="113"/>
  <c r="F15" i="113"/>
  <c r="E15" i="113"/>
  <c r="D5" i="113"/>
  <c r="A4" i="113"/>
  <c r="A2" i="113"/>
  <c r="H48" i="112"/>
  <c r="G48" i="112"/>
  <c r="F48" i="112"/>
  <c r="E48" i="112"/>
  <c r="H47" i="112"/>
  <c r="G47" i="112"/>
  <c r="F47" i="112"/>
  <c r="E47" i="112"/>
  <c r="H46" i="112"/>
  <c r="G46" i="112"/>
  <c r="F46" i="112"/>
  <c r="E46" i="112"/>
  <c r="H45" i="112"/>
  <c r="G45" i="112"/>
  <c r="F45" i="112"/>
  <c r="E45" i="112"/>
  <c r="H18" i="112"/>
  <c r="G18" i="112"/>
  <c r="F18" i="112"/>
  <c r="H17" i="112"/>
  <c r="G17" i="112"/>
  <c r="F17" i="112"/>
  <c r="H16" i="112"/>
  <c r="G16" i="112"/>
  <c r="F16" i="112"/>
  <c r="H15" i="112"/>
  <c r="G15" i="112"/>
  <c r="F15" i="112"/>
  <c r="E15" i="112"/>
  <c r="D5" i="112"/>
  <c r="A4" i="112"/>
  <c r="A2" i="112"/>
  <c r="H48" i="111"/>
  <c r="G48" i="111"/>
  <c r="F48" i="111"/>
  <c r="E48" i="111"/>
  <c r="H47" i="111"/>
  <c r="G47" i="111"/>
  <c r="F47" i="111"/>
  <c r="E47" i="111"/>
  <c r="H46" i="111"/>
  <c r="G46" i="111"/>
  <c r="F46" i="111"/>
  <c r="E46" i="111"/>
  <c r="H45" i="111"/>
  <c r="G45" i="111"/>
  <c r="F45" i="111"/>
  <c r="E45" i="111"/>
  <c r="H18" i="111"/>
  <c r="G18" i="111"/>
  <c r="F18" i="111"/>
  <c r="H17" i="111"/>
  <c r="G17" i="111"/>
  <c r="F17" i="111"/>
  <c r="H16" i="111"/>
  <c r="G16" i="111"/>
  <c r="F16" i="111"/>
  <c r="H15" i="111"/>
  <c r="G15" i="111"/>
  <c r="F15" i="111"/>
  <c r="E15" i="111"/>
  <c r="D5" i="111"/>
  <c r="A4" i="111"/>
  <c r="A2" i="111"/>
  <c r="H48" i="110"/>
  <c r="G48" i="110"/>
  <c r="F48" i="110"/>
  <c r="E48" i="110"/>
  <c r="H47" i="110"/>
  <c r="G47" i="110"/>
  <c r="F47" i="110"/>
  <c r="E47" i="110"/>
  <c r="H46" i="110"/>
  <c r="G46" i="110"/>
  <c r="F46" i="110"/>
  <c r="E46" i="110"/>
  <c r="H45" i="110"/>
  <c r="G45" i="110"/>
  <c r="F45" i="110"/>
  <c r="E45" i="110"/>
  <c r="H18" i="110"/>
  <c r="G18" i="110"/>
  <c r="F18" i="110"/>
  <c r="H17" i="110"/>
  <c r="G17" i="110"/>
  <c r="F17" i="110"/>
  <c r="H16" i="110"/>
  <c r="G16" i="110"/>
  <c r="F16" i="110"/>
  <c r="H15" i="110"/>
  <c r="G15" i="110"/>
  <c r="F15" i="110"/>
  <c r="E15" i="110"/>
  <c r="D5" i="110"/>
  <c r="A4" i="110"/>
  <c r="A2" i="110"/>
  <c r="H48" i="109"/>
  <c r="G48" i="109"/>
  <c r="F48" i="109"/>
  <c r="E48" i="109"/>
  <c r="H47" i="109"/>
  <c r="G47" i="109"/>
  <c r="F47" i="109"/>
  <c r="E47" i="109"/>
  <c r="H46" i="109"/>
  <c r="G46" i="109"/>
  <c r="F46" i="109"/>
  <c r="E46" i="109"/>
  <c r="H45" i="109"/>
  <c r="G45" i="109"/>
  <c r="F45" i="109"/>
  <c r="E45" i="109"/>
  <c r="H18" i="109"/>
  <c r="G18" i="109"/>
  <c r="F18" i="109"/>
  <c r="H17" i="109"/>
  <c r="G17" i="109"/>
  <c r="F17" i="109"/>
  <c r="H16" i="109"/>
  <c r="G16" i="109"/>
  <c r="F16" i="109"/>
  <c r="H15" i="109"/>
  <c r="G15" i="109"/>
  <c r="F15" i="109"/>
  <c r="E15" i="109"/>
  <c r="D5" i="109"/>
  <c r="A4" i="109"/>
  <c r="A2" i="109"/>
  <c r="H48" i="108"/>
  <c r="G48" i="108"/>
  <c r="F48" i="108"/>
  <c r="E48" i="108"/>
  <c r="H47" i="108"/>
  <c r="G47" i="108"/>
  <c r="F47" i="108"/>
  <c r="E47" i="108"/>
  <c r="H46" i="108"/>
  <c r="G46" i="108"/>
  <c r="F46" i="108"/>
  <c r="E46" i="108"/>
  <c r="H45" i="108"/>
  <c r="G45" i="108"/>
  <c r="F45" i="108"/>
  <c r="E45" i="108"/>
  <c r="H18" i="108"/>
  <c r="G18" i="108"/>
  <c r="F18" i="108"/>
  <c r="H17" i="108"/>
  <c r="G17" i="108"/>
  <c r="F17" i="108"/>
  <c r="H16" i="108"/>
  <c r="G16" i="108"/>
  <c r="F16" i="108"/>
  <c r="H15" i="108"/>
  <c r="G15" i="108"/>
  <c r="F15" i="108"/>
  <c r="E15" i="108"/>
  <c r="D5" i="108"/>
  <c r="A4" i="108"/>
  <c r="A2" i="108"/>
  <c r="H48" i="107"/>
  <c r="G48" i="107"/>
  <c r="F48" i="107"/>
  <c r="E48" i="107"/>
  <c r="H47" i="107"/>
  <c r="G47" i="107"/>
  <c r="F47" i="107"/>
  <c r="E47" i="107"/>
  <c r="H46" i="107"/>
  <c r="G46" i="107"/>
  <c r="F46" i="107"/>
  <c r="E46" i="107"/>
  <c r="H45" i="107"/>
  <c r="G45" i="107"/>
  <c r="F45" i="107"/>
  <c r="E45" i="107"/>
  <c r="H18" i="107"/>
  <c r="G18" i="107"/>
  <c r="F18" i="107"/>
  <c r="H17" i="107"/>
  <c r="G17" i="107"/>
  <c r="F17" i="107"/>
  <c r="H16" i="107"/>
  <c r="G16" i="107"/>
  <c r="F16" i="107"/>
  <c r="H15" i="107"/>
  <c r="G15" i="107"/>
  <c r="F15" i="107"/>
  <c r="E15" i="107"/>
  <c r="D5" i="107"/>
  <c r="A4" i="107"/>
  <c r="A2" i="107"/>
  <c r="H48" i="106"/>
  <c r="G48" i="106"/>
  <c r="F48" i="106"/>
  <c r="E48" i="106"/>
  <c r="H47" i="106"/>
  <c r="G47" i="106"/>
  <c r="F47" i="106"/>
  <c r="E47" i="106"/>
  <c r="H46" i="106"/>
  <c r="G46" i="106"/>
  <c r="F46" i="106"/>
  <c r="E46" i="106"/>
  <c r="H45" i="106"/>
  <c r="G45" i="106"/>
  <c r="F45" i="106"/>
  <c r="E45" i="106"/>
  <c r="H18" i="106"/>
  <c r="G18" i="106"/>
  <c r="F18" i="106"/>
  <c r="H17" i="106"/>
  <c r="G17" i="106"/>
  <c r="F17" i="106"/>
  <c r="H16" i="106"/>
  <c r="G16" i="106"/>
  <c r="F16" i="106"/>
  <c r="H15" i="106"/>
  <c r="G15" i="106"/>
  <c r="F15" i="106"/>
  <c r="E15" i="106"/>
  <c r="D5" i="106"/>
  <c r="A4" i="106"/>
  <c r="A2" i="106"/>
  <c r="H48" i="105"/>
  <c r="G48" i="105"/>
  <c r="F48" i="105"/>
  <c r="E48" i="105"/>
  <c r="H47" i="105"/>
  <c r="G47" i="105"/>
  <c r="F47" i="105"/>
  <c r="E47" i="105"/>
  <c r="H46" i="105"/>
  <c r="G46" i="105"/>
  <c r="F46" i="105"/>
  <c r="E46" i="105"/>
  <c r="H45" i="105"/>
  <c r="G45" i="105"/>
  <c r="F45" i="105"/>
  <c r="E45" i="105"/>
  <c r="H18" i="105"/>
  <c r="G18" i="105"/>
  <c r="F18" i="105"/>
  <c r="H17" i="105"/>
  <c r="G17" i="105"/>
  <c r="F17" i="105"/>
  <c r="H16" i="105"/>
  <c r="G16" i="105"/>
  <c r="F16" i="105"/>
  <c r="H15" i="105"/>
  <c r="G15" i="105"/>
  <c r="F15" i="105"/>
  <c r="E15" i="105"/>
  <c r="D5" i="105"/>
  <c r="A4" i="105"/>
  <c r="A2" i="105"/>
  <c r="H48" i="104"/>
  <c r="G48" i="104"/>
  <c r="F48" i="104"/>
  <c r="E48" i="104"/>
  <c r="H47" i="104"/>
  <c r="G47" i="104"/>
  <c r="F47" i="104"/>
  <c r="E47" i="104"/>
  <c r="H46" i="104"/>
  <c r="G46" i="104"/>
  <c r="F46" i="104"/>
  <c r="E46" i="104"/>
  <c r="H45" i="104"/>
  <c r="G45" i="104"/>
  <c r="F45" i="104"/>
  <c r="E45" i="104"/>
  <c r="H18" i="104"/>
  <c r="G18" i="104"/>
  <c r="F18" i="104"/>
  <c r="H17" i="104"/>
  <c r="G17" i="104"/>
  <c r="F17" i="104"/>
  <c r="H16" i="104"/>
  <c r="G16" i="104"/>
  <c r="F16" i="104"/>
  <c r="H15" i="104"/>
  <c r="G15" i="104"/>
  <c r="F15" i="104"/>
  <c r="E15" i="104"/>
  <c r="D5" i="104"/>
  <c r="A4" i="104"/>
  <c r="A2" i="104"/>
  <c r="H48" i="103"/>
  <c r="G48" i="103"/>
  <c r="F48" i="103"/>
  <c r="E48" i="103"/>
  <c r="H47" i="103"/>
  <c r="G47" i="103"/>
  <c r="F47" i="103"/>
  <c r="E47" i="103"/>
  <c r="H46" i="103"/>
  <c r="G46" i="103"/>
  <c r="F46" i="103"/>
  <c r="E46" i="103"/>
  <c r="H45" i="103"/>
  <c r="G45" i="103"/>
  <c r="F45" i="103"/>
  <c r="E45" i="103"/>
  <c r="H18" i="103"/>
  <c r="G18" i="103"/>
  <c r="F18" i="103"/>
  <c r="H17" i="103"/>
  <c r="G17" i="103"/>
  <c r="F17" i="103"/>
  <c r="H16" i="103"/>
  <c r="G16" i="103"/>
  <c r="F16" i="103"/>
  <c r="H15" i="103"/>
  <c r="G15" i="103"/>
  <c r="F15" i="103"/>
  <c r="E15" i="103"/>
  <c r="D5" i="103"/>
  <c r="A4" i="103"/>
  <c r="A2" i="103"/>
  <c r="H48" i="102"/>
  <c r="G48" i="102"/>
  <c r="F48" i="102"/>
  <c r="E48" i="102"/>
  <c r="H47" i="102"/>
  <c r="G47" i="102"/>
  <c r="F47" i="102"/>
  <c r="E47" i="102"/>
  <c r="H46" i="102"/>
  <c r="G46" i="102"/>
  <c r="F46" i="102"/>
  <c r="E46" i="102"/>
  <c r="H45" i="102"/>
  <c r="G45" i="102"/>
  <c r="F45" i="102"/>
  <c r="E45" i="102"/>
  <c r="H18" i="102"/>
  <c r="G18" i="102"/>
  <c r="F18" i="102"/>
  <c r="H17" i="102"/>
  <c r="G17" i="102"/>
  <c r="F17" i="102"/>
  <c r="H16" i="102"/>
  <c r="G16" i="102"/>
  <c r="F16" i="102"/>
  <c r="H15" i="102"/>
  <c r="G15" i="102"/>
  <c r="F15" i="102"/>
  <c r="E15" i="102"/>
  <c r="D5" i="102"/>
  <c r="A4" i="102"/>
  <c r="A2" i="102"/>
  <c r="H48" i="101"/>
  <c r="G48" i="101"/>
  <c r="F48" i="101"/>
  <c r="E48" i="101"/>
  <c r="H47" i="101"/>
  <c r="G47" i="101"/>
  <c r="F47" i="101"/>
  <c r="E47" i="101"/>
  <c r="H46" i="101"/>
  <c r="G46" i="101"/>
  <c r="F46" i="101"/>
  <c r="E46" i="101"/>
  <c r="H45" i="101"/>
  <c r="G45" i="101"/>
  <c r="F45" i="101"/>
  <c r="E45" i="101"/>
  <c r="H18" i="101"/>
  <c r="G18" i="101"/>
  <c r="F18" i="101"/>
  <c r="H17" i="101"/>
  <c r="G17" i="101"/>
  <c r="F17" i="101"/>
  <c r="H16" i="101"/>
  <c r="G16" i="101"/>
  <c r="F16" i="101"/>
  <c r="H15" i="101"/>
  <c r="G15" i="101"/>
  <c r="F15" i="101"/>
  <c r="E15" i="101"/>
  <c r="D5" i="101"/>
  <c r="A4" i="101"/>
  <c r="A2" i="101"/>
  <c r="H48" i="100"/>
  <c r="G48" i="100"/>
  <c r="F48" i="100"/>
  <c r="E48" i="100"/>
  <c r="H47" i="100"/>
  <c r="G47" i="100"/>
  <c r="F47" i="100"/>
  <c r="E47" i="100"/>
  <c r="H46" i="100"/>
  <c r="G46" i="100"/>
  <c r="F46" i="100"/>
  <c r="E46" i="100"/>
  <c r="H45" i="100"/>
  <c r="G45" i="100"/>
  <c r="F45" i="100"/>
  <c r="E45" i="100"/>
  <c r="H18" i="100"/>
  <c r="G18" i="100"/>
  <c r="F18" i="100"/>
  <c r="H17" i="100"/>
  <c r="G17" i="100"/>
  <c r="F17" i="100"/>
  <c r="H16" i="100"/>
  <c r="G16" i="100"/>
  <c r="F16" i="100"/>
  <c r="H15" i="100"/>
  <c r="G15" i="100"/>
  <c r="F15" i="100"/>
  <c r="E15" i="100"/>
  <c r="D5" i="100"/>
  <c r="A4" i="100"/>
  <c r="A2" i="100"/>
  <c r="H48" i="99"/>
  <c r="G48" i="99"/>
  <c r="F48" i="99"/>
  <c r="E48" i="99"/>
  <c r="H47" i="99"/>
  <c r="G47" i="99"/>
  <c r="F47" i="99"/>
  <c r="E47" i="99"/>
  <c r="H46" i="99"/>
  <c r="G46" i="99"/>
  <c r="F46" i="99"/>
  <c r="E46" i="99"/>
  <c r="H45" i="99"/>
  <c r="G45" i="99"/>
  <c r="F45" i="99"/>
  <c r="E45" i="99"/>
  <c r="H18" i="99"/>
  <c r="G18" i="99"/>
  <c r="F18" i="99"/>
  <c r="H17" i="99"/>
  <c r="G17" i="99"/>
  <c r="F17" i="99"/>
  <c r="H16" i="99"/>
  <c r="G16" i="99"/>
  <c r="F16" i="99"/>
  <c r="H15" i="99"/>
  <c r="G15" i="99"/>
  <c r="F15" i="99"/>
  <c r="E15" i="99"/>
  <c r="D5" i="99"/>
  <c r="A4" i="99"/>
  <c r="A2" i="99"/>
  <c r="H48" i="98"/>
  <c r="G48" i="98"/>
  <c r="F48" i="98"/>
  <c r="E48" i="98"/>
  <c r="H47" i="98"/>
  <c r="G47" i="98"/>
  <c r="F47" i="98"/>
  <c r="E47" i="98"/>
  <c r="H46" i="98"/>
  <c r="G46" i="98"/>
  <c r="F46" i="98"/>
  <c r="E46" i="98"/>
  <c r="H45" i="98"/>
  <c r="G45" i="98"/>
  <c r="F45" i="98"/>
  <c r="E45" i="98"/>
  <c r="H18" i="98"/>
  <c r="G18" i="98"/>
  <c r="F18" i="98"/>
  <c r="H17" i="98"/>
  <c r="G17" i="98"/>
  <c r="F17" i="98"/>
  <c r="H16" i="98"/>
  <c r="G16" i="98"/>
  <c r="F16" i="98"/>
  <c r="H15" i="98"/>
  <c r="G15" i="98"/>
  <c r="F15" i="98"/>
  <c r="E15" i="98"/>
  <c r="D5" i="98"/>
  <c r="A4" i="98"/>
  <c r="A2" i="98"/>
  <c r="G48" i="96"/>
  <c r="F48" i="96"/>
  <c r="E48" i="96"/>
  <c r="G47" i="96"/>
  <c r="F47" i="96"/>
  <c r="E47" i="96"/>
  <c r="G46" i="96"/>
  <c r="F46" i="96"/>
  <c r="E46" i="96"/>
  <c r="G45" i="96"/>
  <c r="F45" i="96"/>
  <c r="E45" i="96"/>
  <c r="G18" i="96"/>
  <c r="F18" i="96"/>
  <c r="G17" i="96"/>
  <c r="F17" i="96"/>
  <c r="G16" i="96"/>
  <c r="F16" i="96"/>
  <c r="G15" i="96"/>
  <c r="F15" i="96"/>
  <c r="E15" i="96"/>
  <c r="D5" i="96"/>
  <c r="A4" i="96"/>
  <c r="A2" i="96"/>
  <c r="H48" i="95"/>
  <c r="G48" i="95"/>
  <c r="F48" i="95"/>
  <c r="E48" i="95"/>
  <c r="H47" i="95"/>
  <c r="G47" i="95"/>
  <c r="F47" i="95"/>
  <c r="E47" i="95"/>
  <c r="H46" i="95"/>
  <c r="G46" i="95"/>
  <c r="F46" i="95"/>
  <c r="E46" i="95"/>
  <c r="H45" i="95"/>
  <c r="G45" i="95"/>
  <c r="F45" i="95"/>
  <c r="E45" i="95"/>
  <c r="H18" i="95"/>
  <c r="G18" i="95"/>
  <c r="F18" i="95"/>
  <c r="H17" i="95"/>
  <c r="G17" i="95"/>
  <c r="F17" i="95"/>
  <c r="H16" i="95"/>
  <c r="G16" i="95"/>
  <c r="F16" i="95"/>
  <c r="H15" i="95"/>
  <c r="G15" i="95"/>
  <c r="F15" i="95"/>
  <c r="E15" i="95"/>
  <c r="D5" i="95"/>
  <c r="A4" i="95"/>
  <c r="A2" i="95"/>
  <c r="H48" i="94"/>
  <c r="G48" i="94"/>
  <c r="F48" i="94"/>
  <c r="E48" i="94"/>
  <c r="H47" i="94"/>
  <c r="G47" i="94"/>
  <c r="F47" i="94"/>
  <c r="E47" i="94"/>
  <c r="H46" i="94"/>
  <c r="G46" i="94"/>
  <c r="F46" i="94"/>
  <c r="E46" i="94"/>
  <c r="H45" i="94"/>
  <c r="G45" i="94"/>
  <c r="F45" i="94"/>
  <c r="E45" i="94"/>
  <c r="H18" i="94"/>
  <c r="G18" i="94"/>
  <c r="F18" i="94"/>
  <c r="H17" i="94"/>
  <c r="G17" i="94"/>
  <c r="F17" i="94"/>
  <c r="H16" i="94"/>
  <c r="G16" i="94"/>
  <c r="F16" i="94"/>
  <c r="H15" i="94"/>
  <c r="G15" i="94"/>
  <c r="F15" i="94"/>
  <c r="E15" i="94"/>
  <c r="D5" i="94"/>
  <c r="A4" i="94"/>
  <c r="A2" i="94"/>
  <c r="H48" i="93"/>
  <c r="G48" i="93"/>
  <c r="F48" i="93"/>
  <c r="E48" i="93"/>
  <c r="H47" i="93"/>
  <c r="G47" i="93"/>
  <c r="F47" i="93"/>
  <c r="E47" i="93"/>
  <c r="H46" i="93"/>
  <c r="G46" i="93"/>
  <c r="F46" i="93"/>
  <c r="E46" i="93"/>
  <c r="H45" i="93"/>
  <c r="G45" i="93"/>
  <c r="F45" i="93"/>
  <c r="E45" i="93"/>
  <c r="H18" i="93"/>
  <c r="G18" i="93"/>
  <c r="F18" i="93"/>
  <c r="H17" i="93"/>
  <c r="G17" i="93"/>
  <c r="F17" i="93"/>
  <c r="H16" i="93"/>
  <c r="G16" i="93"/>
  <c r="F16" i="93"/>
  <c r="H15" i="93"/>
  <c r="G15" i="93"/>
  <c r="F15" i="93"/>
  <c r="E15" i="93"/>
  <c r="D5" i="93"/>
  <c r="A4" i="93"/>
  <c r="A2" i="93"/>
  <c r="H48" i="92"/>
  <c r="G48" i="92"/>
  <c r="F48" i="92"/>
  <c r="E48" i="92"/>
  <c r="H47" i="92"/>
  <c r="G47" i="92"/>
  <c r="F47" i="92"/>
  <c r="E47" i="92"/>
  <c r="H46" i="92"/>
  <c r="G46" i="92"/>
  <c r="F46" i="92"/>
  <c r="E46" i="92"/>
  <c r="H45" i="92"/>
  <c r="G45" i="92"/>
  <c r="F45" i="92"/>
  <c r="E45" i="92"/>
  <c r="H18" i="92"/>
  <c r="G18" i="92"/>
  <c r="F18" i="92"/>
  <c r="H17" i="92"/>
  <c r="G17" i="92"/>
  <c r="F17" i="92"/>
  <c r="H16" i="92"/>
  <c r="G16" i="92"/>
  <c r="F16" i="92"/>
  <c r="H15" i="92"/>
  <c r="G15" i="92"/>
  <c r="F15" i="92"/>
  <c r="E15" i="92"/>
  <c r="D5" i="92"/>
  <c r="A4" i="92"/>
  <c r="A2" i="92"/>
  <c r="H48" i="91"/>
  <c r="G48" i="91"/>
  <c r="F48" i="91"/>
  <c r="E48" i="91"/>
  <c r="H47" i="91"/>
  <c r="G47" i="91"/>
  <c r="F47" i="91"/>
  <c r="E47" i="91"/>
  <c r="H46" i="91"/>
  <c r="G46" i="91"/>
  <c r="F46" i="91"/>
  <c r="E46" i="91"/>
  <c r="H45" i="91"/>
  <c r="G45" i="91"/>
  <c r="F45" i="91"/>
  <c r="E45" i="91"/>
  <c r="H18" i="91"/>
  <c r="G18" i="91"/>
  <c r="F18" i="91"/>
  <c r="H17" i="91"/>
  <c r="G17" i="91"/>
  <c r="F17" i="91"/>
  <c r="H16" i="91"/>
  <c r="G16" i="91"/>
  <c r="F16" i="91"/>
  <c r="H15" i="91"/>
  <c r="G15" i="91"/>
  <c r="F15" i="91"/>
  <c r="E15" i="91"/>
  <c r="D5" i="91"/>
  <c r="A4" i="91"/>
  <c r="A2" i="91"/>
  <c r="H48" i="90"/>
  <c r="G48" i="90"/>
  <c r="F48" i="90"/>
  <c r="E48" i="90"/>
  <c r="H47" i="90"/>
  <c r="G47" i="90"/>
  <c r="F47" i="90"/>
  <c r="E47" i="90"/>
  <c r="H46" i="90"/>
  <c r="G46" i="90"/>
  <c r="F46" i="90"/>
  <c r="E46" i="90"/>
  <c r="H45" i="90"/>
  <c r="G45" i="90"/>
  <c r="F45" i="90"/>
  <c r="E45" i="90"/>
  <c r="H18" i="90"/>
  <c r="G18" i="90"/>
  <c r="F18" i="90"/>
  <c r="H17" i="90"/>
  <c r="G17" i="90"/>
  <c r="F17" i="90"/>
  <c r="H16" i="90"/>
  <c r="G16" i="90"/>
  <c r="F16" i="90"/>
  <c r="H15" i="90"/>
  <c r="G15" i="90"/>
  <c r="F15" i="90"/>
  <c r="E15" i="90"/>
  <c r="D5" i="90"/>
  <c r="A4" i="90"/>
  <c r="A2" i="90"/>
  <c r="H48" i="89"/>
  <c r="G48" i="89"/>
  <c r="F48" i="89"/>
  <c r="E48" i="89"/>
  <c r="H47" i="89"/>
  <c r="G47" i="89"/>
  <c r="F47" i="89"/>
  <c r="E47" i="89"/>
  <c r="H46" i="89"/>
  <c r="G46" i="89"/>
  <c r="F46" i="89"/>
  <c r="E46" i="89"/>
  <c r="H45" i="89"/>
  <c r="G45" i="89"/>
  <c r="F45" i="89"/>
  <c r="E45" i="89"/>
  <c r="H18" i="89"/>
  <c r="G18" i="89"/>
  <c r="F18" i="89"/>
  <c r="H17" i="89"/>
  <c r="G17" i="89"/>
  <c r="F17" i="89"/>
  <c r="H16" i="89"/>
  <c r="G16" i="89"/>
  <c r="F16" i="89"/>
  <c r="H15" i="89"/>
  <c r="G15" i="89"/>
  <c r="F15" i="89"/>
  <c r="E15" i="89"/>
  <c r="D5" i="89"/>
  <c r="A4" i="89"/>
  <c r="A2" i="89"/>
  <c r="H48" i="88"/>
  <c r="G48" i="88"/>
  <c r="F48" i="88"/>
  <c r="E48" i="88"/>
  <c r="H47" i="88"/>
  <c r="G47" i="88"/>
  <c r="F47" i="88"/>
  <c r="E47" i="88"/>
  <c r="H46" i="88"/>
  <c r="G46" i="88"/>
  <c r="F46" i="88"/>
  <c r="E46" i="88"/>
  <c r="H45" i="88"/>
  <c r="G45" i="88"/>
  <c r="F45" i="88"/>
  <c r="E45" i="88"/>
  <c r="H18" i="88"/>
  <c r="G18" i="88"/>
  <c r="F18" i="88"/>
  <c r="H17" i="88"/>
  <c r="G17" i="88"/>
  <c r="F17" i="88"/>
  <c r="H16" i="88"/>
  <c r="G16" i="88"/>
  <c r="F16" i="88"/>
  <c r="H15" i="88"/>
  <c r="G15" i="88"/>
  <c r="F15" i="88"/>
  <c r="E15" i="88"/>
  <c r="D5" i="88"/>
  <c r="A4" i="88"/>
  <c r="A2" i="88"/>
  <c r="H48" i="87"/>
  <c r="G48" i="87"/>
  <c r="F48" i="87"/>
  <c r="E48" i="87"/>
  <c r="H47" i="87"/>
  <c r="G47" i="87"/>
  <c r="F47" i="87"/>
  <c r="E47" i="87"/>
  <c r="H46" i="87"/>
  <c r="G46" i="87"/>
  <c r="F46" i="87"/>
  <c r="E46" i="87"/>
  <c r="H45" i="87"/>
  <c r="G45" i="87"/>
  <c r="F45" i="87"/>
  <c r="E45" i="87"/>
  <c r="H18" i="87"/>
  <c r="G18" i="87"/>
  <c r="F18" i="87"/>
  <c r="H17" i="87"/>
  <c r="G17" i="87"/>
  <c r="F17" i="87"/>
  <c r="H16" i="87"/>
  <c r="G16" i="87"/>
  <c r="F16" i="87"/>
  <c r="H15" i="87"/>
  <c r="G15" i="87"/>
  <c r="F15" i="87"/>
  <c r="E15" i="87"/>
  <c r="D5" i="87"/>
  <c r="A4" i="87"/>
  <c r="A2" i="87"/>
  <c r="H48" i="86"/>
  <c r="G48" i="86"/>
  <c r="F48" i="86"/>
  <c r="E48" i="86"/>
  <c r="H47" i="86"/>
  <c r="G47" i="86"/>
  <c r="F47" i="86"/>
  <c r="E47" i="86"/>
  <c r="H46" i="86"/>
  <c r="G46" i="86"/>
  <c r="F46" i="86"/>
  <c r="E46" i="86"/>
  <c r="H45" i="86"/>
  <c r="G45" i="86"/>
  <c r="F45" i="86"/>
  <c r="E45" i="86"/>
  <c r="H18" i="86"/>
  <c r="G18" i="86"/>
  <c r="F18" i="86"/>
  <c r="H17" i="86"/>
  <c r="G17" i="86"/>
  <c r="F17" i="86"/>
  <c r="H16" i="86"/>
  <c r="G16" i="86"/>
  <c r="F16" i="86"/>
  <c r="H15" i="86"/>
  <c r="G15" i="86"/>
  <c r="F15" i="86"/>
  <c r="E15" i="86"/>
  <c r="D5" i="86"/>
  <c r="A4" i="86"/>
  <c r="A2" i="86"/>
  <c r="H48" i="85"/>
  <c r="G48" i="85"/>
  <c r="F48" i="85"/>
  <c r="E48" i="85"/>
  <c r="H47" i="85"/>
  <c r="G47" i="85"/>
  <c r="F47" i="85"/>
  <c r="E47" i="85"/>
  <c r="H46" i="85"/>
  <c r="G46" i="85"/>
  <c r="F46" i="85"/>
  <c r="E46" i="85"/>
  <c r="H45" i="85"/>
  <c r="G45" i="85"/>
  <c r="F45" i="85"/>
  <c r="E45" i="85"/>
  <c r="H18" i="85"/>
  <c r="G18" i="85"/>
  <c r="F18" i="85"/>
  <c r="H17" i="85"/>
  <c r="G17" i="85"/>
  <c r="F17" i="85"/>
  <c r="H16" i="85"/>
  <c r="G16" i="85"/>
  <c r="F16" i="85"/>
  <c r="H15" i="85"/>
  <c r="G15" i="85"/>
  <c r="F15" i="85"/>
  <c r="E15" i="85"/>
  <c r="D5" i="85"/>
  <c r="A4" i="85"/>
  <c r="A2" i="85"/>
  <c r="H48" i="84"/>
  <c r="G48" i="84"/>
  <c r="F48" i="84"/>
  <c r="E48" i="84"/>
  <c r="H47" i="84"/>
  <c r="G47" i="84"/>
  <c r="F47" i="84"/>
  <c r="E47" i="84"/>
  <c r="H46" i="84"/>
  <c r="G46" i="84"/>
  <c r="F46" i="84"/>
  <c r="E46" i="84"/>
  <c r="H45" i="84"/>
  <c r="G45" i="84"/>
  <c r="F45" i="84"/>
  <c r="E45" i="84"/>
  <c r="H18" i="84"/>
  <c r="G18" i="84"/>
  <c r="F18" i="84"/>
  <c r="H17" i="84"/>
  <c r="G17" i="84"/>
  <c r="F17" i="84"/>
  <c r="H16" i="84"/>
  <c r="G16" i="84"/>
  <c r="F16" i="84"/>
  <c r="H15" i="84"/>
  <c r="G15" i="84"/>
  <c r="F15" i="84"/>
  <c r="E15" i="84"/>
  <c r="D5" i="84"/>
  <c r="A4" i="84"/>
  <c r="A2" i="84"/>
  <c r="H48" i="83"/>
  <c r="G48" i="83"/>
  <c r="F48" i="83"/>
  <c r="E48" i="83"/>
  <c r="H47" i="83"/>
  <c r="G47" i="83"/>
  <c r="F47" i="83"/>
  <c r="E47" i="83"/>
  <c r="H46" i="83"/>
  <c r="G46" i="83"/>
  <c r="F46" i="83"/>
  <c r="E46" i="83"/>
  <c r="H45" i="83"/>
  <c r="G45" i="83"/>
  <c r="F45" i="83"/>
  <c r="E45" i="83"/>
  <c r="H18" i="83"/>
  <c r="G18" i="83"/>
  <c r="F18" i="83"/>
  <c r="H17" i="83"/>
  <c r="G17" i="83"/>
  <c r="F17" i="83"/>
  <c r="H16" i="83"/>
  <c r="G16" i="83"/>
  <c r="F16" i="83"/>
  <c r="H15" i="83"/>
  <c r="G15" i="83"/>
  <c r="F15" i="83"/>
  <c r="E15" i="83"/>
  <c r="D5" i="83"/>
  <c r="A4" i="83"/>
  <c r="A2" i="83"/>
  <c r="H48" i="82"/>
  <c r="G48" i="82"/>
  <c r="F48" i="82"/>
  <c r="E48" i="82"/>
  <c r="H47" i="82"/>
  <c r="G47" i="82"/>
  <c r="F47" i="82"/>
  <c r="E47" i="82"/>
  <c r="H46" i="82"/>
  <c r="G46" i="82"/>
  <c r="F46" i="82"/>
  <c r="E46" i="82"/>
  <c r="H45" i="82"/>
  <c r="G45" i="82"/>
  <c r="F45" i="82"/>
  <c r="E45" i="82"/>
  <c r="H18" i="82"/>
  <c r="G18" i="82"/>
  <c r="F18" i="82"/>
  <c r="H17" i="82"/>
  <c r="G17" i="82"/>
  <c r="F17" i="82"/>
  <c r="H16" i="82"/>
  <c r="G16" i="82"/>
  <c r="F16" i="82"/>
  <c r="H15" i="82"/>
  <c r="G15" i="82"/>
  <c r="F15" i="82"/>
  <c r="E15" i="82"/>
  <c r="D5" i="82"/>
  <c r="A4" i="82"/>
  <c r="A2" i="82"/>
  <c r="H48" i="81"/>
  <c r="G48" i="81"/>
  <c r="F48" i="81"/>
  <c r="E48" i="81"/>
  <c r="H47" i="81"/>
  <c r="G47" i="81"/>
  <c r="F47" i="81"/>
  <c r="E47" i="81"/>
  <c r="H46" i="81"/>
  <c r="G46" i="81"/>
  <c r="F46" i="81"/>
  <c r="E46" i="81"/>
  <c r="H45" i="81"/>
  <c r="G45" i="81"/>
  <c r="F45" i="81"/>
  <c r="E45" i="81"/>
  <c r="H18" i="81"/>
  <c r="G18" i="81"/>
  <c r="F18" i="81"/>
  <c r="H17" i="81"/>
  <c r="G17" i="81"/>
  <c r="F17" i="81"/>
  <c r="H16" i="81"/>
  <c r="G16" i="81"/>
  <c r="F16" i="81"/>
  <c r="H15" i="81"/>
  <c r="G15" i="81"/>
  <c r="F15" i="81"/>
  <c r="E15" i="81"/>
  <c r="D5" i="81"/>
  <c r="A4" i="81"/>
  <c r="A2" i="81"/>
  <c r="H48" i="80"/>
  <c r="G48" i="80"/>
  <c r="F48" i="80"/>
  <c r="E48" i="80"/>
  <c r="H47" i="80"/>
  <c r="G47" i="80"/>
  <c r="F47" i="80"/>
  <c r="E47" i="80"/>
  <c r="H46" i="80"/>
  <c r="G46" i="80"/>
  <c r="F46" i="80"/>
  <c r="E46" i="80"/>
  <c r="H45" i="80"/>
  <c r="G45" i="80"/>
  <c r="F45" i="80"/>
  <c r="E45" i="80"/>
  <c r="H18" i="80"/>
  <c r="G18" i="80"/>
  <c r="F18" i="80"/>
  <c r="H17" i="80"/>
  <c r="G17" i="80"/>
  <c r="F17" i="80"/>
  <c r="H16" i="80"/>
  <c r="G16" i="80"/>
  <c r="F16" i="80"/>
  <c r="H15" i="80"/>
  <c r="G15" i="80"/>
  <c r="F15" i="80"/>
  <c r="E15" i="80"/>
  <c r="D5" i="80"/>
  <c r="A4" i="80"/>
  <c r="A2" i="80"/>
  <c r="H48" i="79"/>
  <c r="G48" i="79"/>
  <c r="F48" i="79"/>
  <c r="E48" i="79"/>
  <c r="H47" i="79"/>
  <c r="G47" i="79"/>
  <c r="F47" i="79"/>
  <c r="E47" i="79"/>
  <c r="H46" i="79"/>
  <c r="G46" i="79"/>
  <c r="F46" i="79"/>
  <c r="E46" i="79"/>
  <c r="H45" i="79"/>
  <c r="G45" i="79"/>
  <c r="F45" i="79"/>
  <c r="E45" i="79"/>
  <c r="H18" i="79"/>
  <c r="G18" i="79"/>
  <c r="F18" i="79"/>
  <c r="H17" i="79"/>
  <c r="G17" i="79"/>
  <c r="F17" i="79"/>
  <c r="H16" i="79"/>
  <c r="G16" i="79"/>
  <c r="F16" i="79"/>
  <c r="H15" i="79"/>
  <c r="G15" i="79"/>
  <c r="F15" i="79"/>
  <c r="E15" i="79"/>
  <c r="D5" i="79"/>
  <c r="A4" i="79"/>
  <c r="A2" i="79"/>
  <c r="H48" i="78"/>
  <c r="G48" i="78"/>
  <c r="F48" i="78"/>
  <c r="E48" i="78"/>
  <c r="H47" i="78"/>
  <c r="G47" i="78"/>
  <c r="F47" i="78"/>
  <c r="E47" i="78"/>
  <c r="H46" i="78"/>
  <c r="G46" i="78"/>
  <c r="F46" i="78"/>
  <c r="E46" i="78"/>
  <c r="H45" i="78"/>
  <c r="G45" i="78"/>
  <c r="F45" i="78"/>
  <c r="E45" i="78"/>
  <c r="H18" i="78"/>
  <c r="G18" i="78"/>
  <c r="F18" i="78"/>
  <c r="H17" i="78"/>
  <c r="G17" i="78"/>
  <c r="F17" i="78"/>
  <c r="H16" i="78"/>
  <c r="G16" i="78"/>
  <c r="F16" i="78"/>
  <c r="H15" i="78"/>
  <c r="G15" i="78"/>
  <c r="F15" i="78"/>
  <c r="E15" i="78"/>
  <c r="D5" i="78"/>
  <c r="A4" i="78"/>
  <c r="A2" i="78"/>
  <c r="H48" i="77"/>
  <c r="G48" i="77"/>
  <c r="F48" i="77"/>
  <c r="E48" i="77"/>
  <c r="H47" i="77"/>
  <c r="G47" i="77"/>
  <c r="F47" i="77"/>
  <c r="E47" i="77"/>
  <c r="H46" i="77"/>
  <c r="G46" i="77"/>
  <c r="F46" i="77"/>
  <c r="E46" i="77"/>
  <c r="H45" i="77"/>
  <c r="G45" i="77"/>
  <c r="F45" i="77"/>
  <c r="E45" i="77"/>
  <c r="H18" i="77"/>
  <c r="G18" i="77"/>
  <c r="F18" i="77"/>
  <c r="H17" i="77"/>
  <c r="G17" i="77"/>
  <c r="F17" i="77"/>
  <c r="H16" i="77"/>
  <c r="G16" i="77"/>
  <c r="F16" i="77"/>
  <c r="H15" i="77"/>
  <c r="G15" i="77"/>
  <c r="F15" i="77"/>
  <c r="E15" i="77"/>
  <c r="D5" i="77"/>
  <c r="A4" i="77"/>
  <c r="A2" i="77"/>
  <c r="D219" i="24"/>
  <c r="C219" i="24"/>
  <c r="D216" i="24"/>
  <c r="D217" i="24" s="1"/>
  <c r="C216" i="24"/>
  <c r="C217" i="24" s="1"/>
  <c r="B203" i="24"/>
  <c r="B201" i="24"/>
  <c r="L43" i="1"/>
  <c r="L42" i="1"/>
  <c r="A42" i="1"/>
  <c r="L34" i="1"/>
  <c r="A19" i="1"/>
  <c r="D218" i="24" l="1"/>
</calcChain>
</file>

<file path=xl/sharedStrings.xml><?xml version="1.0" encoding="utf-8"?>
<sst xmlns="http://schemas.openxmlformats.org/spreadsheetml/2006/main" count="15092" uniqueCount="629">
  <si>
    <t>Benefits Proposal</t>
  </si>
  <si>
    <t>Current</t>
  </si>
  <si>
    <t>Renewal</t>
  </si>
  <si>
    <t>Effective Date:</t>
  </si>
  <si>
    <t>Employee + Spouse</t>
  </si>
  <si>
    <t>Estimated Monthly Premium</t>
  </si>
  <si>
    <t>Estimated Annual Premium</t>
  </si>
  <si>
    <t>Difference to Current</t>
  </si>
  <si>
    <t>N/A</t>
  </si>
  <si>
    <t>Annual Dollar Change</t>
  </si>
  <si>
    <t>Monthly Dollar Change</t>
  </si>
  <si>
    <t>Deductible (Individual/Family)</t>
  </si>
  <si>
    <t>Coinsurance</t>
  </si>
  <si>
    <t>Out-of-Pocket Maximum (Ind/Family)</t>
  </si>
  <si>
    <t>Physician Services</t>
  </si>
  <si>
    <t>Routine Office Visit</t>
  </si>
  <si>
    <t>Specialist Office Visit</t>
  </si>
  <si>
    <t>Diagnostic Services</t>
  </si>
  <si>
    <t>Outpatient Lab (Freestanding/Hospital-based)</t>
  </si>
  <si>
    <t>Outpatient X-Ray (Freestanding/Hospital-based)</t>
  </si>
  <si>
    <t>MRI,CT, Pet Scan (Freestanding/Hospital-based)</t>
  </si>
  <si>
    <t>Emergency Services</t>
  </si>
  <si>
    <t>Urgent Care</t>
  </si>
  <si>
    <t>Emergency Room</t>
  </si>
  <si>
    <t>Hospital/Surgery</t>
  </si>
  <si>
    <t>Outpatient Surgery</t>
  </si>
  <si>
    <t>Inpatient Hospital Services</t>
  </si>
  <si>
    <t>Mail Order</t>
  </si>
  <si>
    <t>Lives</t>
  </si>
  <si>
    <t>View</t>
  </si>
  <si>
    <t>Rate Breakdown</t>
  </si>
  <si>
    <t>Rates are subject to change based on final enrollment. Programs are subject to change. This is a brief description of benefits provided for demonstration purposes only. Actual benefits, limitations and exclusions are set forth in the certificate of insurance issued to members. The rates and benefit comparisons generated by benefix are illustrative only and will not become final until signed carrier rate sheets have been obtained and approved.</t>
  </si>
  <si>
    <t>Rate</t>
  </si>
  <si>
    <t>Rx Deductible</t>
  </si>
  <si>
    <t>Group Medical</t>
  </si>
  <si>
    <t>Current Plan</t>
  </si>
  <si>
    <t>Alternative 2</t>
  </si>
  <si>
    <t>Totals</t>
  </si>
  <si>
    <t>Monthly Premium</t>
  </si>
  <si>
    <t>Annual Premium</t>
  </si>
  <si>
    <t>% Diff From Current</t>
  </si>
  <si>
    <t>Lives Covered</t>
  </si>
  <si>
    <t>Lookup Key</t>
  </si>
  <si>
    <t>Option Group</t>
  </si>
  <si>
    <t>Carrier</t>
  </si>
  <si>
    <t>Plan Name</t>
  </si>
  <si>
    <t>Premium</t>
  </si>
  <si>
    <t>Alternative 3</t>
  </si>
  <si>
    <t>Alternative 4</t>
  </si>
  <si>
    <t>Alternative 5</t>
  </si>
  <si>
    <t>Alternative 6</t>
  </si>
  <si>
    <t>Alternative 1</t>
  </si>
  <si>
    <t xml:space="preserve"> Prescription Drugs</t>
  </si>
  <si>
    <t xml:space="preserve"> Out-of-Network Benefits</t>
  </si>
  <si>
    <t xml:space="preserve"> In-Network Benefits</t>
  </si>
  <si>
    <t>Summary Information</t>
  </si>
  <si>
    <t/>
  </si>
  <si>
    <t>Census Details</t>
  </si>
  <si>
    <t>View PDF</t>
  </si>
  <si>
    <t>Name</t>
  </si>
  <si>
    <t>Type</t>
  </si>
  <si>
    <t>Coverage Tier</t>
  </si>
  <si>
    <t>DOB</t>
  </si>
  <si>
    <t>ZIP Code</t>
  </si>
  <si>
    <t>ER</t>
  </si>
  <si>
    <t>EE</t>
  </si>
  <si>
    <t>Payroll Reduction</t>
  </si>
  <si>
    <t>Number of Contracts:</t>
  </si>
  <si>
    <t>Total Rate</t>
  </si>
  <si>
    <t>Medical Devices</t>
  </si>
  <si>
    <t>Durable Medical Equipment</t>
  </si>
  <si>
    <t>Copay 1</t>
  </si>
  <si>
    <t>Copay 2</t>
  </si>
  <si>
    <t>Copay 3</t>
  </si>
  <si>
    <t>Copay 4</t>
  </si>
  <si>
    <t>Specialty</t>
  </si>
  <si>
    <t>Counts</t>
  </si>
  <si>
    <t>Single</t>
  </si>
  <si>
    <t>Employee + Ch(ren)</t>
  </si>
  <si>
    <t>Family</t>
  </si>
  <si>
    <t>Community Rates</t>
  </si>
  <si>
    <t>Cost Summary</t>
  </si>
  <si>
    <t>Total Estimated Monthly Premium</t>
  </si>
  <si>
    <t>Total Estimated Annual Premium</t>
  </si>
  <si>
    <t>Group Medical Rate Table</t>
  </si>
  <si>
    <t>Age Band</t>
  </si>
  <si>
    <t>0 - 14</t>
  </si>
  <si>
    <t>64+</t>
  </si>
  <si>
    <t>Report ID: 984369</t>
  </si>
  <si>
    <t>Nottingham Insurance Agency</t>
  </si>
  <si>
    <t>Joseph Sensi, Jr.</t>
  </si>
  <si>
    <t>Email: jsensi@nottinghaminsurance.com</t>
  </si>
  <si>
    <t xml:space="preserve">Phone: </t>
  </si>
  <si>
    <t xml:space="preserve">2277 Route 33, Suite 404 </t>
  </si>
  <si>
    <t>Trenton, NJ 08690</t>
  </si>
  <si>
    <t>5211</t>
  </si>
  <si>
    <t>08008</t>
  </si>
  <si>
    <t>SurestCC50002025RXALT2</t>
  </si>
  <si>
    <t>UnitedHealthcare</t>
  </si>
  <si>
    <t>SurestCC50002026RXALT2</t>
  </si>
  <si>
    <t>SEH Select Bronze EPO Local Value $40/$85</t>
  </si>
  <si>
    <t>AmeriHealth New Jersey</t>
  </si>
  <si>
    <t>SEH Select Bronze EPO Regional Preferred with NY $40/$85</t>
  </si>
  <si>
    <t>Paul Devaney</t>
  </si>
  <si>
    <t>F</t>
  </si>
  <si>
    <t>08734</t>
  </si>
  <si>
    <t>Tamara Devaney</t>
  </si>
  <si>
    <t>SP</t>
  </si>
  <si>
    <t>Aidan Devaney</t>
  </si>
  <si>
    <t>D</t>
  </si>
  <si>
    <t>Kevin Gutierrez</t>
  </si>
  <si>
    <t>08050</t>
  </si>
  <si>
    <t>Denise Moon</t>
  </si>
  <si>
    <t>08087</t>
  </si>
  <si>
    <t>Stephen Moon</t>
  </si>
  <si>
    <t>Zinnia Moon</t>
  </si>
  <si>
    <t>Roger Muratore</t>
  </si>
  <si>
    <t>ES</t>
  </si>
  <si>
    <t>08005</t>
  </si>
  <si>
    <t>Deborah Muratore</t>
  </si>
  <si>
    <t>Anthony D'Ambrosio</t>
  </si>
  <si>
    <t>07734</t>
  </si>
  <si>
    <t>Joseph Lynch</t>
  </si>
  <si>
    <t>08515</t>
  </si>
  <si>
    <t>Keli Lynch</t>
  </si>
  <si>
    <t>Juliana Lynch</t>
  </si>
  <si>
    <t>Isabella Lynch</t>
  </si>
  <si>
    <t>Paul Meli</t>
  </si>
  <si>
    <t>Dorothy Meli</t>
  </si>
  <si>
    <t>Susan Woodward</t>
  </si>
  <si>
    <t>John Blum</t>
  </si>
  <si>
    <t>08505</t>
  </si>
  <si>
    <t>Edwin Byk</t>
  </si>
  <si>
    <t>Jeremy Howley</t>
  </si>
  <si>
    <t>Heather Howley</t>
  </si>
  <si>
    <t>Raymond Hurle</t>
  </si>
  <si>
    <t>Maryann Hurle</t>
  </si>
  <si>
    <t>Marissa Hurle</t>
  </si>
  <si>
    <t>Jesse Jannsch</t>
  </si>
  <si>
    <t>Amanda  Kramer</t>
  </si>
  <si>
    <t>Vincent  Nardi</t>
  </si>
  <si>
    <t>Ethan Oliver</t>
  </si>
  <si>
    <t>Genny  Oliver</t>
  </si>
  <si>
    <t>Zachary Oliver</t>
  </si>
  <si>
    <t>Karsyn Oliver</t>
  </si>
  <si>
    <t>Paul  Smith</t>
  </si>
  <si>
    <t>Joseph Young</t>
  </si>
  <si>
    <t>08742</t>
  </si>
  <si>
    <t>SEH Select Bronze EPO HSA AmeriHealth Advantage LV $25/$50</t>
  </si>
  <si>
    <t>SEH Select Bronze EPO Local Value $50/$75</t>
  </si>
  <si>
    <t>SEH Select Bronze EPO HSA AmeriHealth Advantage RP with NY $25/$50</t>
  </si>
  <si>
    <t>SEH Select Bronze EPO Regional Preferred with NY $50/$75</t>
  </si>
  <si>
    <t>SEH Select Bronze EPO HSA Local Value 50%/50%</t>
  </si>
  <si>
    <t>Alternative 7</t>
  </si>
  <si>
    <t>SEH Select Bronze EPO HSA Regional Preferred with NY 50%/50%</t>
  </si>
  <si>
    <t>Alternative 8</t>
  </si>
  <si>
    <t>SEH Select Silver EPO Local Value $40/$75</t>
  </si>
  <si>
    <t>Alternative 9</t>
  </si>
  <si>
    <t>SEH Select Bronze EPO HSA Local Value 0%/0%</t>
  </si>
  <si>
    <t>Alternative 10</t>
  </si>
  <si>
    <t>SEH Select Silver EPO AmeriHealth Hospital Advantage $50/$75</t>
  </si>
  <si>
    <t>Alternative 11</t>
  </si>
  <si>
    <t>SEH Select Silver EPO Regional Preferred with NY $40/$75</t>
  </si>
  <si>
    <t>Alternative 12</t>
  </si>
  <si>
    <t>SEH Select Bronze EPO HSA Regional Preferred with NY 0%/0%</t>
  </si>
  <si>
    <t>Alternative 13</t>
  </si>
  <si>
    <t>OMNIA Bronze</t>
  </si>
  <si>
    <t>Horizon</t>
  </si>
  <si>
    <t>Alternative 14</t>
  </si>
  <si>
    <t>SEH Select Gold EPO AmeriHealth Advantage LV $20/$40</t>
  </si>
  <si>
    <t>Alternative 15</t>
  </si>
  <si>
    <t>NJ S MTRO NG 50/75/2500/50 EPO 26</t>
  </si>
  <si>
    <t>UnitedHealthcare Oxford</t>
  </si>
  <si>
    <t>Alternative 16</t>
  </si>
  <si>
    <t>SEH Select Silver EPO HSA Local Value 0%/0% $6,000</t>
  </si>
  <si>
    <t>Alternative 17</t>
  </si>
  <si>
    <t>SEH Select Silver EPO HSA Local Value 20%/20%</t>
  </si>
  <si>
    <t>Alternative 18</t>
  </si>
  <si>
    <t>SEH Select Gold EPO AmeriHealth Advantage RP with NY $20/$40</t>
  </si>
  <si>
    <t>Alternative 19</t>
  </si>
  <si>
    <t>SEH Select Gold EPO Local Value $30/$60</t>
  </si>
  <si>
    <t>Alternative 20</t>
  </si>
  <si>
    <t>OMNIA Silver BlueCard</t>
  </si>
  <si>
    <t>Alternative 21</t>
  </si>
  <si>
    <t>OMNIA Silver</t>
  </si>
  <si>
    <t>Alternative 22</t>
  </si>
  <si>
    <t>NJ G MTRO NG 30/60/1600/100 EPO 26</t>
  </si>
  <si>
    <t>Alternative 23</t>
  </si>
  <si>
    <t>SEH Select Silver EPO HSA Regional Preferred with NY 20%/20%</t>
  </si>
  <si>
    <t>Alternative 24</t>
  </si>
  <si>
    <t>SEH Select Gold EPO Regional Preferred with NY $30/$60</t>
  </si>
  <si>
    <t>Alternative 25</t>
  </si>
  <si>
    <t>SEH Select Silver EPO HSA Local Value 0%/0%</t>
  </si>
  <si>
    <t>Alternative 26</t>
  </si>
  <si>
    <t>NJ G LBTY NG 25/50/1250/50 EPO 26</t>
  </si>
  <si>
    <t>Alternative 27</t>
  </si>
  <si>
    <t>Advantage EPO Silver 100/50</t>
  </si>
  <si>
    <t>Alternative 28</t>
  </si>
  <si>
    <t>SEH Select Gold EPO Local Value $10/$40</t>
  </si>
  <si>
    <t>Alternative 29</t>
  </si>
  <si>
    <t>NJ G LBTY GT 50/75/100 EPO ZD 26</t>
  </si>
  <si>
    <t>Alternative 30</t>
  </si>
  <si>
    <t>OMNIA Gold</t>
  </si>
  <si>
    <t>Alternative 31</t>
  </si>
  <si>
    <t>Advantage EPO Silver 100/50 BlueCard</t>
  </si>
  <si>
    <t>Alternative 32</t>
  </si>
  <si>
    <t>SEH Select Gold EPO Regional Preferred with NY $10/$40</t>
  </si>
  <si>
    <t>Alternative 33</t>
  </si>
  <si>
    <t>Advantage EPO Gold 100 $40/$60</t>
  </si>
  <si>
    <t>Alternative 34</t>
  </si>
  <si>
    <t>OMNIA Platinum</t>
  </si>
  <si>
    <t>Alternative 35</t>
  </si>
  <si>
    <t>Advantage EPO Gold 100 $25/$45</t>
  </si>
  <si>
    <t>Alternative 36</t>
  </si>
  <si>
    <t>NJ P LBTY NG 15/45/100 PPO 26</t>
  </si>
  <si>
    <t>Alternative 37</t>
  </si>
  <si>
    <t>Advantage EPO Gold 100 $25/$45 BlueCard</t>
  </si>
  <si>
    <t>Alternative 38</t>
  </si>
  <si>
    <t>SEH Gold EPO National Access with NY $10/$40</t>
  </si>
  <si>
    <t>Alternative 39</t>
  </si>
  <si>
    <t>SurestCE70002025RXALT2</t>
  </si>
  <si>
    <t>SurestCE70002026RXALT2</t>
  </si>
  <si>
    <t>SurestCF90002025RXALT3</t>
  </si>
  <si>
    <t>SurestCF90002026RXALT3</t>
  </si>
  <si>
    <t>Current Plan 1|AmeriHealth New Jersey</t>
  </si>
  <si>
    <t>Current Plan 1|Horizon</t>
  </si>
  <si>
    <t>Current Plan 1|UnitedHealthcare</t>
  </si>
  <si>
    <t>Current Plan 3|UnitedHealthcare</t>
  </si>
  <si>
    <t>Current Plan 3|UnitedHealthcare Oxford</t>
  </si>
  <si>
    <t>Current Plan 1</t>
  </si>
  <si>
    <t>Current Plan 1 Plan</t>
  </si>
  <si>
    <t>Current Plan 1 Lives</t>
  </si>
  <si>
    <t>Current Plan 1 Premium</t>
  </si>
  <si>
    <t>Current Plan 2</t>
  </si>
  <si>
    <t>Current Plan 2 Plan</t>
  </si>
  <si>
    <t>Current Plan 2 Lives</t>
  </si>
  <si>
    <t>Current Plan 2 Premium</t>
  </si>
  <si>
    <t>Current Plan 3</t>
  </si>
  <si>
    <t>Current Plan 3 Plan</t>
  </si>
  <si>
    <t>Current Plan 3 Lives</t>
  </si>
  <si>
    <t>Current Plan 3 Premium</t>
  </si>
  <si>
    <t>UnitedHealthcare
SurestCC50002025RXALT2</t>
  </si>
  <si>
    <t>Final Level Funded</t>
  </si>
  <si>
    <t>0%</t>
  </si>
  <si>
    <t>$0 - $1,000 max</t>
  </si>
  <si>
    <t>$600</t>
  </si>
  <si>
    <t>$2,000</t>
  </si>
  <si>
    <t>$0 / $0</t>
  </si>
  <si>
    <t>$5,000 / $10,000</t>
  </si>
  <si>
    <t>$10,000 / $20,000</t>
  </si>
  <si>
    <t>$125 - $850 max</t>
  </si>
  <si>
    <t>$0</t>
  </si>
  <si>
    <t>$35 - $3,000 max</t>
  </si>
  <si>
    <t>$20 - $105 max</t>
  </si>
  <si>
    <t>$60</t>
  </si>
  <si>
    <t>In Network: None</t>
  </si>
  <si>
    <t>$25/$150/$225</t>
  </si>
  <si>
    <t>$10/$150/$300</t>
  </si>
  <si>
    <t>UnitedHealthcare
SurestCC50002026RXALT2</t>
  </si>
  <si>
    <t>$650, waived if admitted</t>
  </si>
  <si>
    <t>Facility: $200 - $3,000 max / Physician: $0</t>
  </si>
  <si>
    <t>N/A / N/A</t>
  </si>
  <si>
    <t>$100 - $1,400 max</t>
  </si>
  <si>
    <t>Facility: $35 - $3,000 max / Physician: $0</t>
  </si>
  <si>
    <t>AmeriHealth New Jersey
SEH Select Bronze EPO Local Value $40/$85</t>
  </si>
  <si>
    <t xml:space="preserve"> Fully Insured</t>
  </si>
  <si>
    <t>50%</t>
  </si>
  <si>
    <t>50% after deductible</t>
  </si>
  <si>
    <t>$500 after deductible</t>
  </si>
  <si>
    <t>Facility: $500 after deductible / Physician: $0 after deductible (pre-approval required)</t>
  </si>
  <si>
    <t>$9,000 / $18,000</t>
  </si>
  <si>
    <t>$10,600 / $21,200</t>
  </si>
  <si>
    <t>50% after deductible (pre-approval required)</t>
  </si>
  <si>
    <t>$0 after deductible</t>
  </si>
  <si>
    <t>$40</t>
  </si>
  <si>
    <t>$85</t>
  </si>
  <si>
    <t>$85 after deductible</t>
  </si>
  <si>
    <t>In Network: Integrated</t>
  </si>
  <si>
    <t>$14/50%/50% after deductible, does not apply to Generic</t>
  </si>
  <si>
    <t>AmeriHealth New Jersey
SEH Select Bronze EPO Regional Preferred with NY $40/$85</t>
  </si>
  <si>
    <t>AmeriHealth New Jersey
SEH Select Bronze EPO HSA AmeriHealth Advantage LV $25/$50</t>
  </si>
  <si>
    <t>Tier 1: 30%, Tier 2: 50%</t>
  </si>
  <si>
    <t>Tier 1: 30% after deductible, Tier 2: 50% after deductible</t>
  </si>
  <si>
    <t>Tier 1: 30% after deductible (pre-approval required), Tier 2: 50% after deductible (pre-approval required)</t>
  </si>
  <si>
    <t>$6,000 / $12,000</t>
  </si>
  <si>
    <t>$8,450 / $16,900</t>
  </si>
  <si>
    <t>Tier 1: $25 after deductible, Tier 2: $50 after deductible</t>
  </si>
  <si>
    <t>Tier 1: $50 after deductible, Tier 2: $75 after deductible</t>
  </si>
  <si>
    <t>30% after deductible</t>
  </si>
  <si>
    <t>50% - $250 max after deductible</t>
  </si>
  <si>
    <t>50% - $125 max/50% - $250 max after deductible</t>
  </si>
  <si>
    <t>AmeriHealth New Jersey
SEH Select Bronze EPO Local Value $50/$75</t>
  </si>
  <si>
    <t>$3,000 / $6,000</t>
  </si>
  <si>
    <t>$10,150 / $20,300</t>
  </si>
  <si>
    <t>$50 after deductible</t>
  </si>
  <si>
    <t>$75 after deductible</t>
  </si>
  <si>
    <t>$50/50% - $500 max/50% - $500 max after deductible, does not apply to Generic</t>
  </si>
  <si>
    <t>50% - $250 max/50% - $500 max after deductible</t>
  </si>
  <si>
    <t>AmeriHealth New Jersey
SEH Select Bronze EPO HSA AmeriHealth Advantage RP with NY $25/$50</t>
  </si>
  <si>
    <t>AmeriHealth New Jersey
SEH Select Bronze EPO Regional Preferred with NY $50/$75</t>
  </si>
  <si>
    <t>AmeriHealth New Jersey
SEH Select Bronze EPO HSA Local Value 50%/50%</t>
  </si>
  <si>
    <t>AmeriHealth New Jersey
SEH Select Bronze EPO HSA Regional Preferred with NY 50%/50%</t>
  </si>
  <si>
    <t>AmeriHealth New Jersey
SEH Select Silver EPO Local Value $40/$75</t>
  </si>
  <si>
    <t>$9,700 / $19,400</t>
  </si>
  <si>
    <t>$300 after deductible (pre-approval required)</t>
  </si>
  <si>
    <t>Facility: $300 after deductible / Physician: $5 after deductible</t>
  </si>
  <si>
    <t>$150 after deductible</t>
  </si>
  <si>
    <t>$75</t>
  </si>
  <si>
    <t>$20/50%/50%</t>
  </si>
  <si>
    <t>AmeriHealth New Jersey
SEH Select Bronze EPO HSA Local Value 0%/0%</t>
  </si>
  <si>
    <t>Facility: $0 after deductible / Physician: $0 after deductible (pre-approval required)</t>
  </si>
  <si>
    <t>$0 after deductible (pre-approval required)</t>
  </si>
  <si>
    <t>Facility: $0 after deductible / Physician: $0 after deductible</t>
  </si>
  <si>
    <t>$50/50% - $250 max/50% - $250 max after deductible</t>
  </si>
  <si>
    <t>AmeriHealth New Jersey
SEH Select Silver EPO AmeriHealth Hospital Advantage $50/$75</t>
  </si>
  <si>
    <t>Tier 1: 20%, Tier 2: 50%</t>
  </si>
  <si>
    <t>Tier 1: $100 after deductible, Tier 2: $300 after deductible</t>
  </si>
  <si>
    <t>Tier 1: 20% after deductible (pre-approval required), Tier 2: 50% after deductible (pre-approval required)</t>
  </si>
  <si>
    <t>$2,500 / $5,000</t>
  </si>
  <si>
    <t>$9,200 / $18,400</t>
  </si>
  <si>
    <t>Tier 1: 20% after deductible, Tier 2: 50% after deductible</t>
  </si>
  <si>
    <t>$50</t>
  </si>
  <si>
    <t>$40/50% - $250 max/50% - $250 max after deductible, does not apply to Generic</t>
  </si>
  <si>
    <t>AmeriHealth New Jersey
SEH Select Silver EPO Regional Preferred with NY $40/$75</t>
  </si>
  <si>
    <t>AmeriHealth New Jersey
SEH Select Bronze EPO HSA Regional Preferred with NY 0%/0%</t>
  </si>
  <si>
    <t>Horizon
OMNIA Bronze</t>
  </si>
  <si>
    <t>$100 waived if admitted, then 50% after deductible</t>
  </si>
  <si>
    <t>Facility: 50% after deductible (pre-approval required) / Physician: 50% after deductible</t>
  </si>
  <si>
    <t>Tier 1: $3,500, Tier 2: $5,000 / Tier 1: $7,000, Tier 2: $10,000</t>
  </si>
  <si>
    <t>Freestanding: $0 / Hospital: 50% after deductible</t>
  </si>
  <si>
    <t>Tier 1: Freestanding: 40% after deductible, Hospital: 50% after deductible, Tier 2: 50% after deductible</t>
  </si>
  <si>
    <t>Tier 1: $50 after deductible, Tier 2: 50% after deductible</t>
  </si>
  <si>
    <t>Tier 1: $100 after deductible, Tier 2: 50% after deductible</t>
  </si>
  <si>
    <t>$50/50%/50% after deductible, does not apply to Generic</t>
  </si>
  <si>
    <t>Covered at retail benefit in applicable categories.</t>
  </si>
  <si>
    <t>AmeriHealth New Jersey
SEH Select Gold EPO AmeriHealth Advantage LV $20/$40</t>
  </si>
  <si>
    <t>$100</t>
  </si>
  <si>
    <t>$1,800 / $3,600</t>
  </si>
  <si>
    <t>$7,700 / $15,400</t>
  </si>
  <si>
    <t>20% after deductible (pre-approval required)</t>
  </si>
  <si>
    <t>20% after deductible</t>
  </si>
  <si>
    <t>Tier 1: $20, Tier 2: $50</t>
  </si>
  <si>
    <t>Tier 1: $40, Tier 2: $75</t>
  </si>
  <si>
    <t>$40/$80/$150</t>
  </si>
  <si>
    <t>$75/$150</t>
  </si>
  <si>
    <t>UnitedHealthcare Oxford
NJ S MTRO NG 50/75/2500/50 EPO 26</t>
  </si>
  <si>
    <t>$100 per occurrence deductible, then 50% after medical deductible</t>
  </si>
  <si>
    <t>Hospital: 50% after deductible / Freestanding: $100 after deductible</t>
  </si>
  <si>
    <t>Designated Network: $0, Network: 50% after deductible</t>
  </si>
  <si>
    <t>Facility: Freestanding: $500 after deductible, Hospital: 50% after deductible / Physician: 50% after deductible</t>
  </si>
  <si>
    <t>In Network: $250 individual/$250 family</t>
  </si>
  <si>
    <t>$30/$100/50% after Rx deductible, does not apply to Tier 1</t>
  </si>
  <si>
    <t>$15/20% - $150 max/50% - $500 max after Rx deductible, does not apply to Specialty Tier 1</t>
  </si>
  <si>
    <t>AmeriHealth New Jersey
SEH Select Silver EPO HSA Local Value 0%/0% $6,000</t>
  </si>
  <si>
    <t>AmeriHealth New Jersey
SEH Select Silver EPO HSA Local Value 20%/20%</t>
  </si>
  <si>
    <t>20%</t>
  </si>
  <si>
    <t>$40/50% - $250 max/50% - $250 max after deductible</t>
  </si>
  <si>
    <t>AmeriHealth New Jersey
SEH Select Gold EPO AmeriHealth Advantage RP with NY $20/$40</t>
  </si>
  <si>
    <t>AmeriHealth New Jersey
SEH Select Gold EPO Local Value $30/$60</t>
  </si>
  <si>
    <t>$200 after deductible</t>
  </si>
  <si>
    <t>$1,500 / $3,000</t>
  </si>
  <si>
    <t>$7,000 / $14,000</t>
  </si>
  <si>
    <t>$30</t>
  </si>
  <si>
    <t>$20/50% - $250 max/50% - $250 max</t>
  </si>
  <si>
    <t>50% - $125 max/50% - $250 max</t>
  </si>
  <si>
    <t>Horizon
OMNIA Silver BlueCard</t>
  </si>
  <si>
    <t>Tier 1: 40%, Tier 2: 50%</t>
  </si>
  <si>
    <t>$100 waived if admitted, then 40% after deductible</t>
  </si>
  <si>
    <t>Tier 1: Facility: 40% after deductible (pre-approval required) / Physician: 40% after deductible, Tier 2: Facility: 50% after deductible (pre-approval required) / Physician: 50% after deductible</t>
  </si>
  <si>
    <t>Tier 1: $2,500, Tier 2: $2,750 / Tier 1: $5,000, Tier 2: $5,500</t>
  </si>
  <si>
    <t>Tier 1: 40% after deductible (pre-approval required), Tier 2: 50% after deductible (pre-approval required)</t>
  </si>
  <si>
    <t>Tier 1: Freestanding: $0 / Hospital: 40% after deductible, Tier 2: Freestanding: $0 / Hospital: 50% after deductible</t>
  </si>
  <si>
    <t>Tier 1: Freestanding: 30% after deductible, Hospital: 40% after deductible, Tier 2: 50% after deductible</t>
  </si>
  <si>
    <t>Tier 1: $30, Tier 2: $50</t>
  </si>
  <si>
    <t>Tier 1: $50, Tier 2: $70</t>
  </si>
  <si>
    <t>In Network: $250 individual/$500 family</t>
  </si>
  <si>
    <t>$50/50%/50% after Rx deductible</t>
  </si>
  <si>
    <t>Horizon
OMNIA Silver</t>
  </si>
  <si>
    <t>Tier 1: 0%, Tier 2: 50%</t>
  </si>
  <si>
    <t>$100 waived if admitted, then 30% after deductible</t>
  </si>
  <si>
    <t>Tier 1: Facility: $500/day - $2,500 max/admission after deductible (pre-approval required) / Physician: $0 after deductible, Tier 2: Facility: 50% after deductible (pre-approval required) / Physician: 50% after deductible</t>
  </si>
  <si>
    <t>Tier 1: $1,500, Tier 2: $2,500 / Tier 1: $3,000, Tier 2: $5,000</t>
  </si>
  <si>
    <t>Tier 1: $10,000, Tier 2: $10,150 / Tier 1: $20,000, Tier 2: $20,300</t>
  </si>
  <si>
    <t>Tier 1: $100 after deductible (pre-approval required), Tier 2: 50% after deductible (pre-approval required)</t>
  </si>
  <si>
    <t>Tier 1: Freestanding: $0 / Hospital: $100 after deductible, Tier 2: Freestanding: $0 / Hospital: 50% after deductible</t>
  </si>
  <si>
    <t>Tier 1: Freestanding: $200 after deductible / Hospital: $250 after deductible / Physician: $0 after deductible, Tier 2: 50% after deductible</t>
  </si>
  <si>
    <t>Tier 1: $25, Tier 2: 50% after deductible</t>
  </si>
  <si>
    <t>Tier 1: $50, Tier 2: 50% after deductible</t>
  </si>
  <si>
    <t>Tier 1: $75, Tier 2: 50% after deductible</t>
  </si>
  <si>
    <t>$50/50%/50% after Rx deductible, does not apply to Generic</t>
  </si>
  <si>
    <t>UnitedHealthcare Oxford
NJ G MTRO NG 30/60/1600/100 EPO 26</t>
  </si>
  <si>
    <t>$100 after deductible</t>
  </si>
  <si>
    <t>Facility: $500/day - $2,500 max/admission after deductible / Physician: $0 after deductible</t>
  </si>
  <si>
    <t>$1,600 / $3,200</t>
  </si>
  <si>
    <t>$8,500 / $17,000</t>
  </si>
  <si>
    <t>Hospital: $100 after deductible / Freestanding: $100</t>
  </si>
  <si>
    <t>Designated Network: $0, Network: $60 after deductible</t>
  </si>
  <si>
    <t>Facility: Freestanding: $50 after deductible, Hospital: 50% after deductible / Physician: $0 after deductible</t>
  </si>
  <si>
    <t>Hospital: $100 after deductible / Freestanding: $0</t>
  </si>
  <si>
    <t>$30/$100/50% - $300 max</t>
  </si>
  <si>
    <t>$15/20% - $150 max/50% - $150 max</t>
  </si>
  <si>
    <t>AmeriHealth New Jersey
SEH Select Silver EPO HSA Regional Preferred with NY 20%/20%</t>
  </si>
  <si>
    <t>AmeriHealth New Jersey
SEH Select Gold EPO Regional Preferred with NY $30/$60</t>
  </si>
  <si>
    <t>AmeriHealth New Jersey
SEH Select Silver EPO HSA Local Value 0%/0%</t>
  </si>
  <si>
    <t>$2,750 / $5,500</t>
  </si>
  <si>
    <t>$7,600 / $15,200</t>
  </si>
  <si>
    <t>30% after deductible (pre-approval required)</t>
  </si>
  <si>
    <t>UnitedHealthcare Oxford
NJ G LBTY NG 25/50/1250/50 EPO 26</t>
  </si>
  <si>
    <t>$1,250 / $2,500</t>
  </si>
  <si>
    <t>$5,500 / $11,000</t>
  </si>
  <si>
    <t>Facility: Freestanding: $100, Hospital: 50% after deductible / Physician: 50% after deductible</t>
  </si>
  <si>
    <t>$25</t>
  </si>
  <si>
    <t>$30/$70/$150</t>
  </si>
  <si>
    <t>Horizon
Advantage EPO Silver 100/50</t>
  </si>
  <si>
    <t>Freestanding: $0 / Hospital: $100 after deductible</t>
  </si>
  <si>
    <t>Freestanding: 40% after deductible, Hospital: 50% after deductible</t>
  </si>
  <si>
    <t>$50/$100/$150</t>
  </si>
  <si>
    <t>AmeriHealth New Jersey
SEH Select Gold EPO Local Value $10/$40</t>
  </si>
  <si>
    <t>$500</t>
  </si>
  <si>
    <t>Facility: $500/day - $2,500 max/admission / Physician: $0 (pre-approval required)</t>
  </si>
  <si>
    <t>$250 (pre-approval required)</t>
  </si>
  <si>
    <t>Facility: $350 / Physician: $5</t>
  </si>
  <si>
    <t>$125</t>
  </si>
  <si>
    <t>$10</t>
  </si>
  <si>
    <t>$30/$100/$600</t>
  </si>
  <si>
    <t>$300/$600</t>
  </si>
  <si>
    <t>UnitedHealthcare Oxford
NJ G LBTY GT 50/75/100 EPO ZD 26</t>
  </si>
  <si>
    <t>Facility: $500/day - $2,500 max/admission / Physician: $150</t>
  </si>
  <si>
    <t>$7,250 / $14,500</t>
  </si>
  <si>
    <t>Designated Network: $0, Network: $60</t>
  </si>
  <si>
    <t>Facility: Freestanding: $150, Hospital: $500 / Physician: $150</t>
  </si>
  <si>
    <t>In Network: $100 individual/$200 family</t>
  </si>
  <si>
    <t>$14/$70/$150 after Rx deductible, does not apply to Tier 1</t>
  </si>
  <si>
    <t>$7/20% - $150 max/50% - $500 max after Rx deductible, does not apply to Specialty Tier 1</t>
  </si>
  <si>
    <t>Horizon
OMNIA Gold</t>
  </si>
  <si>
    <t>Tier 1: 0%, Tier 2: 30%</t>
  </si>
  <si>
    <t>$100 waived if admitted, then 10% after deductible</t>
  </si>
  <si>
    <t>Tier 1: Facility: $500/day - $2,500 max/admission after deductible (pre-approval required) / Physician: $0 after deductible, Tier 2: Facility: 30% after deductible (pre-approval required) / Physician: 30% after deductible</t>
  </si>
  <si>
    <t>Tier 1: $1,350, Tier 2: $2,500 / Tier 1: $2,700, Tier 2: $5,000</t>
  </si>
  <si>
    <t>Tier 1: $8,550, Tier 2: $9,000 / Tier 1: $17,100, Tier 2: $18,000</t>
  </si>
  <si>
    <t>Tier 1: $75 after deductible (pre-approval required), Tier 2: 30% after deductible (pre-approval required)</t>
  </si>
  <si>
    <t>Tier 1: Freestanding: $0 / Hospital: $50 after deductible, Tier 2: Freestanding: $0 / Hospital: 30% after deductible</t>
  </si>
  <si>
    <t>Tier 1: Freestanding: $200 after deductible / Hospital: $250 after deductible / Physician: $0 after deductible, Tier 2: 30% after deductible</t>
  </si>
  <si>
    <t>Tier 1: $20, Tier 2: $30 after deductible</t>
  </si>
  <si>
    <t>Tier 1: $40, Tier 2: $50 after deductible</t>
  </si>
  <si>
    <t>Tier 1: $75, Tier 2: $75 after deductible</t>
  </si>
  <si>
    <t>$20/$80/$150 after Rx deductible</t>
  </si>
  <si>
    <t>Horizon
Advantage EPO Silver 100/50 BlueCard</t>
  </si>
  <si>
    <t>AmeriHealth New Jersey
SEH Select Gold EPO Regional Preferred with NY $10/$40</t>
  </si>
  <si>
    <t>Horizon
Advantage EPO Gold 100 $40/$60</t>
  </si>
  <si>
    <t>50% (pre-approval required)</t>
  </si>
  <si>
    <t>$100, waived if admitted</t>
  </si>
  <si>
    <t>Facility: $500/day - $2,500 max/admission (pre-approval required) / Physician: $0</t>
  </si>
  <si>
    <t>$8,750 / $17,500</t>
  </si>
  <si>
    <t>$100 (pre-approval required)</t>
  </si>
  <si>
    <t>Freestanding: $0 / Hospital: $100</t>
  </si>
  <si>
    <t>Freestanding: $200 / Hospital: $250 / Physician: $0</t>
  </si>
  <si>
    <t>$50/50%/50%</t>
  </si>
  <si>
    <t>Horizon
OMNIA Platinum</t>
  </si>
  <si>
    <t>$100 waived if admitted, then 10%</t>
  </si>
  <si>
    <t>Tier 1: Facility: $350/day - $1,750 max/admission (pre-approval required) / Physician: $0, Tier 2: Facility: 30% after deductible (pre-approval required) / Physician: 30% after deductible</t>
  </si>
  <si>
    <t>Tier 1: $0, Tier 2: $2,250 / Tier 1: $0, Tier 2: $4,500</t>
  </si>
  <si>
    <t>Tier 1: $3,750, Tier 2: $5,750 / Tier 1: $7,500, Tier 2: $11,500</t>
  </si>
  <si>
    <t>Tier 1: $15 (pre-approval required), Tier 2: 30% after deductible (pre-approval required)</t>
  </si>
  <si>
    <t>Tier 1: Freestanding: $0 / Hospital: $15, Tier 2: Freestanding: $0 / Hospital: 30% after deductible</t>
  </si>
  <si>
    <t>Tier 1: Freestanding: $100 / Hospital: $150 / Physician: $0, Tier 2: 30% after deductible</t>
  </si>
  <si>
    <t>Tier 1: $15, Tier 2: $20</t>
  </si>
  <si>
    <t>Tier 1: $25, Tier 2: $35</t>
  </si>
  <si>
    <t>$10/$30/$60</t>
  </si>
  <si>
    <t>Horizon
Advantage EPO Gold 100 $25/$45</t>
  </si>
  <si>
    <t>$45</t>
  </si>
  <si>
    <t>$50/30%/30%</t>
  </si>
  <si>
    <t>UnitedHealthcare Oxford
NJ P LBTY NG 15/45/100 PPO 26</t>
  </si>
  <si>
    <t>Facility: $300/day - $1,500 max/admission / Physician: $0</t>
  </si>
  <si>
    <t>$3,500 / $7,000</t>
  </si>
  <si>
    <t>30%</t>
  </si>
  <si>
    <t>$4,000 / $8,000</t>
  </si>
  <si>
    <t>$8,000 / $16,000</t>
  </si>
  <si>
    <t>Facility: Freestanding: $10, Hospital: $500 / Physician: $0</t>
  </si>
  <si>
    <t>$15</t>
  </si>
  <si>
    <t>$10/$50/$100</t>
  </si>
  <si>
    <t>$5/20% - $150 max/50% - $500 max</t>
  </si>
  <si>
    <t>Horizon
Advantage EPO Gold 100 $25/$45 BlueCard</t>
  </si>
  <si>
    <t>AmeriHealth New Jersey
SEH Gold EPO National Access with NY $10/$40</t>
  </si>
  <si>
    <t>UnitedHealthcare
SurestCE70002025RXALT2</t>
  </si>
  <si>
    <t>$1,000</t>
  </si>
  <si>
    <t>$3,500</t>
  </si>
  <si>
    <t>$14,000 / $28,000</t>
  </si>
  <si>
    <t>$150 - $1,200 max</t>
  </si>
  <si>
    <t>$70 - $4,500 max</t>
  </si>
  <si>
    <t>$40 - $150 max</t>
  </si>
  <si>
    <t>$90</t>
  </si>
  <si>
    <t>UnitedHealthcare
SurestCE70002026RXALT2</t>
  </si>
  <si>
    <t>$1,000, waived if admitted</t>
  </si>
  <si>
    <t>Facility: $600 - $4,500 max / Physician: $0</t>
  </si>
  <si>
    <t>$150 - $2,400 max</t>
  </si>
  <si>
    <t>Facility: $70 - $4,500 max / Physician: $0</t>
  </si>
  <si>
    <t>UnitedHealthcare
SurestCF90002025RXALT3</t>
  </si>
  <si>
    <t>$4,500</t>
  </si>
  <si>
    <t>$18,000 / $36,000</t>
  </si>
  <si>
    <t>$200 - $1,300 max</t>
  </si>
  <si>
    <t>$80 - $5,500 max</t>
  </si>
  <si>
    <t>$50 - $160 max</t>
  </si>
  <si>
    <t>$110</t>
  </si>
  <si>
    <t>$50/$225/$375</t>
  </si>
  <si>
    <t>$20/$200/$500</t>
  </si>
  <si>
    <t>UnitedHealthcare
SurestCF90002026RXALT3</t>
  </si>
  <si>
    <t>$1,200, waived if admitted</t>
  </si>
  <si>
    <t>Facility: $500 - $5,500 max / Physician: $0</t>
  </si>
  <si>
    <t>$200 - $2,900 max</t>
  </si>
  <si>
    <t>Facility: $80 - $5,500 max / Physician: $0</t>
  </si>
  <si>
    <t>SEH Select Bronze EPO Local Value $40/$85 - Current Plan 1</t>
  </si>
  <si>
    <t>SEH Select Bronze EPO Regional Preferred with NY $40/$85 - Current Plan 1</t>
  </si>
  <si>
    <t>SEH Select Bronze EPO HSA AmeriHealth Advantage LV $25/$50 - Current Plan 1</t>
  </si>
  <si>
    <t>SEH Select Bronze EPO Local Value $50/$75 - Current Plan 1</t>
  </si>
  <si>
    <t>SEH Select Bronze EPO HSA AmeriHealth Advantage RP with NY $25/$50 - Current Plan 1</t>
  </si>
  <si>
    <t>SEH Select Bronze EPO Regional Preferred with NY $50/$75 - Current Plan 1</t>
  </si>
  <si>
    <t>SEH Select Bronze EPO HSA Local Value 50%/50% - Current Plan 1</t>
  </si>
  <si>
    <t>SEH Select Bronze EPO HSA Regional Preferred with NY 50%/50% - Current Plan 1</t>
  </si>
  <si>
    <t>SEH Select Silver EPO Local Value $40/$75 - Current Plan 1</t>
  </si>
  <si>
    <t>SEH Select Bronze EPO HSA Local Value 0%/0% - Current Plan 1</t>
  </si>
  <si>
    <t>SEH Select Silver EPO AmeriHealth Hospital Advantage $50/$75 - Current Plan 1</t>
  </si>
  <si>
    <t>SEH Select Silver EPO Regional Preferred with NY $40/$75 - Current Plan 1</t>
  </si>
  <si>
    <t>SEH Select Bronze EPO HSA Regional Preferred with NY 0%/0% - Current Plan 1</t>
  </si>
  <si>
    <t>OMNIA Bronze - Current Plan 1</t>
  </si>
  <si>
    <t>SEH Select Gold EPO AmeriHealth Advantage LV $20/$40 - Current Plan 1</t>
  </si>
  <si>
    <t>NJ S MTRO NG 50/75/2500/50 EPO 26 - Current Plan 1</t>
  </si>
  <si>
    <t>SEH Select Silver EPO HSA Local Value 0%/0% $6,000 - Current Plan 1</t>
  </si>
  <si>
    <t>SEH Select Silver EPO HSA Local Value 20%/20% - Current Plan 1</t>
  </si>
  <si>
    <t>SEH Select Gold EPO AmeriHealth Advantage RP with NY $20/$40 - Current Plan 1</t>
  </si>
  <si>
    <t>SEH Select Gold EPO Local Value $30/$60 - Current Plan 1</t>
  </si>
  <si>
    <t>OMNIA Silver BlueCard - Current Plan 1</t>
  </si>
  <si>
    <t>OMNIA Silver - Current Plan 1</t>
  </si>
  <si>
    <t>NJ G MTRO NG 30/60/1600/100 EPO 26 - Current Plan 1</t>
  </si>
  <si>
    <t>SEH Select Silver EPO HSA Regional Preferred with NY 20%/20% - Current Plan 1</t>
  </si>
  <si>
    <t>SEH Select Gold EPO Regional Preferred with NY $30/$60 - Current Plan 1</t>
  </si>
  <si>
    <t>SEH Select Silver EPO HSA Local Value 0%/0% - Current Plan 1</t>
  </si>
  <si>
    <t>NJ G LBTY NG 25/50/1250/50 EPO 26 - Current Plan 1</t>
  </si>
  <si>
    <t>Advantage EPO Silver 100/50 - Current Plan 1</t>
  </si>
  <si>
    <t>SEH Select Gold EPO Local Value $10/$40 - Current Plan 1</t>
  </si>
  <si>
    <t>NJ G LBTY GT 50/75/100 EPO ZD 26 - Current Plan 1</t>
  </si>
  <si>
    <t>OMNIA Gold - Current Plan 1</t>
  </si>
  <si>
    <t>Advantage EPO Silver 100/50 BlueCard - Current Plan 1</t>
  </si>
  <si>
    <t>SEH Select Gold EPO Regional Preferred with NY $10/$40 - Current Plan 1</t>
  </si>
  <si>
    <t>Advantage EPO Gold 100 $40/$60 - Current Plan 1</t>
  </si>
  <si>
    <t>OMNIA Platinum - Current Plan 1</t>
  </si>
  <si>
    <t>Advantage EPO Gold 100 $25/$45 - Current Plan 1</t>
  </si>
  <si>
    <t>NJ P LBTY NG 15/45/100 PPO 26 - Current Plan 1</t>
  </si>
  <si>
    <t>Advantage EPO Gold 100 $25/$45 BlueCard - Current Plan 1</t>
  </si>
  <si>
    <t>SEH Gold EPO National Access with NY $10/$40 - Current Plan 1</t>
  </si>
  <si>
    <t>SEH Select Bronze EPO Local Value $40/$85 - Current Plan 2</t>
  </si>
  <si>
    <t>SEH Select Bronze EPO Regional Preferred with NY $40/$85 - Current Plan 2</t>
  </si>
  <si>
    <t>SEH Select Bronze EPO HSA AmeriHealth Advantage LV $25/$50 - Current Plan 2</t>
  </si>
  <si>
    <t>SEH Select Bronze EPO Local Value $50/$75 - Current Plan 2</t>
  </si>
  <si>
    <t>SEH Select Bronze EPO HSA AmeriHealth Advantage RP with NY $25/$50 - Current Plan 2</t>
  </si>
  <si>
    <t>SEH Select Bronze EPO Regional Preferred with NY $50/$75 - Current Plan 2</t>
  </si>
  <si>
    <t>SEH Select Bronze EPO HSA Local Value 50%/50% - Current Plan 2</t>
  </si>
  <si>
    <t>SEH Select Bronze EPO HSA Regional Preferred with NY 50%/50% - Current Plan 2</t>
  </si>
  <si>
    <t>SEH Select Silver EPO Local Value $40/$75 - Current Plan 2</t>
  </si>
  <si>
    <t>SEH Select Bronze EPO HSA Local Value 0%/0% - Current Plan 2</t>
  </si>
  <si>
    <t>SEH Select Silver EPO AmeriHealth Hospital Advantage $50/$75 - Current Plan 2</t>
  </si>
  <si>
    <t>SEH Select Silver EPO Regional Preferred with NY $40/$75 - Current Plan 2</t>
  </si>
  <si>
    <t>SEH Select Bronze EPO HSA Regional Preferred with NY 0%/0% - Current Plan 2</t>
  </si>
  <si>
    <t>OMNIA Bronze - Current Plan 2</t>
  </si>
  <si>
    <t>SEH Select Gold EPO AmeriHealth Advantage LV $20/$40 - Current Plan 2</t>
  </si>
  <si>
    <t>NJ S MTRO NG 50/75/2500/50 EPO 26 - Current Plan 2</t>
  </si>
  <si>
    <t>SEH Select Silver EPO HSA Local Value 0%/0% $6,000 - Current Plan 2</t>
  </si>
  <si>
    <t>SEH Select Silver EPO HSA Local Value 20%/20% - Current Plan 2</t>
  </si>
  <si>
    <t>SEH Select Gold EPO AmeriHealth Advantage RP with NY $20/$40 - Current Plan 2</t>
  </si>
  <si>
    <t>SEH Select Gold EPO Local Value $30/$60 - Current Plan 2</t>
  </si>
  <si>
    <t>OMNIA Silver BlueCard - Current Plan 2</t>
  </si>
  <si>
    <t>OMNIA Silver - Current Plan 2</t>
  </si>
  <si>
    <t>NJ G MTRO NG 30/60/1600/100 EPO 26 - Current Plan 2</t>
  </si>
  <si>
    <t>SEH Select Silver EPO HSA Regional Preferred with NY 20%/20% - Current Plan 2</t>
  </si>
  <si>
    <t>SEH Select Gold EPO Regional Preferred with NY $30/$60 - Current Plan 2</t>
  </si>
  <si>
    <t>SEH Select Silver EPO HSA Local Value 0%/0% - Current Plan 2</t>
  </si>
  <si>
    <t>NJ G LBTY NG 25/50/1250/50 EPO 26 - Current Plan 2</t>
  </si>
  <si>
    <t>Advantage EPO Silver 100/50 - Current Plan 2</t>
  </si>
  <si>
    <t>SEH Select Gold EPO Local Value $10/$40 - Current Plan 2</t>
  </si>
  <si>
    <t>NJ G LBTY GT 50/75/100 EPO ZD 26 - Current Plan 2</t>
  </si>
  <si>
    <t>OMNIA Gold - Current Plan 2</t>
  </si>
  <si>
    <t>Advantage EPO Silver 100/50 BlueCard - Current Plan 2</t>
  </si>
  <si>
    <t>SEH Select Gold EPO Regional Preferred with NY $10/$40 - Current Plan 2</t>
  </si>
  <si>
    <t>Advantage EPO Gold 100 $40/$60 - Current Plan 2</t>
  </si>
  <si>
    <t>OMNIA Platinum - Current Plan 2</t>
  </si>
  <si>
    <t>Advantage EPO Gold 100 $25/$45 - Current Plan 2</t>
  </si>
  <si>
    <t>NJ P LBTY NG 15/45/100 PPO 26 - Current Plan 2</t>
  </si>
  <si>
    <t>Advantage EPO Gold 100 $25/$45 BlueCard - Current Plan 2</t>
  </si>
  <si>
    <t>SEH Gold EPO National Access with NY $10/$40 - Current Plan 2</t>
  </si>
  <si>
    <t>SEH Select Bronze EPO Local Value $40/$85 - Current Plan 3</t>
  </si>
  <si>
    <t>SEH Select Bronze EPO Regional Preferred with NY $40/$85 - Current Plan 3</t>
  </si>
  <si>
    <t>SEH Select Bronze EPO HSA AmeriHealth Advantage LV $25/$50 - Current Plan 3</t>
  </si>
  <si>
    <t>SEH Select Bronze EPO Local Value $50/$75 - Current Plan 3</t>
  </si>
  <si>
    <t>SEH Select Bronze EPO HSA AmeriHealth Advantage RP with NY $25/$50 - Current Plan 3</t>
  </si>
  <si>
    <t>SEH Select Bronze EPO Regional Preferred with NY $50/$75 - Current Plan 3</t>
  </si>
  <si>
    <t>SEH Select Bronze EPO HSA Local Value 50%/50% - Current Plan 3</t>
  </si>
  <si>
    <t>SEH Select Bronze EPO HSA Regional Preferred with NY 50%/50% - Current Plan 3</t>
  </si>
  <si>
    <t>SEH Select Silver EPO Local Value $40/$75 - Current Plan 3</t>
  </si>
  <si>
    <t>SEH Select Bronze EPO HSA Local Value 0%/0% - Current Plan 3</t>
  </si>
  <si>
    <t>SEH Select Silver EPO AmeriHealth Hospital Advantage $50/$75 - Current Plan 3</t>
  </si>
  <si>
    <t>SEH Select Silver EPO Regional Preferred with NY $40/$75 - Current Plan 3</t>
  </si>
  <si>
    <t>SEH Select Bronze EPO HSA Regional Preferred with NY 0%/0% - Current Plan 3</t>
  </si>
  <si>
    <t>OMNIA Bronze - Current Plan 3</t>
  </si>
  <si>
    <t>SEH Select Gold EPO AmeriHealth Advantage LV $20/$40 - Current Plan 3</t>
  </si>
  <si>
    <t>NJ S MTRO NG 50/75/2500/50 EPO 26 - Current Plan 3</t>
  </si>
  <si>
    <t>SEH Select Silver EPO HSA Local Value 0%/0% $6,000 - Current Plan 3</t>
  </si>
  <si>
    <t>SEH Select Silver EPO HSA Local Value 20%/20% - Current Plan 3</t>
  </si>
  <si>
    <t>SEH Select Gold EPO AmeriHealth Advantage RP with NY $20/$40 - Current Plan 3</t>
  </si>
  <si>
    <t>SEH Select Gold EPO Local Value $30/$60 - Current Plan 3</t>
  </si>
  <si>
    <t>OMNIA Silver BlueCard - Current Plan 3</t>
  </si>
  <si>
    <t>OMNIA Silver - Current Plan 3</t>
  </si>
  <si>
    <t>NJ G MTRO NG 30/60/1600/100 EPO 26 - Current Plan 3</t>
  </si>
  <si>
    <t>SEH Select Silver EPO HSA Regional Preferred with NY 20%/20% - Current Plan 3</t>
  </si>
  <si>
    <t>SEH Select Gold EPO Regional Preferred with NY $30/$60 - Current Plan 3</t>
  </si>
  <si>
    <t>SEH Select Silver EPO HSA Local Value 0%/0% - Current Plan 3</t>
  </si>
  <si>
    <t>NJ G LBTY NG 25/50/1250/50 EPO 26 - Current Plan 3</t>
  </si>
  <si>
    <t>Advantage EPO Silver 100/50 - Current Plan 3</t>
  </si>
  <si>
    <t>SEH Select Gold EPO Local Value $10/$40 - Current Plan 3</t>
  </si>
  <si>
    <t>NJ G LBTY GT 50/75/100 EPO ZD 26 - Current Plan 3</t>
  </si>
  <si>
    <t>OMNIA Gold - Current Plan 3</t>
  </si>
  <si>
    <t>Advantage EPO Silver 100/50 BlueCard - Current Plan 3</t>
  </si>
  <si>
    <t>SEH Select Gold EPO Regional Preferred with NY $10/$40 - Current Plan 3</t>
  </si>
  <si>
    <t>Advantage EPO Gold 100 $40/$60 - Current Plan 3</t>
  </si>
  <si>
    <t>OMNIA Platinum - Current Plan 3</t>
  </si>
  <si>
    <t>Advantage EPO Gold 100 $25/$45 - Current Plan 3</t>
  </si>
  <si>
    <t>NJ P LBTY NG 15/45/100 PPO 26 - Current Plan 3</t>
  </si>
  <si>
    <t>Advantage EPO Gold 100 $25/$45 BlueCard - Current Plan 3</t>
  </si>
  <si>
    <t>SEH Gold EPO National Access with NY $10/$40 - Current Plan 3</t>
  </si>
  <si>
    <t>Tuckerton Lumber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</si>
</sst>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3" formatCode="_(* #,##0.00_);_(* \(#,##0.00\);_(* &quot;-&quot;??_);_(@_)"/>
    <numFmt numFmtId="164" formatCode="m/d/yy;@"/>
    <numFmt numFmtId="165" formatCode="&quot;$&quot;#,##0.00"/>
    <numFmt numFmtId="166" formatCode="&quot;$&quot;#,##0"/>
  </numFmts>
  <fonts count="38" x14ac:knownFonts="1">
    <font>
      <sz val="12"/>
      <color theme="1"/>
      <name val="Calibri"/>
      <family val="2"/>
      <scheme val="minor"/>
    </font>
    <font>
      <sz val="12"/>
      <color theme="1"/>
      <name val="Calibri"/>
      <family val="2"/>
      <scheme val="minor"/>
    </font>
    <font>
      <b/>
      <sz val="11"/>
      <color theme="0"/>
      <name val="Tahoma"/>
      <family val="2"/>
    </font>
    <font>
      <sz val="12"/>
      <color theme="1"/>
      <name val="Tahoma"/>
      <family val="2"/>
    </font>
    <font>
      <sz val="10"/>
      <name val="Tahoma"/>
      <family val="2"/>
    </font>
    <font>
      <sz val="11"/>
      <color rgb="FF000000"/>
      <name val="Tahoma"/>
      <family val="2"/>
    </font>
    <font>
      <b/>
      <sz val="10"/>
      <name val="Tahoma"/>
      <family val="2"/>
    </font>
    <font>
      <sz val="12"/>
      <color rgb="FF000000"/>
      <name val="Tahoma"/>
      <family val="2"/>
    </font>
    <font>
      <sz val="11"/>
      <color theme="0"/>
      <name val="Tahoma"/>
      <family val="2"/>
    </font>
    <font>
      <sz val="10"/>
      <name val="Arial"/>
      <family val="2"/>
    </font>
    <font>
      <u/>
      <sz val="10"/>
      <color indexed="12"/>
      <name val="Arial"/>
      <family val="2"/>
    </font>
    <font>
      <b/>
      <sz val="12"/>
      <color theme="1"/>
      <name val="Tahoma"/>
      <family val="2"/>
    </font>
    <font>
      <b/>
      <sz val="24"/>
      <color theme="0"/>
      <name val="Tahoma"/>
      <family val="2"/>
    </font>
    <font>
      <b/>
      <sz val="22"/>
      <color theme="0"/>
      <name val="Tahoma"/>
      <family val="2"/>
    </font>
    <font>
      <b/>
      <sz val="20"/>
      <color theme="0"/>
      <name val="Tahoma"/>
      <family val="2"/>
    </font>
    <font>
      <b/>
      <sz val="12"/>
      <color theme="0"/>
      <name val="Tahoma"/>
      <family val="2"/>
    </font>
    <font>
      <sz val="12"/>
      <color theme="0"/>
      <name val="Tahoma"/>
      <family val="2"/>
    </font>
    <font>
      <b/>
      <sz val="12"/>
      <color theme="1"/>
      <name val="Calibri"/>
      <family val="2"/>
      <scheme val="minor"/>
    </font>
    <font>
      <b/>
      <sz val="28"/>
      <color theme="0"/>
      <name val="Tahoma"/>
      <family val="2"/>
    </font>
    <font>
      <b/>
      <sz val="26"/>
      <color theme="0"/>
      <name val="Tahoma"/>
      <family val="2"/>
    </font>
    <font>
      <sz val="10"/>
      <color theme="1"/>
      <name val="Tahoma"/>
      <family val="2"/>
    </font>
    <font>
      <sz val="10"/>
      <name val="Arial"/>
      <family val="1"/>
    </font>
    <font>
      <sz val="11"/>
      <name val="Arial"/>
      <family val="1"/>
    </font>
    <font>
      <b/>
      <sz val="24"/>
      <color rgb="FFFFFFFF"/>
      <name val="Tahoma"/>
      <family val="2"/>
    </font>
    <font>
      <b/>
      <sz val="22"/>
      <color rgb="FFFFFFFF"/>
      <name val="Tahoma"/>
      <family val="2"/>
    </font>
    <font>
      <b/>
      <sz val="20"/>
      <color rgb="FFFFFFFF"/>
      <name val="Tahoma"/>
      <family val="2"/>
    </font>
    <font>
      <b/>
      <sz val="16"/>
      <color rgb="FFFFFFFF"/>
      <name val="Tahoma"/>
      <family val="2"/>
    </font>
    <font>
      <b/>
      <sz val="11"/>
      <color rgb="FFFFFFFF"/>
      <name val="Tahoma"/>
      <family val="2"/>
    </font>
    <font>
      <sz val="10"/>
      <color rgb="FF000000"/>
      <name val="Tahoma"/>
      <family val="2"/>
    </font>
    <font>
      <u/>
      <sz val="12"/>
      <color theme="4"/>
      <name val="Tahoma"/>
      <family val="2"/>
    </font>
    <font>
      <u/>
      <sz val="11"/>
      <color rgb="FF3B67BC"/>
      <name val="Tahoma"/>
      <family val="2"/>
    </font>
    <font>
      <sz val="11"/>
      <color theme="1"/>
      <name val="Tahoma"/>
      <family val="2"/>
    </font>
    <font>
      <b/>
      <sz val="11"/>
      <color theme="1"/>
      <name val="Tahoma"/>
      <family val="2"/>
    </font>
    <font>
      <b/>
      <sz val="16"/>
      <color theme="1"/>
      <name val="Tahoma"/>
      <family val="2"/>
    </font>
    <font>
      <b/>
      <sz val="14"/>
      <color theme="1"/>
      <name val="Tahoma"/>
      <family val="2"/>
    </font>
    <font>
      <b/>
      <sz val="16"/>
      <color theme="0"/>
      <name val="Tahoma"/>
      <family val="2"/>
    </font>
    <font>
      <b/>
      <u/>
      <sz val="11"/>
      <color theme="4"/>
      <name val="Tahoma"/>
      <family val="2"/>
    </font>
    <font>
      <b/>
      <i/>
      <sz val="11"/>
      <color theme="1"/>
      <name val="Tahoma"/>
      <family val="2"/>
    </font>
  </fonts>
  <fills count="12">
    <fill>
      <patternFill patternType="none"/>
    </fill>
    <fill>
      <patternFill patternType="gray125"/>
    </fill>
    <fill>
      <patternFill patternType="solid">
        <fgColor indexed="9"/>
        <bgColor indexed="64"/>
      </patternFill>
    </fill>
    <fill>
      <patternFill patternType="solid">
        <fgColor rgb="FFFFFFFF"/>
        <bgColor rgb="FFFFFFFF"/>
      </patternFill>
    </fill>
    <fill>
      <patternFill patternType="solid">
        <fgColor theme="0"/>
        <bgColor indexed="64"/>
      </patternFill>
    </fill>
    <fill>
      <patternFill patternType="solid">
        <fgColor theme="0" tint="-0.34998626667073579"/>
        <bgColor indexed="64"/>
      </patternFill>
    </fill>
    <fill>
      <patternFill patternType="solid">
        <fgColor rgb="FFA6A6A6"/>
        <bgColor rgb="FF000000"/>
      </patternFill>
    </fill>
    <fill>
      <patternFill patternType="solid">
        <fgColor rgb="FF2F74BA"/>
        <bgColor indexed="64"/>
      </patternFill>
    </fill>
    <fill>
      <patternFill patternType="solid">
        <fgColor rgb="FF2F74BA"/>
        <bgColor rgb="FF000000"/>
      </patternFill>
    </fill>
    <fill>
      <patternFill patternType="solid">
        <fgColor rgb="FF2F74BA"/>
        <bgColor rgb="FFFFFFFF"/>
      </patternFill>
    </fill>
    <fill>
      <patternFill patternType="solid">
        <fgColor rgb="FFCCCCCC"/>
        <bgColor indexed="64"/>
      </patternFill>
    </fill>
    <fill>
      <patternFill patternType="solid">
        <fgColor rgb="FFFFFF00"/>
        <bgColor indexed="64"/>
      </patternFill>
    </fill>
  </fills>
  <borders count="7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bottom>
      <diagonal/>
    </border>
    <border>
      <left style="thin">
        <color theme="0" tint="-0.34998626667073579"/>
      </left>
      <right style="thin">
        <color theme="0" tint="-0.34998626667073579"/>
      </right>
      <top style="thin">
        <color theme="0"/>
      </top>
      <bottom/>
      <diagonal/>
    </border>
    <border>
      <left style="thin">
        <color theme="0" tint="-0.34998626667073579"/>
      </left>
      <right style="thin">
        <color theme="0" tint="-0.34998626667073579"/>
      </right>
      <top style="thin">
        <color theme="0"/>
      </top>
      <bottom style="thin">
        <color theme="0"/>
      </bottom>
      <diagonal/>
    </border>
    <border>
      <left style="thin">
        <color theme="0" tint="-0.34998626667073579"/>
      </left>
      <right style="thin">
        <color theme="0" tint="-0.34998626667073579"/>
      </right>
      <top/>
      <bottom style="thin">
        <color theme="0"/>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right style="thin">
        <color theme="0" tint="-0.34998626667073579"/>
      </right>
      <top style="thin">
        <color theme="0" tint="-0.34998626667073579"/>
      </top>
      <bottom style="thin">
        <color theme="0"/>
      </bottom>
      <diagonal/>
    </border>
    <border>
      <left style="thin">
        <color theme="0" tint="-0.34998626667073579"/>
      </left>
      <right style="thin">
        <color theme="0"/>
      </right>
      <top style="thin">
        <color theme="0"/>
      </top>
      <bottom style="thin">
        <color theme="0"/>
      </bottom>
      <diagonal/>
    </border>
    <border>
      <left/>
      <right/>
      <top/>
      <bottom style="thin">
        <color theme="0" tint="-0.34998626667073579"/>
      </bottom>
      <diagonal/>
    </border>
    <border>
      <left style="thin">
        <color theme="0" tint="-0.34998626667073579"/>
      </left>
      <right style="thin">
        <color theme="0" tint="-0.34998626667073579"/>
      </right>
      <top style="thin">
        <color theme="0"/>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style="thin">
        <color theme="0"/>
      </bottom>
      <diagonal/>
    </border>
    <border>
      <left/>
      <right style="thin">
        <color theme="0"/>
      </right>
      <top style="thin">
        <color theme="0" tint="-0.34998626667073579"/>
      </top>
      <bottom style="thin">
        <color theme="0"/>
      </bottom>
      <diagonal/>
    </border>
    <border>
      <left style="thin">
        <color theme="0" tint="-0.34998626667073579"/>
      </left>
      <right/>
      <top style="thin">
        <color theme="0"/>
      </top>
      <bottom/>
      <diagonal/>
    </border>
    <border>
      <left style="thin">
        <color theme="0" tint="-0.34998626667073579"/>
      </left>
      <right/>
      <top style="thin">
        <color theme="0"/>
      </top>
      <bottom style="thin">
        <color theme="0" tint="-0.34998626667073579"/>
      </bottom>
      <diagonal/>
    </border>
    <border>
      <left/>
      <right/>
      <top style="thin">
        <color theme="0"/>
      </top>
      <bottom style="thin">
        <color theme="0" tint="-0.34998626667073579"/>
      </bottom>
      <diagonal/>
    </border>
    <border>
      <left/>
      <right style="thin">
        <color theme="0" tint="-0.34998626667073579"/>
      </right>
      <top style="thin">
        <color theme="0"/>
      </top>
      <bottom style="thin">
        <color theme="0" tint="-0.34998626667073579"/>
      </bottom>
      <diagonal/>
    </border>
    <border>
      <left style="thin">
        <color theme="0" tint="-0.34998626667073579"/>
      </left>
      <right/>
      <top style="thin">
        <color theme="0" tint="-0.34998626667073579"/>
      </top>
      <bottom style="thin">
        <color theme="0"/>
      </bottom>
      <diagonal/>
    </border>
    <border>
      <left/>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theme="0"/>
      </top>
      <bottom style="thin">
        <color theme="0"/>
      </bottom>
      <diagonal/>
    </border>
    <border>
      <left/>
      <right style="thin">
        <color theme="0" tint="-0.34998626667073579"/>
      </right>
      <top/>
      <bottom style="thin">
        <color theme="0" tint="-0.34998626667073579"/>
      </bottom>
      <diagonal/>
    </border>
    <border>
      <left style="thin">
        <color theme="0" tint="-0.34998626667073579"/>
      </left>
      <right/>
      <top style="thin">
        <color theme="0"/>
      </top>
      <bottom style="thin">
        <color theme="0"/>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style="thin">
        <color theme="0"/>
      </top>
      <bottom/>
      <diagonal/>
    </border>
    <border>
      <left/>
      <right style="thin">
        <color rgb="FFA6A6A6"/>
      </right>
      <top style="thin">
        <color rgb="FFA6A6A6"/>
      </top>
      <bottom/>
      <diagonal/>
    </border>
    <border>
      <left style="thin">
        <color rgb="FFA6A6A6"/>
      </left>
      <right/>
      <top/>
      <bottom/>
      <diagonal/>
    </border>
    <border>
      <left/>
      <right/>
      <top/>
      <bottom style="hair">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style="thin">
        <color rgb="FFA6A6A6"/>
      </right>
      <top/>
      <bottom/>
      <diagonal/>
    </border>
    <border>
      <left style="thin">
        <color rgb="FFA6A6A6"/>
      </left>
      <right/>
      <top/>
      <bottom style="thin">
        <color indexed="64"/>
      </bottom>
      <diagonal/>
    </border>
    <border>
      <left/>
      <right style="thin">
        <color rgb="FFA6A6A6"/>
      </right>
      <top/>
      <bottom style="thin">
        <color indexed="64"/>
      </bottom>
      <diagonal/>
    </border>
    <border>
      <left style="thin">
        <color rgb="FFA6A6A6"/>
      </left>
      <right/>
      <top/>
      <bottom style="hair">
        <color indexed="64"/>
      </bottom>
      <diagonal/>
    </border>
    <border>
      <left style="thin">
        <color indexed="64"/>
      </left>
      <right style="thin">
        <color rgb="FFA6A6A6"/>
      </right>
      <top/>
      <bottom style="hair">
        <color indexed="64"/>
      </bottom>
      <diagonal/>
    </border>
    <border>
      <left style="thin">
        <color rgb="FFA6A6A6"/>
      </left>
      <right/>
      <top style="thin">
        <color rgb="FFA6A6A6"/>
      </top>
      <bottom/>
      <diagonal/>
    </border>
    <border>
      <left/>
      <right/>
      <top style="thin">
        <color rgb="FFA6A6A6"/>
      </top>
      <bottom/>
      <diagonal/>
    </border>
    <border>
      <left style="thin">
        <color theme="0" tint="-0.34998626667073579"/>
      </left>
      <right style="thin">
        <color theme="0" tint="-0.34998626667073579"/>
      </right>
      <top style="thin">
        <color theme="0" tint="-0.34998626667073579"/>
      </top>
      <bottom style="thin">
        <color rgb="FFD4D4D4"/>
      </bottom>
      <diagonal/>
    </border>
    <border>
      <left style="thin">
        <color theme="0" tint="-0.34998626667073579"/>
      </left>
      <right style="thin">
        <color theme="0" tint="-0.34998626667073579"/>
      </right>
      <top style="thin">
        <color rgb="FFD4D4D4"/>
      </top>
      <bottom style="thin">
        <color rgb="FFD4D4D4"/>
      </bottom>
      <diagonal/>
    </border>
    <border>
      <left style="thin">
        <color theme="0" tint="-0.34998626667073579"/>
      </left>
      <right style="thin">
        <color theme="0" tint="-0.34998626667073579"/>
      </right>
      <top style="thin">
        <color rgb="FFD4D4D4"/>
      </top>
      <bottom style="thin">
        <color theme="0" tint="-0.34998626667073579"/>
      </bottom>
      <diagonal/>
    </border>
    <border>
      <left style="thin">
        <color theme="0" tint="-0.34998626667073579"/>
      </left>
      <right style="thin">
        <color theme="0"/>
      </right>
      <top style="thin">
        <color theme="0" tint="-0.34998626667073579"/>
      </top>
      <bottom style="thin">
        <color theme="0"/>
      </bottom>
      <diagonal/>
    </border>
    <border>
      <left style="thin">
        <color theme="0"/>
      </left>
      <right/>
      <top style="thin">
        <color theme="0"/>
      </top>
      <bottom style="thin">
        <color theme="0"/>
      </bottom>
      <diagonal/>
    </border>
    <border>
      <left style="thin">
        <color theme="0"/>
      </left>
      <right/>
      <top style="thin">
        <color theme="0"/>
      </top>
      <bottom style="thin">
        <color theme="0" tint="-0.34998626667073579"/>
      </bottom>
      <diagonal/>
    </border>
    <border>
      <left style="thin">
        <color theme="0"/>
      </left>
      <right/>
      <top style="thin">
        <color theme="0" tint="-0.34998626667073579"/>
      </top>
      <bottom style="thin">
        <color theme="0"/>
      </bottom>
      <diagonal/>
    </border>
    <border>
      <left/>
      <right/>
      <top style="hair">
        <color indexed="64"/>
      </top>
      <bottom style="thin">
        <color theme="1"/>
      </bottom>
      <diagonal/>
    </border>
    <border>
      <left style="thin">
        <color rgb="FFA6A6A6"/>
      </left>
      <right/>
      <top style="thin">
        <color theme="1"/>
      </top>
      <bottom style="thin">
        <color rgb="FFA6A6A6"/>
      </bottom>
      <diagonal/>
    </border>
    <border>
      <left/>
      <right/>
      <top style="thin">
        <color theme="1"/>
      </top>
      <bottom style="thin">
        <color rgb="FFA6A6A6"/>
      </bottom>
      <diagonal/>
    </border>
    <border>
      <left/>
      <right style="thin">
        <color rgb="FFA6A6A6"/>
      </right>
      <top style="thin">
        <color theme="1"/>
      </top>
      <bottom style="thin">
        <color rgb="FFA6A6A6"/>
      </bottom>
      <diagonal/>
    </border>
    <border>
      <left/>
      <right style="thin">
        <color rgb="FFA6A6A6"/>
      </right>
      <top style="thin">
        <color rgb="FFA6A6A6"/>
      </top>
      <bottom style="thin">
        <color rgb="FFA6A6A6"/>
      </bottom>
      <diagonal/>
    </border>
    <border>
      <left style="thin">
        <color theme="1"/>
      </left>
      <right/>
      <top style="thin">
        <color theme="1"/>
      </top>
      <bottom style="thin">
        <color rgb="FFA6A6A6"/>
      </bottom>
      <diagonal/>
    </border>
    <border>
      <left/>
      <right style="thin">
        <color theme="1"/>
      </right>
      <top style="thin">
        <color theme="1"/>
      </top>
      <bottom style="thin">
        <color rgb="FFA6A6A6"/>
      </bottom>
      <diagonal/>
    </border>
    <border>
      <left style="thin">
        <color theme="1"/>
      </left>
      <right/>
      <top style="thin">
        <color rgb="FFA6A6A6"/>
      </top>
      <bottom style="thin">
        <color rgb="FFA6A6A6"/>
      </bottom>
      <diagonal/>
    </border>
    <border>
      <left/>
      <right style="thin">
        <color theme="1"/>
      </right>
      <top style="thin">
        <color rgb="FFA6A6A6"/>
      </top>
      <bottom style="thin">
        <color rgb="FFA6A6A6"/>
      </bottom>
      <diagonal/>
    </border>
    <border>
      <left style="thin">
        <color rgb="FFA6A6A6"/>
      </left>
      <right/>
      <top style="hair">
        <color indexed="64"/>
      </top>
      <bottom style="thin">
        <color theme="1"/>
      </bottom>
      <diagonal/>
    </border>
  </borders>
  <cellStyleXfs count="8">
    <xf numFmtId="0" fontId="0" fillId="0" borderId="0"/>
    <xf numFmtId="9" fontId="1" fillId="0" borderId="0" applyFont="0" applyFill="0" applyBorder="0" applyAlignment="0" applyProtection="0"/>
    <xf numFmtId="0" fontId="9" fillId="0" borderId="0"/>
    <xf numFmtId="9" fontId="9" fillId="0" borderId="0" applyFont="0" applyFill="0" applyBorder="0" applyAlignment="0" applyProtection="0"/>
    <xf numFmtId="0" fontId="10" fillId="0" borderId="0" applyNumberFormat="0" applyFill="0" applyBorder="0" applyAlignment="0" applyProtection="0">
      <alignment vertical="top"/>
      <protection locked="0"/>
    </xf>
    <xf numFmtId="0" fontId="9" fillId="0" borderId="0"/>
    <xf numFmtId="0" fontId="9" fillId="0" borderId="0"/>
    <xf numFmtId="43" fontId="1" fillId="0" borderId="0" applyFont="0" applyFill="0" applyBorder="0" applyAlignment="0" applyProtection="0"/>
  </cellStyleXfs>
  <cellXfs count="262">
    <xf numFmtId="0" fontId="0" fillId="0" borderId="0" xfId="0"/>
    <xf numFmtId="0" fontId="3" fillId="0" borderId="0" xfId="0" applyFont="1" applyAlignment="1" applyProtection="1">
      <alignment vertical="center"/>
      <protection locked="0"/>
    </xf>
    <xf numFmtId="0" fontId="4" fillId="0" borderId="0" xfId="0" applyFont="1" applyAlignment="1" applyProtection="1">
      <alignment vertical="center"/>
      <protection locked="0"/>
    </xf>
    <xf numFmtId="0" fontId="6" fillId="0" borderId="0" xfId="0" applyFont="1" applyAlignment="1" applyProtection="1">
      <alignment vertical="center"/>
      <protection locked="0"/>
    </xf>
    <xf numFmtId="9" fontId="4" fillId="0" borderId="0" xfId="0" applyNumberFormat="1" applyFont="1" applyAlignment="1" applyProtection="1">
      <alignment vertical="center"/>
      <protection locked="0"/>
    </xf>
    <xf numFmtId="165" fontId="4" fillId="0" borderId="0" xfId="0" applyNumberFormat="1" applyFont="1" applyAlignment="1" applyProtection="1">
      <alignment vertical="center"/>
      <protection locked="0"/>
    </xf>
    <xf numFmtId="0" fontId="17" fillId="0" borderId="0" xfId="0" applyFont="1"/>
    <xf numFmtId="0" fontId="17" fillId="0" borderId="4" xfId="0" applyFont="1" applyBorder="1"/>
    <xf numFmtId="0" fontId="0" fillId="4" borderId="0" xfId="0" applyFill="1"/>
    <xf numFmtId="0" fontId="3" fillId="0" borderId="0" xfId="0" applyFont="1" applyAlignment="1" applyProtection="1">
      <alignment horizontal="center" vertical="center"/>
      <protection locked="0"/>
    </xf>
    <xf numFmtId="0" fontId="8" fillId="7" borderId="10" xfId="0" applyFont="1" applyFill="1" applyBorder="1" applyAlignment="1" applyProtection="1">
      <alignment horizontal="center" vertical="center" wrapText="1"/>
      <protection locked="0"/>
    </xf>
    <xf numFmtId="49" fontId="8" fillId="7" borderId="10" xfId="0" applyNumberFormat="1" applyFont="1" applyFill="1" applyBorder="1" applyAlignment="1" applyProtection="1">
      <alignment horizontal="center" vertical="center" wrapText="1"/>
      <protection locked="0"/>
    </xf>
    <xf numFmtId="166" fontId="2" fillId="7" borderId="10" xfId="0" applyNumberFormat="1" applyFont="1" applyFill="1" applyBorder="1" applyAlignment="1">
      <alignment horizontal="center" vertical="center"/>
    </xf>
    <xf numFmtId="0" fontId="0" fillId="0" borderId="0" xfId="0" applyAlignment="1">
      <alignment vertical="center"/>
    </xf>
    <xf numFmtId="8" fontId="3" fillId="0" borderId="8" xfId="0" applyNumberFormat="1" applyFont="1" applyBorder="1" applyAlignment="1">
      <alignment horizontal="center" vertical="center"/>
    </xf>
    <xf numFmtId="0" fontId="3" fillId="0" borderId="8" xfId="0" applyFont="1" applyBorder="1" applyAlignment="1">
      <alignment horizontal="center" vertical="center"/>
    </xf>
    <xf numFmtId="8" fontId="3" fillId="0" borderId="11" xfId="0" applyNumberFormat="1" applyFont="1" applyBorder="1" applyAlignment="1">
      <alignment horizontal="center" vertical="center"/>
    </xf>
    <xf numFmtId="0" fontId="3" fillId="0" borderId="11" xfId="0" applyFont="1" applyBorder="1" applyAlignment="1">
      <alignment horizontal="center" vertical="center"/>
    </xf>
    <xf numFmtId="0" fontId="3" fillId="0" borderId="17" xfId="0" applyFont="1" applyBorder="1" applyAlignment="1">
      <alignment horizontal="right" vertical="center"/>
    </xf>
    <xf numFmtId="0" fontId="3" fillId="0" borderId="16" xfId="0" applyFont="1" applyBorder="1" applyAlignment="1">
      <alignment horizontal="right" vertical="center"/>
    </xf>
    <xf numFmtId="0" fontId="16" fillId="7" borderId="38" xfId="0" applyFont="1" applyFill="1" applyBorder="1" applyAlignment="1">
      <alignment horizontal="center" vertical="center"/>
    </xf>
    <xf numFmtId="0" fontId="16" fillId="7" borderId="20" xfId="0" applyFont="1" applyFill="1" applyBorder="1" applyAlignment="1">
      <alignment horizontal="center" vertical="center"/>
    </xf>
    <xf numFmtId="0" fontId="3" fillId="0" borderId="17" xfId="0" applyFont="1" applyBorder="1" applyAlignment="1">
      <alignment vertical="center"/>
    </xf>
    <xf numFmtId="0" fontId="16" fillId="7" borderId="9" xfId="0" applyFont="1" applyFill="1" applyBorder="1" applyAlignment="1" applyProtection="1">
      <alignment horizontal="center" vertical="center" wrapText="1"/>
      <protection locked="0"/>
    </xf>
    <xf numFmtId="0" fontId="16" fillId="7" borderId="10" xfId="0" applyFont="1" applyFill="1" applyBorder="1" applyAlignment="1" applyProtection="1">
      <alignment horizontal="center" vertical="center" wrapText="1"/>
      <protection locked="0"/>
    </xf>
    <xf numFmtId="0" fontId="0" fillId="4" borderId="0" xfId="0" applyFill="1" applyAlignment="1">
      <alignment vertical="center"/>
    </xf>
    <xf numFmtId="0" fontId="3" fillId="4" borderId="0" xfId="0" applyFont="1" applyFill="1" applyAlignment="1">
      <alignment vertical="center"/>
    </xf>
    <xf numFmtId="0" fontId="3" fillId="7" borderId="0" xfId="0" applyFont="1" applyFill="1" applyAlignment="1">
      <alignment vertical="center"/>
    </xf>
    <xf numFmtId="0" fontId="15" fillId="7" borderId="0" xfId="0" applyFont="1" applyFill="1" applyAlignment="1">
      <alignment horizontal="center" vertical="center" wrapText="1"/>
    </xf>
    <xf numFmtId="0" fontId="22" fillId="0" borderId="0" xfId="0" applyFont="1"/>
    <xf numFmtId="0" fontId="7" fillId="0" borderId="0" xfId="0" applyFont="1" applyAlignment="1" applyProtection="1">
      <alignment vertical="center"/>
      <protection locked="0"/>
    </xf>
    <xf numFmtId="0" fontId="27" fillId="9" borderId="4" xfId="0" applyFont="1" applyFill="1" applyBorder="1" applyAlignment="1">
      <alignment horizontal="center"/>
    </xf>
    <xf numFmtId="0" fontId="27" fillId="9" borderId="3" xfId="0" applyFont="1" applyFill="1" applyBorder="1" applyAlignment="1">
      <alignment horizontal="center" wrapText="1"/>
    </xf>
    <xf numFmtId="0" fontId="27" fillId="9" borderId="4" xfId="0" applyFont="1" applyFill="1" applyBorder="1" applyAlignment="1">
      <alignment horizontal="center" wrapText="1"/>
    </xf>
    <xf numFmtId="0" fontId="27" fillId="9" borderId="43" xfId="0" applyFont="1" applyFill="1" applyBorder="1" applyAlignment="1">
      <alignment horizontal="center" wrapText="1"/>
    </xf>
    <xf numFmtId="0" fontId="21" fillId="0" borderId="0" xfId="0" applyFont="1" applyAlignment="1">
      <alignment vertical="center"/>
    </xf>
    <xf numFmtId="0" fontId="4" fillId="6" borderId="45" xfId="0" applyFont="1" applyFill="1" applyBorder="1" applyAlignment="1" applyProtection="1">
      <alignment vertical="center"/>
      <protection locked="0"/>
    </xf>
    <xf numFmtId="0" fontId="4" fillId="6" borderId="46" xfId="0" applyFont="1" applyFill="1" applyBorder="1" applyAlignment="1" applyProtection="1">
      <alignment vertical="center"/>
      <protection locked="0"/>
    </xf>
    <xf numFmtId="0" fontId="28" fillId="6" borderId="46" xfId="0" applyFont="1" applyFill="1" applyBorder="1" applyAlignment="1" applyProtection="1">
      <alignment horizontal="center" vertical="center"/>
      <protection locked="0"/>
    </xf>
    <xf numFmtId="6" fontId="28" fillId="6" borderId="46" xfId="0" applyNumberFormat="1" applyFont="1" applyFill="1" applyBorder="1" applyAlignment="1" applyProtection="1">
      <alignment horizontal="center" vertical="center"/>
      <protection locked="0"/>
    </xf>
    <xf numFmtId="6" fontId="28" fillId="6" borderId="47" xfId="0" applyNumberFormat="1" applyFont="1" applyFill="1" applyBorder="1" applyAlignment="1" applyProtection="1">
      <alignment horizontal="center" vertical="center"/>
      <protection locked="0"/>
    </xf>
    <xf numFmtId="0" fontId="27" fillId="9" borderId="49" xfId="0" applyFont="1" applyFill="1" applyBorder="1" applyAlignment="1">
      <alignment horizontal="center"/>
    </xf>
    <xf numFmtId="0" fontId="27" fillId="9" borderId="50" xfId="0" applyFont="1" applyFill="1" applyBorder="1" applyAlignment="1">
      <alignment horizontal="center" wrapText="1"/>
    </xf>
    <xf numFmtId="0" fontId="26" fillId="9" borderId="41" xfId="0" applyFont="1" applyFill="1" applyBorder="1" applyAlignment="1">
      <alignment horizontal="center" vertical="center"/>
    </xf>
    <xf numFmtId="0" fontId="26" fillId="9" borderId="0" xfId="0" applyFont="1" applyFill="1" applyAlignment="1">
      <alignment horizontal="center" vertical="center"/>
    </xf>
    <xf numFmtId="165" fontId="31" fillId="0" borderId="8" xfId="0" applyNumberFormat="1" applyFont="1" applyBorder="1" applyAlignment="1" applyProtection="1">
      <alignment horizontal="center" vertical="center" wrapText="1"/>
      <protection locked="0"/>
    </xf>
    <xf numFmtId="165" fontId="31" fillId="3" borderId="8" xfId="0" applyNumberFormat="1" applyFont="1" applyFill="1" applyBorder="1" applyAlignment="1">
      <alignment horizontal="center" vertical="center" wrapText="1"/>
    </xf>
    <xf numFmtId="165" fontId="31" fillId="0" borderId="8" xfId="1" applyNumberFormat="1" applyFont="1" applyFill="1" applyBorder="1" applyAlignment="1" applyProtection="1">
      <alignment horizontal="center" vertical="center" wrapText="1"/>
    </xf>
    <xf numFmtId="165" fontId="31" fillId="0" borderId="8" xfId="0" applyNumberFormat="1" applyFont="1" applyBorder="1" applyAlignment="1">
      <alignment horizontal="center" vertical="center" wrapText="1"/>
    </xf>
    <xf numFmtId="165" fontId="0" fillId="0" borderId="8" xfId="0" applyNumberFormat="1" applyBorder="1" applyAlignment="1">
      <alignment horizontal="center" vertical="center" wrapText="1"/>
    </xf>
    <xf numFmtId="0" fontId="31" fillId="3" borderId="51" xfId="0" applyFont="1" applyFill="1" applyBorder="1" applyAlignment="1">
      <alignment horizontal="center" vertical="center" wrapText="1"/>
    </xf>
    <xf numFmtId="0" fontId="31" fillId="3" borderId="42" xfId="0" applyFont="1" applyFill="1" applyBorder="1" applyAlignment="1">
      <alignment horizontal="center" vertical="center" wrapText="1"/>
    </xf>
    <xf numFmtId="14" fontId="31" fillId="3" borderId="42" xfId="0" applyNumberFormat="1" applyFont="1" applyFill="1" applyBorder="1" applyAlignment="1">
      <alignment horizontal="center" vertical="center" wrapText="1"/>
    </xf>
    <xf numFmtId="43" fontId="31" fillId="0" borderId="44" xfId="7" applyFont="1" applyFill="1" applyBorder="1" applyAlignment="1">
      <alignment horizontal="center" vertical="center" wrapText="1"/>
    </xf>
    <xf numFmtId="43" fontId="31" fillId="0" borderId="52" xfId="7" applyFont="1" applyFill="1" applyBorder="1" applyAlignment="1">
      <alignment horizontal="center" vertical="center" wrapText="1"/>
    </xf>
    <xf numFmtId="164" fontId="31" fillId="4" borderId="18" xfId="0" applyNumberFormat="1" applyFont="1" applyFill="1" applyBorder="1" applyAlignment="1" applyProtection="1">
      <alignment horizontal="center" vertical="center"/>
      <protection locked="0"/>
    </xf>
    <xf numFmtId="0" fontId="31" fillId="4" borderId="28" xfId="0" applyFont="1" applyFill="1" applyBorder="1" applyAlignment="1" applyProtection="1">
      <alignment horizontal="center" vertical="center"/>
      <protection locked="0"/>
    </xf>
    <xf numFmtId="0" fontId="32" fillId="2" borderId="12" xfId="0" applyFont="1" applyFill="1" applyBorder="1" applyAlignment="1" applyProtection="1">
      <alignment horizontal="center" vertical="center" wrapText="1"/>
      <protection locked="0"/>
    </xf>
    <xf numFmtId="0" fontId="31" fillId="0" borderId="58" xfId="0" applyFont="1" applyBorder="1" applyAlignment="1" applyProtection="1">
      <alignment vertical="center"/>
      <protection locked="0"/>
    </xf>
    <xf numFmtId="0" fontId="31" fillId="4" borderId="33" xfId="0" applyFont="1" applyFill="1" applyBorder="1" applyAlignment="1" applyProtection="1">
      <alignment horizontal="center" vertical="center"/>
      <protection locked="0"/>
    </xf>
    <xf numFmtId="165" fontId="31" fillId="0" borderId="12" xfId="0" applyNumberFormat="1" applyFont="1" applyBorder="1" applyAlignment="1" applyProtection="1">
      <alignment horizontal="center" vertical="center" wrapText="1"/>
      <protection locked="0"/>
    </xf>
    <xf numFmtId="165" fontId="31" fillId="0" borderId="32" xfId="0" applyNumberFormat="1" applyFont="1" applyBorder="1" applyAlignment="1" applyProtection="1">
      <alignment horizontal="center" vertical="center" wrapText="1"/>
      <protection locked="0"/>
    </xf>
    <xf numFmtId="0" fontId="31" fillId="0" borderId="19" xfId="0" applyFont="1" applyBorder="1" applyAlignment="1" applyProtection="1">
      <alignment vertical="center"/>
      <protection locked="0"/>
    </xf>
    <xf numFmtId="0" fontId="31" fillId="4" borderId="34" xfId="0" applyFont="1" applyFill="1" applyBorder="1" applyAlignment="1" applyProtection="1">
      <alignment horizontal="center" vertical="center"/>
      <protection locked="0"/>
    </xf>
    <xf numFmtId="165" fontId="31" fillId="0" borderId="14" xfId="0" applyNumberFormat="1" applyFont="1" applyBorder="1" applyAlignment="1" applyProtection="1">
      <alignment horizontal="center" vertical="center" wrapText="1"/>
      <protection locked="0"/>
    </xf>
    <xf numFmtId="0" fontId="31" fillId="0" borderId="36" xfId="0" applyFont="1" applyBorder="1" applyAlignment="1" applyProtection="1">
      <alignment vertical="center"/>
      <protection locked="0"/>
    </xf>
    <xf numFmtId="0" fontId="31" fillId="0" borderId="26" xfId="0" applyFont="1" applyBorder="1" applyAlignment="1" applyProtection="1">
      <alignment vertical="center"/>
      <protection locked="0"/>
    </xf>
    <xf numFmtId="165" fontId="31" fillId="0" borderId="16" xfId="0" applyNumberFormat="1" applyFont="1" applyBorder="1" applyAlignment="1" applyProtection="1">
      <alignment horizontal="center" vertical="center" wrapText="1"/>
      <protection locked="0"/>
    </xf>
    <xf numFmtId="165" fontId="31" fillId="0" borderId="21" xfId="0" applyNumberFormat="1" applyFont="1" applyBorder="1" applyAlignment="1" applyProtection="1">
      <alignment horizontal="center" vertical="center" wrapText="1"/>
      <protection locked="0"/>
    </xf>
    <xf numFmtId="165" fontId="31" fillId="3" borderId="55" xfId="0" applyNumberFormat="1" applyFont="1" applyFill="1" applyBorder="1" applyAlignment="1">
      <alignment horizontal="center" vertical="center" wrapText="1"/>
    </xf>
    <xf numFmtId="165" fontId="31" fillId="3" borderId="56" xfId="0" applyNumberFormat="1" applyFont="1" applyFill="1" applyBorder="1" applyAlignment="1">
      <alignment horizontal="center" vertical="center" wrapText="1"/>
    </xf>
    <xf numFmtId="10" fontId="31" fillId="0" borderId="56" xfId="1" applyNumberFormat="1" applyFont="1" applyFill="1" applyBorder="1" applyAlignment="1" applyProtection="1">
      <alignment horizontal="center" vertical="center" wrapText="1"/>
    </xf>
    <xf numFmtId="166" fontId="31" fillId="0" borderId="56" xfId="0" applyNumberFormat="1" applyFont="1" applyBorder="1" applyAlignment="1">
      <alignment horizontal="center" vertical="center" wrapText="1"/>
    </xf>
    <xf numFmtId="6" fontId="31" fillId="3" borderId="32" xfId="0" applyNumberFormat="1" applyFont="1" applyFill="1" applyBorder="1" applyAlignment="1">
      <alignment horizontal="center" vertical="center" wrapText="1"/>
    </xf>
    <xf numFmtId="9" fontId="31" fillId="3" borderId="14" xfId="0" applyNumberFormat="1" applyFont="1" applyFill="1" applyBorder="1" applyAlignment="1">
      <alignment horizontal="center" vertical="center" wrapText="1"/>
    </xf>
    <xf numFmtId="9" fontId="31" fillId="3" borderId="13" xfId="0" applyNumberFormat="1" applyFont="1" applyFill="1" applyBorder="1" applyAlignment="1">
      <alignment horizontal="center" vertical="center" wrapText="1"/>
    </xf>
    <xf numFmtId="0" fontId="31" fillId="3" borderId="16" xfId="0" applyFont="1" applyFill="1" applyBorder="1" applyAlignment="1">
      <alignment horizontal="center" vertical="center" wrapText="1"/>
    </xf>
    <xf numFmtId="0" fontId="31" fillId="3" borderId="21" xfId="0" applyFont="1" applyFill="1" applyBorder="1" applyAlignment="1">
      <alignment horizontal="center" vertical="center" wrapText="1"/>
    </xf>
    <xf numFmtId="9" fontId="31" fillId="0" borderId="32" xfId="0" applyNumberFormat="1" applyFont="1" applyBorder="1" applyAlignment="1" applyProtection="1">
      <alignment horizontal="center" vertical="center" wrapText="1"/>
      <protection locked="0"/>
    </xf>
    <xf numFmtId="6" fontId="31" fillId="3" borderId="14" xfId="0" applyNumberFormat="1" applyFont="1" applyFill="1" applyBorder="1" applyAlignment="1">
      <alignment horizontal="center" vertical="center" wrapText="1"/>
    </xf>
    <xf numFmtId="6" fontId="31" fillId="0" borderId="14" xfId="0" applyNumberFormat="1" applyFont="1" applyBorder="1" applyAlignment="1">
      <alignment horizontal="center" vertical="center" wrapText="1"/>
    </xf>
    <xf numFmtId="6" fontId="31" fillId="3" borderId="21" xfId="0" applyNumberFormat="1" applyFont="1" applyFill="1" applyBorder="1" applyAlignment="1">
      <alignment horizontal="center" vertical="center" wrapText="1"/>
    </xf>
    <xf numFmtId="6" fontId="31" fillId="0" borderId="21" xfId="0" applyNumberFormat="1" applyFont="1" applyBorder="1" applyAlignment="1">
      <alignment horizontal="center" vertical="center" wrapText="1"/>
    </xf>
    <xf numFmtId="9" fontId="31" fillId="0" borderId="12" xfId="0" applyNumberFormat="1" applyFont="1" applyBorder="1" applyAlignment="1" applyProtection="1">
      <alignment horizontal="center" vertical="center" wrapText="1"/>
      <protection locked="0"/>
    </xf>
    <xf numFmtId="6" fontId="31" fillId="3" borderId="13" xfId="0" applyNumberFormat="1" applyFont="1" applyFill="1" applyBorder="1" applyAlignment="1">
      <alignment horizontal="center" vertical="center" wrapText="1"/>
    </xf>
    <xf numFmtId="0" fontId="31" fillId="0" borderId="21" xfId="0" applyFont="1" applyBorder="1" applyAlignment="1">
      <alignment horizontal="center" vertical="center" wrapText="1"/>
    </xf>
    <xf numFmtId="9" fontId="31" fillId="0" borderId="30" xfId="0" applyNumberFormat="1" applyFont="1" applyBorder="1" applyAlignment="1" applyProtection="1">
      <alignment horizontal="center" vertical="center" wrapText="1"/>
      <protection locked="0"/>
    </xf>
    <xf numFmtId="6" fontId="31" fillId="0" borderId="5" xfId="0" applyNumberFormat="1" applyFont="1" applyBorder="1" applyAlignment="1">
      <alignment horizontal="center" vertical="center" wrapText="1"/>
    </xf>
    <xf numFmtId="6" fontId="31" fillId="0" borderId="27" xfId="0" applyNumberFormat="1" applyFont="1" applyBorder="1" applyAlignment="1">
      <alignment horizontal="center" vertical="center" wrapText="1"/>
    </xf>
    <xf numFmtId="9" fontId="31" fillId="0" borderId="23" xfId="0" applyNumberFormat="1" applyFont="1" applyBorder="1" applyAlignment="1" applyProtection="1">
      <alignment horizontal="center" vertical="center" wrapText="1"/>
      <protection locked="0"/>
    </xf>
    <xf numFmtId="0" fontId="31" fillId="3" borderId="14" xfId="0" applyFont="1" applyFill="1" applyBorder="1" applyAlignment="1">
      <alignment horizontal="center" vertical="center" wrapText="1"/>
    </xf>
    <xf numFmtId="0" fontId="31" fillId="0" borderId="0" xfId="0" applyFont="1" applyAlignment="1">
      <alignment horizontal="center" vertical="center" wrapText="1"/>
    </xf>
    <xf numFmtId="0" fontId="31" fillId="0" borderId="27" xfId="0" applyFont="1" applyBorder="1" applyAlignment="1">
      <alignment horizontal="center" vertical="center" wrapText="1"/>
    </xf>
    <xf numFmtId="0" fontId="31" fillId="3" borderId="12" xfId="0" applyFont="1" applyFill="1" applyBorder="1" applyAlignment="1">
      <alignment horizontal="center" vertical="center" wrapText="1"/>
    </xf>
    <xf numFmtId="9" fontId="31" fillId="3" borderId="12" xfId="0" applyNumberFormat="1" applyFont="1" applyFill="1" applyBorder="1" applyAlignment="1">
      <alignment horizontal="center" vertical="center" wrapText="1"/>
    </xf>
    <xf numFmtId="9" fontId="31" fillId="3" borderId="15" xfId="0" applyNumberFormat="1" applyFont="1" applyFill="1" applyBorder="1" applyAlignment="1">
      <alignment horizontal="center" vertical="center" wrapText="1"/>
    </xf>
    <xf numFmtId="9" fontId="31" fillId="0" borderId="14" xfId="0" applyNumberFormat="1" applyFont="1" applyBorder="1" applyAlignment="1" applyProtection="1">
      <alignment horizontal="center" vertical="center" wrapText="1"/>
      <protection locked="0"/>
    </xf>
    <xf numFmtId="0" fontId="31" fillId="3" borderId="15" xfId="0" applyFont="1" applyFill="1" applyBorder="1" applyAlignment="1">
      <alignment horizontal="center" vertical="center" wrapText="1"/>
    </xf>
    <xf numFmtId="0" fontId="31" fillId="3" borderId="6" xfId="0" applyFont="1" applyFill="1" applyBorder="1" applyAlignment="1">
      <alignment horizontal="center" vertical="center" wrapText="1"/>
    </xf>
    <xf numFmtId="166" fontId="31" fillId="0" borderId="14" xfId="0" applyNumberFormat="1" applyFont="1" applyBorder="1" applyAlignment="1" applyProtection="1">
      <alignment horizontal="center" vertical="center" wrapText="1"/>
      <protection locked="0"/>
    </xf>
    <xf numFmtId="0" fontId="3" fillId="0" borderId="1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165" fontId="3" fillId="3" borderId="11" xfId="0" applyNumberFormat="1" applyFont="1" applyFill="1" applyBorder="1" applyAlignment="1">
      <alignment horizontal="center" vertical="center"/>
    </xf>
    <xf numFmtId="165" fontId="3" fillId="3" borderId="8" xfId="0" applyNumberFormat="1" applyFont="1" applyFill="1" applyBorder="1" applyAlignment="1">
      <alignment horizontal="center" vertical="center"/>
    </xf>
    <xf numFmtId="10" fontId="3" fillId="0" borderId="8" xfId="1" applyNumberFormat="1" applyFont="1" applyBorder="1" applyAlignment="1">
      <alignment horizontal="center" vertical="center"/>
    </xf>
    <xf numFmtId="0" fontId="20" fillId="5" borderId="9" xfId="0" applyFont="1" applyFill="1" applyBorder="1" applyAlignment="1" applyProtection="1">
      <alignment vertical="center"/>
      <protection locked="0"/>
    </xf>
    <xf numFmtId="0" fontId="20" fillId="5" borderId="10" xfId="0" applyFont="1" applyFill="1" applyBorder="1" applyAlignment="1" applyProtection="1">
      <alignment vertical="center"/>
      <protection locked="0"/>
    </xf>
    <xf numFmtId="0" fontId="2" fillId="7" borderId="10" xfId="0" applyFont="1" applyFill="1" applyBorder="1" applyAlignment="1" applyProtection="1">
      <alignment horizontal="center" vertical="center" wrapText="1"/>
      <protection locked="0"/>
    </xf>
    <xf numFmtId="0" fontId="32" fillId="2" borderId="32" xfId="0" applyFont="1" applyFill="1" applyBorder="1" applyAlignment="1" applyProtection="1">
      <alignment horizontal="center" vertical="center" wrapText="1"/>
      <protection locked="0"/>
    </xf>
    <xf numFmtId="0" fontId="32" fillId="2" borderId="17" xfId="0" applyFont="1" applyFill="1" applyBorder="1" applyAlignment="1" applyProtection="1">
      <alignment horizontal="center" vertical="center" wrapText="1"/>
      <protection locked="0"/>
    </xf>
    <xf numFmtId="14" fontId="32" fillId="2" borderId="17" xfId="0" applyNumberFormat="1" applyFont="1" applyFill="1" applyBorder="1" applyAlignment="1" applyProtection="1">
      <alignment horizontal="center" vertical="center" wrapText="1"/>
      <protection locked="0"/>
    </xf>
    <xf numFmtId="0" fontId="2" fillId="7" borderId="10" xfId="0" applyFont="1" applyFill="1" applyBorder="1" applyAlignment="1" applyProtection="1">
      <alignment horizontal="center" vertical="center"/>
      <protection locked="0"/>
    </xf>
    <xf numFmtId="0" fontId="29" fillId="0" borderId="21" xfId="0" applyFont="1" applyBorder="1" applyAlignment="1">
      <alignment horizontal="center" vertical="center" wrapText="1"/>
    </xf>
    <xf numFmtId="0" fontId="29" fillId="0" borderId="57" xfId="0" applyFont="1" applyBorder="1" applyAlignment="1">
      <alignment horizontal="center" vertical="center"/>
    </xf>
    <xf numFmtId="0" fontId="11" fillId="0" borderId="17" xfId="0" applyFont="1" applyBorder="1" applyAlignment="1">
      <alignment horizontal="center" vertical="center" wrapText="1"/>
    </xf>
    <xf numFmtId="0" fontId="11" fillId="0" borderId="13" xfId="0" applyFont="1" applyBorder="1" applyAlignment="1">
      <alignment horizontal="center" vertical="center" wrapText="1"/>
    </xf>
    <xf numFmtId="0" fontId="34" fillId="3" borderId="1" xfId="0" applyFont="1" applyFill="1" applyBorder="1" applyAlignment="1">
      <alignment horizontal="centerContinuous" vertical="center" wrapText="1"/>
    </xf>
    <xf numFmtId="0" fontId="34" fillId="3" borderId="0" xfId="0" applyFont="1" applyFill="1" applyAlignment="1">
      <alignment horizontal="centerContinuous" vertical="center" wrapText="1"/>
    </xf>
    <xf numFmtId="0" fontId="34" fillId="3" borderId="2" xfId="0" applyFont="1" applyFill="1" applyBorder="1" applyAlignment="1">
      <alignment horizontal="centerContinuous" vertical="center" wrapText="1"/>
    </xf>
    <xf numFmtId="0" fontId="34" fillId="3" borderId="48" xfId="0" applyFont="1" applyFill="1" applyBorder="1" applyAlignment="1">
      <alignment horizontal="centerContinuous" vertical="center" wrapText="1"/>
    </xf>
    <xf numFmtId="0" fontId="32" fillId="3" borderId="1" xfId="0" applyFont="1" applyFill="1" applyBorder="1" applyAlignment="1">
      <alignment horizontal="centerContinuous" vertical="center" wrapText="1"/>
    </xf>
    <xf numFmtId="0" fontId="32" fillId="3" borderId="0" xfId="0" applyFont="1" applyFill="1" applyAlignment="1">
      <alignment horizontal="centerContinuous" vertical="center" wrapText="1"/>
    </xf>
    <xf numFmtId="0" fontId="32" fillId="3" borderId="2" xfId="0" applyFont="1" applyFill="1" applyBorder="1" applyAlignment="1">
      <alignment horizontal="centerContinuous" vertical="center" wrapText="1"/>
    </xf>
    <xf numFmtId="0" fontId="32" fillId="3" borderId="48" xfId="0" applyFont="1" applyFill="1" applyBorder="1" applyAlignment="1">
      <alignment horizontal="centerContinuous" vertical="center" wrapText="1"/>
    </xf>
    <xf numFmtId="0" fontId="3" fillId="4" borderId="0" xfId="0" applyFont="1" applyFill="1" applyAlignment="1">
      <alignment horizontal="left" vertical="center"/>
    </xf>
    <xf numFmtId="0" fontId="3" fillId="4" borderId="0" xfId="0" applyFont="1" applyFill="1"/>
    <xf numFmtId="1" fontId="31" fillId="4" borderId="39" xfId="0" applyNumberFormat="1" applyFont="1" applyFill="1" applyBorder="1" applyAlignment="1" applyProtection="1">
      <alignment horizontal="center" vertical="center"/>
      <protection locked="0"/>
    </xf>
    <xf numFmtId="0" fontId="35" fillId="7" borderId="0" xfId="0" applyFont="1" applyFill="1" applyAlignment="1">
      <alignment horizontal="center" vertical="center"/>
    </xf>
    <xf numFmtId="0" fontId="19" fillId="7" borderId="0" xfId="0" applyFont="1" applyFill="1" applyAlignment="1">
      <alignment horizontal="center" vertical="center"/>
    </xf>
    <xf numFmtId="0" fontId="36" fillId="2" borderId="16" xfId="0" applyFont="1" applyFill="1" applyBorder="1" applyAlignment="1" applyProtection="1">
      <alignment horizontal="center" vertical="center"/>
      <protection locked="0"/>
    </xf>
    <xf numFmtId="0" fontId="37" fillId="0" borderId="15" xfId="0" applyFont="1" applyBorder="1" applyAlignment="1">
      <alignment horizontal="center" vertical="center" wrapText="1"/>
    </xf>
    <xf numFmtId="0" fontId="32" fillId="11" borderId="32" xfId="0" applyFont="1" applyFill="1" applyBorder="1" applyAlignment="1" applyProtection="1">
      <alignment horizontal="center" vertical="center"/>
      <protection locked="0"/>
    </xf>
    <xf numFmtId="0" fontId="3" fillId="4" borderId="0" xfId="0" applyFont="1" applyFill="1" applyAlignment="1">
      <alignment horizontal="left" vertical="center"/>
    </xf>
    <xf numFmtId="0" fontId="19" fillId="7" borderId="0" xfId="0" applyFont="1" applyFill="1" applyAlignment="1">
      <alignment horizontal="center" vertical="center"/>
    </xf>
    <xf numFmtId="0" fontId="3" fillId="4" borderId="0" xfId="0" applyFont="1" applyFill="1" applyAlignment="1">
      <alignment horizontal="center"/>
    </xf>
    <xf numFmtId="0" fontId="35" fillId="7" borderId="0" xfId="0" applyFont="1" applyFill="1" applyAlignment="1">
      <alignment horizontal="center" vertical="center"/>
    </xf>
    <xf numFmtId="0" fontId="3" fillId="7" borderId="0" xfId="0" applyFont="1" applyFill="1" applyAlignment="1">
      <alignment horizontal="center" vertical="center"/>
    </xf>
    <xf numFmtId="0" fontId="3" fillId="10" borderId="0" xfId="0" applyFont="1" applyFill="1"/>
    <xf numFmtId="0" fontId="18" fillId="7" borderId="0" xfId="0" applyFont="1" applyFill="1" applyAlignment="1">
      <alignment horizontal="center" wrapText="1"/>
    </xf>
    <xf numFmtId="0" fontId="20" fillId="0" borderId="30" xfId="0" applyFont="1" applyBorder="1" applyAlignment="1">
      <alignment horizontal="left" vertical="top" wrapText="1"/>
    </xf>
    <xf numFmtId="0" fontId="12" fillId="7" borderId="0" xfId="0" applyFont="1" applyFill="1" applyAlignment="1" applyProtection="1">
      <alignment horizontal="center"/>
      <protection locked="0"/>
    </xf>
    <xf numFmtId="0" fontId="13" fillId="7" borderId="0" xfId="0" applyFont="1" applyFill="1" applyAlignment="1" applyProtection="1">
      <alignment horizontal="center"/>
      <protection locked="0"/>
    </xf>
    <xf numFmtId="0" fontId="14" fillId="7" borderId="0" xfId="0" applyFont="1" applyFill="1" applyAlignment="1" applyProtection="1">
      <alignment horizontal="center" wrapText="1"/>
      <protection locked="0"/>
    </xf>
    <xf numFmtId="9" fontId="31" fillId="0" borderId="36" xfId="0" applyNumberFormat="1" applyFont="1" applyBorder="1" applyAlignment="1" applyProtection="1">
      <alignment horizontal="left" vertical="center" indent="1"/>
      <protection locked="0"/>
    </xf>
    <xf numFmtId="9" fontId="31" fillId="0" borderId="5" xfId="0" applyNumberFormat="1" applyFont="1" applyBorder="1" applyAlignment="1" applyProtection="1">
      <alignment horizontal="left" vertical="center" indent="1"/>
      <protection locked="0"/>
    </xf>
    <xf numFmtId="9" fontId="31" fillId="0" borderId="34" xfId="0" applyNumberFormat="1" applyFont="1" applyBorder="1" applyAlignment="1" applyProtection="1">
      <alignment horizontal="left" vertical="center" indent="1"/>
      <protection locked="0"/>
    </xf>
    <xf numFmtId="165" fontId="31" fillId="0" borderId="25" xfId="0" applyNumberFormat="1" applyFont="1" applyBorder="1" applyAlignment="1" applyProtection="1">
      <alignment horizontal="left" vertical="center" indent="1"/>
      <protection locked="0"/>
    </xf>
    <xf numFmtId="165" fontId="31" fillId="0" borderId="7" xfId="0" applyNumberFormat="1" applyFont="1" applyBorder="1" applyAlignment="1" applyProtection="1">
      <alignment horizontal="left" vertical="center" indent="1"/>
      <protection locked="0"/>
    </xf>
    <xf numFmtId="165" fontId="31" fillId="0" borderId="39" xfId="0" applyNumberFormat="1" applyFont="1" applyBorder="1" applyAlignment="1" applyProtection="1">
      <alignment horizontal="left" vertical="center" indent="1"/>
      <protection locked="0"/>
    </xf>
    <xf numFmtId="165" fontId="31" fillId="0" borderId="36" xfId="0" applyNumberFormat="1" applyFont="1" applyBorder="1" applyAlignment="1" applyProtection="1">
      <alignment horizontal="left" vertical="center" indent="1"/>
      <protection locked="0"/>
    </xf>
    <xf numFmtId="165" fontId="31" fillId="0" borderId="5" xfId="0" applyNumberFormat="1" applyFont="1" applyBorder="1" applyAlignment="1" applyProtection="1">
      <alignment horizontal="left" vertical="center" indent="1"/>
      <protection locked="0"/>
    </xf>
    <xf numFmtId="165" fontId="31" fillId="0" borderId="34" xfId="0" applyNumberFormat="1" applyFont="1" applyBorder="1" applyAlignment="1" applyProtection="1">
      <alignment horizontal="left" vertical="center" indent="1"/>
      <protection locked="0"/>
    </xf>
    <xf numFmtId="9" fontId="31" fillId="0" borderId="26" xfId="0" applyNumberFormat="1" applyFont="1" applyBorder="1" applyAlignment="1" applyProtection="1">
      <alignment horizontal="left" vertical="center" indent="1"/>
      <protection locked="0"/>
    </xf>
    <xf numFmtId="9" fontId="31" fillId="0" borderId="27" xfId="0" applyNumberFormat="1" applyFont="1" applyBorder="1" applyAlignment="1" applyProtection="1">
      <alignment horizontal="left" vertical="center" indent="1"/>
      <protection locked="0"/>
    </xf>
    <xf numFmtId="9" fontId="31" fillId="0" borderId="28" xfId="0" applyNumberFormat="1" applyFont="1" applyBorder="1" applyAlignment="1" applyProtection="1">
      <alignment horizontal="left" vertical="center" indent="1"/>
      <protection locked="0"/>
    </xf>
    <xf numFmtId="9" fontId="31" fillId="0" borderId="29" xfId="0" applyNumberFormat="1" applyFont="1" applyBorder="1" applyAlignment="1" applyProtection="1">
      <alignment horizontal="left" vertical="center" indent="1"/>
      <protection locked="0"/>
    </xf>
    <xf numFmtId="9" fontId="31" fillId="0" borderId="23" xfId="0" applyNumberFormat="1" applyFont="1" applyBorder="1" applyAlignment="1" applyProtection="1">
      <alignment horizontal="left" vertical="center" indent="1"/>
      <protection locked="0"/>
    </xf>
    <xf numFmtId="9" fontId="31" fillId="0" borderId="18" xfId="0" applyNumberFormat="1" applyFont="1" applyBorder="1" applyAlignment="1" applyProtection="1">
      <alignment horizontal="left" vertical="center" indent="1"/>
      <protection locked="0"/>
    </xf>
    <xf numFmtId="0" fontId="2" fillId="7" borderId="9" xfId="0" applyFont="1" applyFill="1" applyBorder="1" applyAlignment="1" applyProtection="1">
      <alignment vertical="center"/>
      <protection locked="0"/>
    </xf>
    <xf numFmtId="0" fontId="2" fillId="7" borderId="10" xfId="0" applyFont="1" applyFill="1" applyBorder="1" applyAlignment="1" applyProtection="1">
      <alignment vertical="center"/>
      <protection locked="0"/>
    </xf>
    <xf numFmtId="9" fontId="32" fillId="0" borderId="29" xfId="0" applyNumberFormat="1" applyFont="1" applyBorder="1" applyAlignment="1" applyProtection="1">
      <alignment horizontal="left" vertical="center" indent="1"/>
      <protection locked="0"/>
    </xf>
    <xf numFmtId="9" fontId="32" fillId="0" borderId="23" xfId="0" applyNumberFormat="1" applyFont="1" applyBorder="1" applyAlignment="1" applyProtection="1">
      <alignment horizontal="left" vertical="center" indent="1"/>
      <protection locked="0"/>
    </xf>
    <xf numFmtId="9" fontId="32" fillId="0" borderId="18" xfId="0" applyNumberFormat="1" applyFont="1" applyBorder="1" applyAlignment="1" applyProtection="1">
      <alignment horizontal="left" vertical="center" indent="1"/>
      <protection locked="0"/>
    </xf>
    <xf numFmtId="165" fontId="31" fillId="0" borderId="29" xfId="0" applyNumberFormat="1" applyFont="1" applyBorder="1" applyAlignment="1" applyProtection="1">
      <alignment horizontal="left" vertical="center" indent="1"/>
      <protection locked="0"/>
    </xf>
    <xf numFmtId="165" fontId="31" fillId="0" borderId="23" xfId="0" applyNumberFormat="1" applyFont="1" applyBorder="1" applyAlignment="1" applyProtection="1">
      <alignment horizontal="left" vertical="center" indent="1"/>
      <protection locked="0"/>
    </xf>
    <xf numFmtId="165" fontId="31" fillId="0" borderId="18" xfId="0" applyNumberFormat="1" applyFont="1" applyBorder="1" applyAlignment="1" applyProtection="1">
      <alignment horizontal="left" vertical="center" indent="1"/>
      <protection locked="0"/>
    </xf>
    <xf numFmtId="0" fontId="12" fillId="7" borderId="22" xfId="0" applyFont="1" applyFill="1" applyBorder="1" applyAlignment="1" applyProtection="1">
      <alignment horizontal="center" vertical="center"/>
      <protection locked="0"/>
    </xf>
    <xf numFmtId="0" fontId="12" fillId="7" borderId="30" xfId="0" applyFont="1" applyFill="1" applyBorder="1" applyAlignment="1" applyProtection="1">
      <alignment horizontal="center" vertical="center"/>
      <protection locked="0"/>
    </xf>
    <xf numFmtId="0" fontId="12" fillId="7" borderId="33" xfId="0" applyFont="1" applyFill="1" applyBorder="1" applyAlignment="1" applyProtection="1">
      <alignment horizontal="center" vertical="center"/>
      <protection locked="0"/>
    </xf>
    <xf numFmtId="0" fontId="13" fillId="7" borderId="31" xfId="0" applyFont="1" applyFill="1" applyBorder="1" applyAlignment="1" applyProtection="1">
      <alignment horizontal="center" vertical="center"/>
      <protection locked="0"/>
    </xf>
    <xf numFmtId="0" fontId="13" fillId="7" borderId="0" xfId="0" applyFont="1" applyFill="1" applyAlignment="1" applyProtection="1">
      <alignment horizontal="center" vertical="center"/>
      <protection locked="0"/>
    </xf>
    <xf numFmtId="0" fontId="13" fillId="7" borderId="37" xfId="0" applyFont="1" applyFill="1" applyBorder="1" applyAlignment="1" applyProtection="1">
      <alignment horizontal="center" vertical="center"/>
      <protection locked="0"/>
    </xf>
    <xf numFmtId="0" fontId="14" fillId="7" borderId="38" xfId="0" applyFont="1" applyFill="1" applyBorder="1" applyAlignment="1" applyProtection="1">
      <alignment horizontal="center" vertical="top" wrapText="1"/>
      <protection locked="0"/>
    </xf>
    <xf numFmtId="0" fontId="14" fillId="7" borderId="20" xfId="0" applyFont="1" applyFill="1" applyBorder="1" applyAlignment="1" applyProtection="1">
      <alignment horizontal="center" vertical="top" wrapText="1"/>
      <protection locked="0"/>
    </xf>
    <xf numFmtId="0" fontId="14" fillId="7" borderId="35" xfId="0" applyFont="1" applyFill="1" applyBorder="1" applyAlignment="1" applyProtection="1">
      <alignment horizontal="center" vertical="top" wrapText="1"/>
      <protection locked="0"/>
    </xf>
    <xf numFmtId="9" fontId="32" fillId="0" borderId="22" xfId="0" applyNumberFormat="1" applyFont="1" applyBorder="1" applyAlignment="1" applyProtection="1">
      <alignment horizontal="left" vertical="center" indent="1"/>
      <protection locked="0"/>
    </xf>
    <xf numFmtId="9" fontId="32" fillId="0" borderId="30" xfId="0" applyNumberFormat="1" applyFont="1" applyBorder="1" applyAlignment="1" applyProtection="1">
      <alignment horizontal="left" vertical="center" indent="1"/>
      <protection locked="0"/>
    </xf>
    <xf numFmtId="9" fontId="32" fillId="0" borderId="33" xfId="0" applyNumberFormat="1" applyFont="1" applyBorder="1" applyAlignment="1" applyProtection="1">
      <alignment horizontal="left" vertical="center" indent="1"/>
      <protection locked="0"/>
    </xf>
    <xf numFmtId="0" fontId="32" fillId="0" borderId="57" xfId="0" applyFont="1" applyBorder="1" applyAlignment="1" applyProtection="1">
      <alignment horizontal="left" vertical="center" indent="1"/>
      <protection locked="0"/>
    </xf>
    <xf numFmtId="0" fontId="32" fillId="0" borderId="29" xfId="0" applyFont="1" applyBorder="1" applyAlignment="1" applyProtection="1">
      <alignment horizontal="left" vertical="center" indent="1"/>
      <protection locked="0"/>
    </xf>
    <xf numFmtId="0" fontId="32" fillId="0" borderId="23" xfId="0" applyFont="1" applyBorder="1" applyAlignment="1" applyProtection="1">
      <alignment horizontal="left" vertical="center" indent="1"/>
      <protection locked="0"/>
    </xf>
    <xf numFmtId="0" fontId="32" fillId="0" borderId="24" xfId="0" applyFont="1" applyBorder="1" applyAlignment="1" applyProtection="1">
      <alignment horizontal="left" vertical="center" indent="1"/>
      <protection locked="0"/>
    </xf>
    <xf numFmtId="0" fontId="32" fillId="0" borderId="21" xfId="0" applyFont="1" applyBorder="1" applyAlignment="1" applyProtection="1">
      <alignment horizontal="center" vertical="center"/>
      <protection locked="0"/>
    </xf>
    <xf numFmtId="0" fontId="2" fillId="7" borderId="9" xfId="0" applyFont="1" applyFill="1" applyBorder="1" applyAlignment="1" applyProtection="1">
      <alignment horizontal="left" vertical="center"/>
      <protection locked="0"/>
    </xf>
    <xf numFmtId="0" fontId="2" fillId="7" borderId="10" xfId="0" applyFont="1" applyFill="1" applyBorder="1" applyAlignment="1" applyProtection="1">
      <alignment horizontal="left" vertical="center"/>
      <protection locked="0"/>
    </xf>
    <xf numFmtId="0" fontId="32" fillId="0" borderId="25" xfId="0" applyFont="1" applyBorder="1" applyAlignment="1" applyProtection="1">
      <alignment horizontal="left" vertical="center" indent="1"/>
      <protection locked="0"/>
    </xf>
    <xf numFmtId="0" fontId="32" fillId="0" borderId="7" xfId="0" applyFont="1" applyBorder="1" applyAlignment="1" applyProtection="1">
      <alignment horizontal="left" vertical="center" indent="1"/>
      <protection locked="0"/>
    </xf>
    <xf numFmtId="0" fontId="31" fillId="0" borderId="59" xfId="0" applyFont="1" applyBorder="1" applyAlignment="1" applyProtection="1">
      <alignment vertical="center"/>
      <protection locked="0"/>
    </xf>
    <xf numFmtId="0" fontId="31" fillId="0" borderId="5" xfId="0" applyFont="1" applyBorder="1" applyAlignment="1" applyProtection="1">
      <alignment vertical="center"/>
      <protection locked="0"/>
    </xf>
    <xf numFmtId="0" fontId="32" fillId="0" borderId="36" xfId="0" applyFont="1" applyBorder="1" applyAlignment="1" applyProtection="1">
      <alignment horizontal="center" vertical="center"/>
      <protection locked="0"/>
    </xf>
    <xf numFmtId="0" fontId="32" fillId="0" borderId="5" xfId="0" applyFont="1" applyBorder="1" applyAlignment="1" applyProtection="1">
      <alignment horizontal="center" vertical="center"/>
      <protection locked="0"/>
    </xf>
    <xf numFmtId="0" fontId="32" fillId="0" borderId="34" xfId="0" applyFont="1" applyBorder="1" applyAlignment="1" applyProtection="1">
      <alignment horizontal="center" vertical="center"/>
      <protection locked="0"/>
    </xf>
    <xf numFmtId="0" fontId="31" fillId="0" borderId="61" xfId="0" applyFont="1" applyBorder="1" applyAlignment="1" applyProtection="1">
      <alignment vertical="center"/>
      <protection locked="0"/>
    </xf>
    <xf numFmtId="0" fontId="31" fillId="0" borderId="23" xfId="0" applyFont="1" applyBorder="1" applyAlignment="1" applyProtection="1">
      <alignment vertical="center"/>
      <protection locked="0"/>
    </xf>
    <xf numFmtId="0" fontId="32" fillId="0" borderId="56" xfId="0" applyFont="1" applyBorder="1" applyAlignment="1" applyProtection="1">
      <alignment horizontal="left" vertical="center" indent="1"/>
      <protection locked="0"/>
    </xf>
    <xf numFmtId="0" fontId="31" fillId="0" borderId="55" xfId="0" applyFont="1" applyBorder="1" applyAlignment="1" applyProtection="1">
      <alignment horizontal="left" vertical="center" indent="1"/>
      <protection locked="0"/>
    </xf>
    <xf numFmtId="0" fontId="31" fillId="0" borderId="56" xfId="0" applyFont="1" applyBorder="1" applyAlignment="1" applyProtection="1">
      <alignment horizontal="left" vertical="center" indent="1"/>
      <protection locked="0"/>
    </xf>
    <xf numFmtId="0" fontId="31" fillId="0" borderId="60" xfId="0" applyFont="1" applyBorder="1" applyAlignment="1" applyProtection="1">
      <alignment vertical="center"/>
      <protection locked="0"/>
    </xf>
    <xf numFmtId="0" fontId="31" fillId="0" borderId="27" xfId="0" applyFont="1" applyBorder="1" applyAlignment="1" applyProtection="1">
      <alignment vertical="center"/>
      <protection locked="0"/>
    </xf>
    <xf numFmtId="0" fontId="20" fillId="0" borderId="0" xfId="0" applyFont="1" applyAlignment="1">
      <alignment horizontal="left" vertical="top" wrapText="1"/>
    </xf>
    <xf numFmtId="0" fontId="32" fillId="3" borderId="45" xfId="0" applyFont="1" applyFill="1" applyBorder="1" applyAlignment="1">
      <alignment horizontal="right" vertical="center" wrapText="1"/>
    </xf>
    <xf numFmtId="0" fontId="32" fillId="3" borderId="46" xfId="0" applyFont="1" applyFill="1" applyBorder="1" applyAlignment="1">
      <alignment horizontal="right" vertical="center" wrapText="1"/>
    </xf>
    <xf numFmtId="0" fontId="30" fillId="0" borderId="69" xfId="7" applyNumberFormat="1" applyFont="1" applyFill="1" applyBorder="1" applyAlignment="1">
      <alignment horizontal="center" vertical="center" wrapText="1"/>
    </xf>
    <xf numFmtId="0" fontId="30" fillId="0" borderId="46" xfId="7" applyNumberFormat="1" applyFont="1" applyFill="1" applyBorder="1" applyAlignment="1">
      <alignment horizontal="center" vertical="center" wrapText="1"/>
    </xf>
    <xf numFmtId="0" fontId="30" fillId="0" borderId="70" xfId="7" applyNumberFormat="1" applyFont="1" applyFill="1" applyBorder="1" applyAlignment="1">
      <alignment horizontal="center" vertical="center" wrapText="1"/>
    </xf>
    <xf numFmtId="0" fontId="5" fillId="0" borderId="46" xfId="7" applyNumberFormat="1" applyFont="1" applyFill="1" applyBorder="1" applyAlignment="1">
      <alignment horizontal="center" vertical="center" wrapText="1"/>
    </xf>
    <xf numFmtId="0" fontId="5" fillId="0" borderId="66" xfId="7" applyNumberFormat="1" applyFont="1" applyFill="1" applyBorder="1" applyAlignment="1">
      <alignment horizontal="center" vertical="center" wrapText="1"/>
    </xf>
    <xf numFmtId="165" fontId="31" fillId="0" borderId="69" xfId="7" applyNumberFormat="1" applyFont="1" applyFill="1" applyBorder="1" applyAlignment="1">
      <alignment horizontal="center" vertical="center" wrapText="1"/>
    </xf>
    <xf numFmtId="165" fontId="31" fillId="0" borderId="46" xfId="7" applyNumberFormat="1" applyFont="1" applyFill="1" applyBorder="1" applyAlignment="1">
      <alignment horizontal="center" vertical="center" wrapText="1"/>
    </xf>
    <xf numFmtId="165" fontId="31" fillId="0" borderId="66" xfId="7" applyNumberFormat="1"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9" borderId="0" xfId="0" applyFont="1" applyFill="1" applyAlignment="1">
      <alignment horizontal="center" vertical="center" wrapText="1"/>
    </xf>
    <xf numFmtId="0" fontId="27" fillId="9" borderId="2" xfId="0" applyFont="1" applyFill="1" applyBorder="1" applyAlignment="1">
      <alignment horizontal="center" vertical="center" wrapText="1"/>
    </xf>
    <xf numFmtId="165" fontId="31" fillId="0" borderId="67" xfId="7" applyNumberFormat="1" applyFont="1" applyFill="1" applyBorder="1" applyAlignment="1">
      <alignment horizontal="center" vertical="center" wrapText="1"/>
    </xf>
    <xf numFmtId="165" fontId="31" fillId="0" borderId="64" xfId="7" applyNumberFormat="1" applyFont="1" applyFill="1" applyBorder="1" applyAlignment="1">
      <alignment horizontal="center" vertical="center" wrapText="1"/>
    </xf>
    <xf numFmtId="165" fontId="31" fillId="0" borderId="65" xfId="7" applyNumberFormat="1" applyFont="1" applyFill="1" applyBorder="1" applyAlignment="1">
      <alignment horizontal="center" vertical="center" wrapText="1"/>
    </xf>
    <xf numFmtId="10" fontId="31" fillId="0" borderId="69" xfId="7" applyNumberFormat="1" applyFont="1" applyFill="1" applyBorder="1" applyAlignment="1">
      <alignment horizontal="center" vertical="center" wrapText="1"/>
    </xf>
    <xf numFmtId="10" fontId="31" fillId="0" borderId="46" xfId="7" applyNumberFormat="1" applyFont="1" applyFill="1" applyBorder="1" applyAlignment="1">
      <alignment horizontal="center" vertical="center" wrapText="1"/>
    </xf>
    <xf numFmtId="10" fontId="31" fillId="0" borderId="66" xfId="7" applyNumberFormat="1" applyFont="1" applyFill="1" applyBorder="1" applyAlignment="1">
      <alignment horizontal="center" vertical="center" wrapText="1"/>
    </xf>
    <xf numFmtId="165" fontId="31" fillId="0" borderId="68" xfId="7" applyNumberFormat="1" applyFont="1" applyFill="1" applyBorder="1" applyAlignment="1">
      <alignment horizontal="center" vertical="center" wrapText="1"/>
    </xf>
    <xf numFmtId="165" fontId="31" fillId="0" borderId="70" xfId="7" applyNumberFormat="1" applyFont="1" applyFill="1" applyBorder="1" applyAlignment="1">
      <alignment horizontal="center" vertical="center" wrapText="1"/>
    </xf>
    <xf numFmtId="0" fontId="31" fillId="0" borderId="69" xfId="7" applyNumberFormat="1" applyFont="1" applyFill="1" applyBorder="1" applyAlignment="1">
      <alignment horizontal="center" vertical="center" wrapText="1"/>
    </xf>
    <xf numFmtId="0" fontId="31" fillId="0" borderId="46" xfId="7" applyNumberFormat="1" applyFont="1" applyFill="1" applyBorder="1" applyAlignment="1">
      <alignment horizontal="center" vertical="center" wrapText="1"/>
    </xf>
    <xf numFmtId="0" fontId="31" fillId="0" borderId="70" xfId="7" applyNumberFormat="1" applyFont="1" applyFill="1" applyBorder="1" applyAlignment="1">
      <alignment horizontal="center" vertical="center" wrapText="1"/>
    </xf>
    <xf numFmtId="10" fontId="31" fillId="0" borderId="70" xfId="7" applyNumberFormat="1" applyFont="1" applyFill="1" applyBorder="1" applyAlignment="1">
      <alignment horizontal="center" vertical="center" wrapText="1"/>
    </xf>
    <xf numFmtId="0" fontId="27" fillId="9" borderId="71" xfId="0" applyFont="1" applyFill="1" applyBorder="1" applyAlignment="1">
      <alignment horizontal="center"/>
    </xf>
    <xf numFmtId="0" fontId="27" fillId="9" borderId="62" xfId="0" applyFont="1" applyFill="1" applyBorder="1" applyAlignment="1">
      <alignment horizontal="center"/>
    </xf>
    <xf numFmtId="0" fontId="31" fillId="3" borderId="63" xfId="0" applyFont="1" applyFill="1" applyBorder="1" applyAlignment="1">
      <alignment horizontal="right" vertical="center" wrapText="1"/>
    </xf>
    <xf numFmtId="0" fontId="31" fillId="3" borderId="64" xfId="0" applyFont="1" applyFill="1" applyBorder="1" applyAlignment="1">
      <alignment horizontal="right" vertical="center" wrapText="1"/>
    </xf>
    <xf numFmtId="0" fontId="31" fillId="3" borderId="45" xfId="0" applyFont="1" applyFill="1" applyBorder="1" applyAlignment="1">
      <alignment horizontal="right" vertical="center" wrapText="1"/>
    </xf>
    <xf numFmtId="0" fontId="31" fillId="3" borderId="46" xfId="0" applyFont="1" applyFill="1" applyBorder="1" applyAlignment="1">
      <alignment horizontal="right" vertical="center" wrapText="1"/>
    </xf>
    <xf numFmtId="0" fontId="2" fillId="9" borderId="1" xfId="0" applyFont="1" applyFill="1" applyBorder="1" applyAlignment="1">
      <alignment horizontal="center" vertical="center"/>
    </xf>
    <xf numFmtId="0" fontId="2" fillId="9" borderId="0" xfId="0" applyFont="1" applyFill="1" applyAlignment="1">
      <alignment horizontal="center" vertical="center"/>
    </xf>
    <xf numFmtId="0" fontId="2" fillId="9" borderId="48" xfId="0" applyFont="1" applyFill="1" applyBorder="1" applyAlignment="1">
      <alignment horizontal="center" vertical="center"/>
    </xf>
    <xf numFmtId="0" fontId="36" fillId="3" borderId="1" xfId="0" applyFont="1" applyFill="1" applyBorder="1" applyAlignment="1">
      <alignment horizontal="center" vertical="center"/>
    </xf>
    <xf numFmtId="0" fontId="36" fillId="3" borderId="0" xfId="0" applyFont="1" applyFill="1" applyAlignment="1">
      <alignment horizontal="center" vertical="center"/>
    </xf>
    <xf numFmtId="0" fontId="36" fillId="3" borderId="48" xfId="0" applyFont="1" applyFill="1" applyBorder="1" applyAlignment="1">
      <alignment horizontal="center" vertical="center"/>
    </xf>
    <xf numFmtId="0" fontId="23" fillId="8" borderId="53" xfId="0" applyFont="1" applyFill="1" applyBorder="1" applyAlignment="1" applyProtection="1">
      <alignment horizontal="center" vertical="center"/>
      <protection locked="0"/>
    </xf>
    <xf numFmtId="0" fontId="23" fillId="8" borderId="54" xfId="0" applyFont="1" applyFill="1" applyBorder="1" applyAlignment="1" applyProtection="1">
      <alignment horizontal="center" vertical="center"/>
      <protection locked="0"/>
    </xf>
    <xf numFmtId="0" fontId="23" fillId="8" borderId="40" xfId="0" applyFont="1" applyFill="1" applyBorder="1" applyAlignment="1" applyProtection="1">
      <alignment horizontal="center" vertical="center"/>
      <protection locked="0"/>
    </xf>
    <xf numFmtId="0" fontId="24" fillId="8" borderId="41" xfId="0" applyFont="1" applyFill="1" applyBorder="1" applyAlignment="1" applyProtection="1">
      <alignment horizontal="center" vertical="center"/>
      <protection locked="0"/>
    </xf>
    <xf numFmtId="0" fontId="24" fillId="8" borderId="0" xfId="0" applyFont="1" applyFill="1" applyAlignment="1" applyProtection="1">
      <alignment horizontal="center" vertical="center"/>
      <protection locked="0"/>
    </xf>
    <xf numFmtId="0" fontId="24" fillId="8" borderId="48" xfId="0" applyFont="1" applyFill="1" applyBorder="1" applyAlignment="1" applyProtection="1">
      <alignment horizontal="center" vertical="center"/>
      <protection locked="0"/>
    </xf>
    <xf numFmtId="0" fontId="25" fillId="8" borderId="41" xfId="0" applyFont="1" applyFill="1" applyBorder="1" applyAlignment="1" applyProtection="1">
      <alignment horizontal="center" vertical="top" wrapText="1"/>
      <protection locked="0"/>
    </xf>
    <xf numFmtId="0" fontId="25" fillId="8" borderId="0" xfId="0" applyFont="1" applyFill="1" applyAlignment="1" applyProtection="1">
      <alignment horizontal="center" vertical="top" wrapText="1"/>
      <protection locked="0"/>
    </xf>
    <xf numFmtId="0" fontId="25" fillId="8" borderId="48" xfId="0" applyFont="1" applyFill="1" applyBorder="1" applyAlignment="1" applyProtection="1">
      <alignment horizontal="center" vertical="top" wrapText="1"/>
      <protection locked="0"/>
    </xf>
    <xf numFmtId="0" fontId="33" fillId="3" borderId="41" xfId="0" applyFont="1" applyFill="1" applyBorder="1" applyAlignment="1">
      <alignment horizontal="center" vertical="center"/>
    </xf>
    <xf numFmtId="0" fontId="33" fillId="3" borderId="0" xfId="0" applyFont="1" applyFill="1" applyAlignment="1">
      <alignment horizontal="center" vertical="center"/>
    </xf>
    <xf numFmtId="0" fontId="36" fillId="3" borderId="2" xfId="0" applyFont="1" applyFill="1" applyBorder="1" applyAlignment="1">
      <alignment horizontal="center" vertical="center"/>
    </xf>
    <xf numFmtId="0" fontId="12" fillId="7" borderId="22" xfId="0" applyFont="1" applyFill="1" applyBorder="1" applyAlignment="1" applyProtection="1">
      <alignment horizontal="center" vertical="center" wrapText="1"/>
      <protection locked="0"/>
    </xf>
    <xf numFmtId="0" fontId="12" fillId="7" borderId="30" xfId="0" applyFont="1" applyFill="1" applyBorder="1" applyAlignment="1" applyProtection="1">
      <alignment horizontal="center" vertical="center" wrapText="1"/>
      <protection locked="0"/>
    </xf>
    <xf numFmtId="0" fontId="32" fillId="0" borderId="9" xfId="0" applyFont="1" applyBorder="1" applyAlignment="1" applyProtection="1">
      <alignment horizontal="right" vertical="center" wrapText="1" indent="2"/>
      <protection locked="0"/>
    </xf>
    <xf numFmtId="0" fontId="32" fillId="0" borderId="11" xfId="0" applyFont="1" applyBorder="1" applyAlignment="1" applyProtection="1">
      <alignment horizontal="right" vertical="center" wrapText="1" indent="2"/>
      <protection locked="0"/>
    </xf>
    <xf numFmtId="0" fontId="32" fillId="0" borderId="22" xfId="0" applyFont="1" applyBorder="1" applyAlignment="1" applyProtection="1">
      <alignment horizontal="center" vertical="center"/>
      <protection locked="0"/>
    </xf>
    <xf numFmtId="0" fontId="32" fillId="0" borderId="33" xfId="0" applyFont="1" applyBorder="1" applyAlignment="1" applyProtection="1">
      <alignment horizontal="center" vertical="center"/>
      <protection locked="0"/>
    </xf>
    <xf numFmtId="0" fontId="32" fillId="0" borderId="31" xfId="0" applyFont="1" applyBorder="1" applyAlignment="1" applyProtection="1">
      <alignment horizontal="center" vertical="center"/>
      <protection locked="0"/>
    </xf>
    <xf numFmtId="0" fontId="32" fillId="0" borderId="37" xfId="0" applyFont="1" applyBorder="1" applyAlignment="1" applyProtection="1">
      <alignment horizontal="center" vertical="center"/>
      <protection locked="0"/>
    </xf>
    <xf numFmtId="0" fontId="32" fillId="0" borderId="38" xfId="0" applyFont="1" applyBorder="1" applyAlignment="1" applyProtection="1">
      <alignment horizontal="center" vertical="center"/>
      <protection locked="0"/>
    </xf>
    <xf numFmtId="0" fontId="32" fillId="0" borderId="35" xfId="0" applyFont="1" applyBorder="1" applyAlignment="1" applyProtection="1">
      <alignment horizontal="center" vertical="center"/>
      <protection locked="0"/>
    </xf>
    <xf numFmtId="0" fontId="2" fillId="7" borderId="9"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cellXfs>
  <cellStyles count="8">
    <cellStyle name="Comma" xfId="7" builtinId="3"/>
    <cellStyle name="Hyperlink 2" xfId="4" xr:uid="{459B72D1-470C-0743-85F6-B53BD46AFBC8}"/>
    <cellStyle name="Normal" xfId="0" builtinId="0"/>
    <cellStyle name="Normal 2 2 2" xfId="6" xr:uid="{4A305DD9-AA27-C644-9AF1-A68B8D1C52FF}"/>
    <cellStyle name="Normal 4" xfId="2" xr:uid="{38FF48EB-0743-A341-99EA-089D09934BDC}"/>
    <cellStyle name="Normal 5 2" xfId="5" xr:uid="{B41240CE-F135-3642-ABD1-CC0C8E1CEDBE}"/>
    <cellStyle name="Percent" xfId="1" builtinId="5"/>
    <cellStyle name="Percent 3" xfId="3" xr:uid="{1493B7BF-5779-6148-99FB-32CB7356474D}"/>
  </cellStyles>
  <dxfs count="2">
    <dxf>
      <font>
        <color theme="9"/>
      </font>
    </dxf>
    <dxf>
      <font>
        <color rgb="FFFF0000"/>
      </font>
    </dxf>
  </dxfs>
  <tableStyles count="0" defaultTableStyle="TableStyleMedium2" defaultPivotStyle="PivotStyleLight16"/>
  <colors>
    <mruColors>
      <color rgb="FF3B67BC"/>
      <color rgb="FFD4D4D4"/>
      <color rgb="FF6A2C3B"/>
      <color rgb="FF549635"/>
      <color rgb="FFB7A99A"/>
      <color rgb="FFC5C5C5"/>
      <color rgb="FFC5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695325</xdr:colOff>
      <xdr:row>1</xdr:row>
      <xdr:rowOff>72571</xdr:rowOff>
    </xdr:from>
    <xdr:to>
      <xdr:col>9</xdr:col>
      <xdr:colOff>89705</xdr:colOff>
      <xdr:row>7</xdr:row>
      <xdr:rowOff>150676</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795998" cy="12668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17?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654"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085?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085/original/seh_select_bronze_epo_local_value_50_75.pdf?1762384092" TargetMode="External"/><Relationship Id="rId5" Type="http://schemas.openxmlformats.org/officeDocument/2006/relationships/hyperlink" Target="https://production-workers.benefix.us/quotes/4GeFDfQDZLJeHLVkr1hPDrep/carrier_plans/551096?quote_option_group_id=1997654" TargetMode="External"/><Relationship Id="rId4" Type="http://schemas.openxmlformats.org/officeDocument/2006/relationships/hyperlink" Target="https://benefix-production.s3.us-east-1.amazonaws.com/carrier_plans/plan_pdfs/000/551/096/original/seh_select_bronze_epo_hsa_amerihealth_advantage_lv_25_50.pdf?176238414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091?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091/original/seh_select_bronze_epo_regional_preferred_with_ny_50_75.pdf?1762384119" TargetMode="External"/><Relationship Id="rId5" Type="http://schemas.openxmlformats.org/officeDocument/2006/relationships/hyperlink" Target="https://production-workers.benefix.us/quotes/4GeFDfQDZLJeHLVkr1hPDrep/carrier_plans/551101?quote_option_group_id=1997654" TargetMode="External"/><Relationship Id="rId4" Type="http://schemas.openxmlformats.org/officeDocument/2006/relationships/hyperlink" Target="https://benefix-production.s3.us-east-1.amazonaws.com/carrier_plans/plan_pdfs/000/551/101/original/seh_select_bronze_epo_hsa_amerihealth_advantage_rp_with_ny_25_50.pdf?176238416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07?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07/original/seh_select_bronze_epo_hsa_regional_preferred_with_ny_50_50.pdf?1762384198" TargetMode="External"/><Relationship Id="rId5" Type="http://schemas.openxmlformats.org/officeDocument/2006/relationships/hyperlink" Target="https://production-workers.benefix.us/quotes/4GeFDfQDZLJeHLVkr1hPDrep/carrier_plans/553786?quote_option_group_id=1997654" TargetMode="External"/><Relationship Id="rId4" Type="http://schemas.openxmlformats.org/officeDocument/2006/relationships/hyperlink" Target="https://benefix-production.s3.us-east-1.amazonaws.com/carrier_plans/plan_pdfs/000/553/786/original/seh_select_bronze_epo_hsa_local_value_50_50.pdf?1763136442"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08?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08/original/seh_select_bronze_epo_hsa_local_value_0_0.pdf?1762384203" TargetMode="External"/><Relationship Id="rId5" Type="http://schemas.openxmlformats.org/officeDocument/2006/relationships/hyperlink" Target="https://production-workers.benefix.us/quotes/4GeFDfQDZLJeHLVkr1hPDrep/carrier_plans/551118?quote_option_group_id=1997654" TargetMode="External"/><Relationship Id="rId4" Type="http://schemas.openxmlformats.org/officeDocument/2006/relationships/hyperlink" Target="https://benefix-production.s3.us-east-1.amazonaws.com/carrier_plans/plan_pdfs/000/551/118/original/seh_select_silver_epo_local_value_40_75.pdf?176238425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19?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19/original/seh_select_silver_epo_regional_preferred_with_ny_40_75.pdf?1762384259" TargetMode="External"/><Relationship Id="rId5" Type="http://schemas.openxmlformats.org/officeDocument/2006/relationships/hyperlink" Target="https://production-workers.benefix.us/quotes/4GeFDfQDZLJeHLVkr1hPDrep/carrier_plans/551111?quote_option_group_id=1997654" TargetMode="External"/><Relationship Id="rId4" Type="http://schemas.openxmlformats.org/officeDocument/2006/relationships/hyperlink" Target="https://benefix-production.s3.us-east-1.amazonaws.com/carrier_plans/plan_pdfs/000/551/111/original/seh_select_silver_epo_amerihealth_hospital_advantage_50_75.pdf?1762384219"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86?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86/original/omnia_bronze.pdf?1759773394" TargetMode="External"/><Relationship Id="rId5" Type="http://schemas.openxmlformats.org/officeDocument/2006/relationships/hyperlink" Target="https://production-workers.benefix.us/quotes/4GeFDfQDZLJeHLVkr1hPDrep/carrier_plans/551109?quote_option_group_id=1997654" TargetMode="External"/><Relationship Id="rId4" Type="http://schemas.openxmlformats.org/officeDocument/2006/relationships/hyperlink" Target="https://benefix-production.s3.us-east-1.amazonaws.com/carrier_plans/plan_pdfs/000/551/109/original/seh_select_bronze_epo_hsa_regional_preferred_with_ny_0_0.pdf?1762384209"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7258?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7/258/original/nj_s_mtro_ng_50_75_2500_50_epo_26.pdf?1768330468" TargetMode="External"/><Relationship Id="rId5" Type="http://schemas.openxmlformats.org/officeDocument/2006/relationships/hyperlink" Target="https://production-workers.benefix.us/quotes/4GeFDfQDZLJeHLVkr1hPDrep/carrier_plans/551100?quote_option_group_id=1997654" TargetMode="External"/><Relationship Id="rId4" Type="http://schemas.openxmlformats.org/officeDocument/2006/relationships/hyperlink" Target="https://benefix-production.s3.us-east-1.amazonaws.com/carrier_plans/plan_pdfs/000/551/100/original/seh_select_gold_epo_amerihealth_advantage_lv_20_40.pdf?176238416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12?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12/original/seh_select_silver_epo_hsa_local_value_20_20.pdf?1762384225" TargetMode="External"/><Relationship Id="rId5" Type="http://schemas.openxmlformats.org/officeDocument/2006/relationships/hyperlink" Target="https://production-workers.benefix.us/quotes/4GeFDfQDZLJeHLVkr1hPDrep/carrier_plans/551121?quote_option_group_id=1997654" TargetMode="External"/><Relationship Id="rId4" Type="http://schemas.openxmlformats.org/officeDocument/2006/relationships/hyperlink" Target="https://benefix-production.s3.us-east-1.amazonaws.com/carrier_plans/plan_pdfs/000/551/121/original/seh_select_silver_epo_hsa_local_value_0_0_6_000.pdf?1762384269"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083?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083/original/seh_select_gold_epo_local_value_30_60.pdf?1762384080" TargetMode="External"/><Relationship Id="rId5" Type="http://schemas.openxmlformats.org/officeDocument/2006/relationships/hyperlink" Target="https://production-workers.benefix.us/quotes/4GeFDfQDZLJeHLVkr1hPDrep/carrier_plans/551103?quote_option_group_id=1997654" TargetMode="External"/><Relationship Id="rId4" Type="http://schemas.openxmlformats.org/officeDocument/2006/relationships/hyperlink" Target="https://benefix-production.s3.us-east-1.amazonaws.com/carrier_plans/plan_pdfs/000/551/103/original/seh_select_gold_epo_amerihealth_advantage_rp_with_ny_20_40.pdf?1762384179"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87?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87/original/omnia_silver.pdf?1759773395" TargetMode="External"/><Relationship Id="rId5" Type="http://schemas.openxmlformats.org/officeDocument/2006/relationships/hyperlink" Target="https://production-workers.benefix.us/quotes/4GeFDfQDZLJeHLVkr1hPDrep/carrier_plans/530991?quote_option_group_id=1997654" TargetMode="External"/><Relationship Id="rId4" Type="http://schemas.openxmlformats.org/officeDocument/2006/relationships/hyperlink" Target="https://benefix-production.s3.us-east-1.amazonaws.com/carrier_plans/plan_pdfs/000/530/991/original/omnia_silver_bluecard.pdf?175977340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13?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13/original/seh_select_silver_epo_hsa_regional_preferred_with_ny_20_20.pdf?1762384230" TargetMode="External"/><Relationship Id="rId5" Type="http://schemas.openxmlformats.org/officeDocument/2006/relationships/hyperlink" Target="https://production-workers.benefix.us/quotes/4GeFDfQDZLJeHLVkr1hPDrep/carrier_plans/557259?quote_option_group_id=1997654" TargetMode="External"/><Relationship Id="rId4" Type="http://schemas.openxmlformats.org/officeDocument/2006/relationships/hyperlink" Target="https://benefix-production.s3.us-east-1.amazonaws.com/carrier_plans/plan_pdfs/000/557/259/original/nj_g_mtro_ng_30_60_1600_100_epo_26.pdf?176833047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086?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086/original/seh_select_silver_epo_hsa_local_value_0_0.pdf?1762384097" TargetMode="External"/><Relationship Id="rId5" Type="http://schemas.openxmlformats.org/officeDocument/2006/relationships/hyperlink" Target="https://production-workers.benefix.us/quotes/4GeFDfQDZLJeHLVkr1hPDrep/carrier_plans/551089?quote_option_group_id=1997654" TargetMode="External"/><Relationship Id="rId4" Type="http://schemas.openxmlformats.org/officeDocument/2006/relationships/hyperlink" Target="https://benefix-production.s3.us-east-1.amazonaws.com/carrier_plans/plan_pdfs/000/551/089/original/seh_select_gold_epo_regional_preferred_with_ny_30_60.pdf?1762384110"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78?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78/original/advantage_epo_silver_100_50.pdf?1759773381" TargetMode="External"/><Relationship Id="rId5" Type="http://schemas.openxmlformats.org/officeDocument/2006/relationships/hyperlink" Target="https://production-workers.benefix.us/quotes/4GeFDfQDZLJeHLVkr1hPDrep/carrier_plans/557233?quote_option_group_id=1997654" TargetMode="External"/><Relationship Id="rId4" Type="http://schemas.openxmlformats.org/officeDocument/2006/relationships/hyperlink" Target="https://benefix-production.s3.us-east-1.amazonaws.com/carrier_plans/plan_pdfs/000/557/233/original/nj_g_lbty_ng_25_50_1250_50_epo_26.pdf?1768330378"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7247?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7/247/original/nj_g_lbty_gt_50_75_100_epo_zd_26.pdf?1768330427" TargetMode="External"/><Relationship Id="rId5" Type="http://schemas.openxmlformats.org/officeDocument/2006/relationships/hyperlink" Target="https://production-workers.benefix.us/quotes/4GeFDfQDZLJeHLVkr1hPDrep/carrier_plans/551124?quote_option_group_id=1997654" TargetMode="External"/><Relationship Id="rId4" Type="http://schemas.openxmlformats.org/officeDocument/2006/relationships/hyperlink" Target="https://benefix-production.s3.us-east-1.amazonaws.com/carrier_plans/plan_pdfs/000/551/124/original/seh_select_gold_epo_local_value_10_40.pdf?1762384284"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84?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84/original/advantage_epo_silver_100_50_bluecard.pdf?1759773391" TargetMode="External"/><Relationship Id="rId5" Type="http://schemas.openxmlformats.org/officeDocument/2006/relationships/hyperlink" Target="https://production-workers.benefix.us/quotes/4GeFDfQDZLJeHLVkr1hPDrep/carrier_plans/530989?quote_option_group_id=1997654" TargetMode="External"/><Relationship Id="rId4" Type="http://schemas.openxmlformats.org/officeDocument/2006/relationships/hyperlink" Target="https://benefix-production.s3.us-east-1.amazonaws.com/carrier_plans/plan_pdfs/000/530/989/original/omnia_gold.pdf?1759773398"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75?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75/original/advantage_epo_gold_100_40_60.pdf?1759773372" TargetMode="External"/><Relationship Id="rId5" Type="http://schemas.openxmlformats.org/officeDocument/2006/relationships/hyperlink" Target="https://production-workers.benefix.us/quotes/4GeFDfQDZLJeHLVkr1hPDrep/carrier_plans/551125?quote_option_group_id=1997654" TargetMode="External"/><Relationship Id="rId4" Type="http://schemas.openxmlformats.org/officeDocument/2006/relationships/hyperlink" Target="https://benefix-production.s3.us-east-1.amazonaws.com/carrier_plans/plan_pdfs/000/551/125/original/seh_select_gold_epo_regional_preferred_with_ny_10_40.pdf?1762384289"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74?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74/original/advantage_epo_gold_100_25_45.pdf?1759773371" TargetMode="External"/><Relationship Id="rId5" Type="http://schemas.openxmlformats.org/officeDocument/2006/relationships/hyperlink" Target="https://production-workers.benefix.us/quotes/4GeFDfQDZLJeHLVkr1hPDrep/carrier_plans/530990?quote_option_group_id=1997654" TargetMode="External"/><Relationship Id="rId4" Type="http://schemas.openxmlformats.org/officeDocument/2006/relationships/hyperlink" Target="https://benefix-production.s3.us-east-1.amazonaws.com/carrier_plans/plan_pdfs/000/530/990/original/omnia_platinum.pdf?1759773400"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30980?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30/980/original/advantage_epo_gold_100_25_45_bluecard.pdf?1759773384" TargetMode="External"/><Relationship Id="rId5" Type="http://schemas.openxmlformats.org/officeDocument/2006/relationships/hyperlink" Target="https://production-workers.benefix.us/quotes/4GeFDfQDZLJeHLVkr1hPDrep/carrier_plans/557252?quote_option_group_id=1997654" TargetMode="External"/><Relationship Id="rId4" Type="http://schemas.openxmlformats.org/officeDocument/2006/relationships/hyperlink" Target="https://benefix-production.s3.us-east-1.amazonaws.com/carrier_plans/plan_pdfs/000/557/252/original/nj_p_lbty_ng_15_45_100_ppo_26.pdf?1768330446"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5" Type="http://schemas.openxmlformats.org/officeDocument/2006/relationships/hyperlink" Target="https://production-workers.benefix.us/quotes/4GeFDfQDZLJeHLVkr1hPDrep/carrier_plans/551126?quote_option_group_id=1997654" TargetMode="External"/><Relationship Id="rId4"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17?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745"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085?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085/original/seh_select_bronze_epo_local_value_50_75.pdf?1762384092" TargetMode="External"/><Relationship Id="rId5" Type="http://schemas.openxmlformats.org/officeDocument/2006/relationships/hyperlink" Target="https://production-workers.benefix.us/quotes/4GeFDfQDZLJeHLVkr1hPDrep/carrier_plans/551096?quote_option_group_id=1997745" TargetMode="External"/><Relationship Id="rId4" Type="http://schemas.openxmlformats.org/officeDocument/2006/relationships/hyperlink" Target="https://benefix-production.s3.us-east-1.amazonaws.com/carrier_plans/plan_pdfs/000/551/096/original/seh_select_bronze_epo_hsa_amerihealth_advantage_lv_25_50.pdf?1762384144"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091?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091/original/seh_select_bronze_epo_regional_preferred_with_ny_50_75.pdf?1762384119" TargetMode="External"/><Relationship Id="rId5" Type="http://schemas.openxmlformats.org/officeDocument/2006/relationships/hyperlink" Target="https://production-workers.benefix.us/quotes/4GeFDfQDZLJeHLVkr1hPDrep/carrier_plans/551101?quote_option_group_id=1997745" TargetMode="External"/><Relationship Id="rId4" Type="http://schemas.openxmlformats.org/officeDocument/2006/relationships/hyperlink" Target="https://benefix-production.s3.us-east-1.amazonaws.com/carrier_plans/plan_pdfs/000/551/101/original/seh_select_bronze_epo_hsa_amerihealth_advantage_rp_with_ny_25_50.pdf?1762384169"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07?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07/original/seh_select_bronze_epo_hsa_regional_preferred_with_ny_50_50.pdf?1762384198" TargetMode="External"/><Relationship Id="rId5" Type="http://schemas.openxmlformats.org/officeDocument/2006/relationships/hyperlink" Target="https://production-workers.benefix.us/quotes/4GeFDfQDZLJeHLVkr1hPDrep/carrier_plans/553786?quote_option_group_id=1997745" TargetMode="External"/><Relationship Id="rId4" Type="http://schemas.openxmlformats.org/officeDocument/2006/relationships/hyperlink" Target="https://benefix-production.s3.us-east-1.amazonaws.com/carrier_plans/plan_pdfs/000/553/786/original/seh_select_bronze_epo_hsa_local_value_50_50.pdf?1763136442"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08?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08/original/seh_select_bronze_epo_hsa_local_value_0_0.pdf?1762384203" TargetMode="External"/><Relationship Id="rId5" Type="http://schemas.openxmlformats.org/officeDocument/2006/relationships/hyperlink" Target="https://production-workers.benefix.us/quotes/4GeFDfQDZLJeHLVkr1hPDrep/carrier_plans/551118?quote_option_group_id=1997745" TargetMode="External"/><Relationship Id="rId4" Type="http://schemas.openxmlformats.org/officeDocument/2006/relationships/hyperlink" Target="https://benefix-production.s3.us-east-1.amazonaws.com/carrier_plans/plan_pdfs/000/551/118/original/seh_select_silver_epo_local_value_40_75.pdf?1762384254"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19?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19/original/seh_select_silver_epo_regional_preferred_with_ny_40_75.pdf?1762384259" TargetMode="External"/><Relationship Id="rId5" Type="http://schemas.openxmlformats.org/officeDocument/2006/relationships/hyperlink" Target="https://production-workers.benefix.us/quotes/4GeFDfQDZLJeHLVkr1hPDrep/carrier_plans/551111?quote_option_group_id=1997745" TargetMode="External"/><Relationship Id="rId4" Type="http://schemas.openxmlformats.org/officeDocument/2006/relationships/hyperlink" Target="https://benefix-production.s3.us-east-1.amazonaws.com/carrier_plans/plan_pdfs/000/551/111/original/seh_select_silver_epo_amerihealth_hospital_advantage_50_75.pdf?1762384219"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86?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86/original/omnia_bronze.pdf?1759773394" TargetMode="External"/><Relationship Id="rId5" Type="http://schemas.openxmlformats.org/officeDocument/2006/relationships/hyperlink" Target="https://production-workers.benefix.us/quotes/4GeFDfQDZLJeHLVkr1hPDrep/carrier_plans/551109?quote_option_group_id=1997745" TargetMode="External"/><Relationship Id="rId4" Type="http://schemas.openxmlformats.org/officeDocument/2006/relationships/hyperlink" Target="https://benefix-production.s3.us-east-1.amazonaws.com/carrier_plans/plan_pdfs/000/551/109/original/seh_select_bronze_epo_hsa_regional_preferred_with_ny_0_0.pdf?1762384209"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7258?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7/258/original/nj_s_mtro_ng_50_75_2500_50_epo_26.pdf?1768330468" TargetMode="External"/><Relationship Id="rId5" Type="http://schemas.openxmlformats.org/officeDocument/2006/relationships/hyperlink" Target="https://production-workers.benefix.us/quotes/4GeFDfQDZLJeHLVkr1hPDrep/carrier_plans/551100?quote_option_group_id=1997745" TargetMode="External"/><Relationship Id="rId4" Type="http://schemas.openxmlformats.org/officeDocument/2006/relationships/hyperlink" Target="https://benefix-production.s3.us-east-1.amazonaws.com/carrier_plans/plan_pdfs/000/551/100/original/seh_select_gold_epo_amerihealth_advantage_lv_20_40.pdf?1762384164"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12?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12/original/seh_select_silver_epo_hsa_local_value_20_20.pdf?1762384225" TargetMode="External"/><Relationship Id="rId5" Type="http://schemas.openxmlformats.org/officeDocument/2006/relationships/hyperlink" Target="https://production-workers.benefix.us/quotes/4GeFDfQDZLJeHLVkr1hPDrep/carrier_plans/551121?quote_option_group_id=1997745" TargetMode="External"/><Relationship Id="rId4" Type="http://schemas.openxmlformats.org/officeDocument/2006/relationships/hyperlink" Target="https://benefix-production.s3.us-east-1.amazonaws.com/carrier_plans/plan_pdfs/000/551/121/original/seh_select_silver_epo_hsa_local_value_0_0_6_000.pdf?1762384269"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083?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083/original/seh_select_gold_epo_local_value_30_60.pdf?1762384080" TargetMode="External"/><Relationship Id="rId5" Type="http://schemas.openxmlformats.org/officeDocument/2006/relationships/hyperlink" Target="https://production-workers.benefix.us/quotes/4GeFDfQDZLJeHLVkr1hPDrep/carrier_plans/551103?quote_option_group_id=1997745" TargetMode="External"/><Relationship Id="rId4" Type="http://schemas.openxmlformats.org/officeDocument/2006/relationships/hyperlink" Target="https://benefix-production.s3.us-east-1.amazonaws.com/carrier_plans/plan_pdfs/000/551/103/original/seh_select_gold_epo_amerihealth_advantage_rp_with_ny_20_40.pdf?1762384179"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87?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87/original/omnia_silver.pdf?1759773395" TargetMode="External"/><Relationship Id="rId5" Type="http://schemas.openxmlformats.org/officeDocument/2006/relationships/hyperlink" Target="https://production-workers.benefix.us/quotes/4GeFDfQDZLJeHLVkr1hPDrep/carrier_plans/530991?quote_option_group_id=1997745" TargetMode="External"/><Relationship Id="rId4" Type="http://schemas.openxmlformats.org/officeDocument/2006/relationships/hyperlink" Target="https://benefix-production.s3.us-east-1.amazonaws.com/carrier_plans/plan_pdfs/000/530/991/original/omnia_silver_bluecard.pdf?1759773402"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13?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13/original/seh_select_silver_epo_hsa_regional_preferred_with_ny_20_20.pdf?1762384230" TargetMode="External"/><Relationship Id="rId5" Type="http://schemas.openxmlformats.org/officeDocument/2006/relationships/hyperlink" Target="https://production-workers.benefix.us/quotes/4GeFDfQDZLJeHLVkr1hPDrep/carrier_plans/557259?quote_option_group_id=1997745" TargetMode="External"/><Relationship Id="rId4" Type="http://schemas.openxmlformats.org/officeDocument/2006/relationships/hyperlink" Target="https://benefix-production.s3.us-east-1.amazonaws.com/carrier_plans/plan_pdfs/000/557/259/original/nj_g_mtro_ng_30_60_1600_100_epo_26.pdf?1768330472"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086?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086/original/seh_select_silver_epo_hsa_local_value_0_0.pdf?1762384097" TargetMode="External"/><Relationship Id="rId5" Type="http://schemas.openxmlformats.org/officeDocument/2006/relationships/hyperlink" Target="https://production-workers.benefix.us/quotes/4GeFDfQDZLJeHLVkr1hPDrep/carrier_plans/551089?quote_option_group_id=1997745" TargetMode="External"/><Relationship Id="rId4" Type="http://schemas.openxmlformats.org/officeDocument/2006/relationships/hyperlink" Target="https://benefix-production.s3.us-east-1.amazonaws.com/carrier_plans/plan_pdfs/000/551/089/original/seh_select_gold_epo_regional_preferred_with_ny_30_60.pdf?1762384110"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78?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78/original/advantage_epo_silver_100_50.pdf?1759773381" TargetMode="External"/><Relationship Id="rId5" Type="http://schemas.openxmlformats.org/officeDocument/2006/relationships/hyperlink" Target="https://production-workers.benefix.us/quotes/4GeFDfQDZLJeHLVkr1hPDrep/carrier_plans/557233?quote_option_group_id=1997745" TargetMode="External"/><Relationship Id="rId4" Type="http://schemas.openxmlformats.org/officeDocument/2006/relationships/hyperlink" Target="https://benefix-production.s3.us-east-1.amazonaws.com/carrier_plans/plan_pdfs/000/557/233/original/nj_g_lbty_ng_25_50_1250_50_epo_26.pdf?1768330378"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7247?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7/247/original/nj_g_lbty_gt_50_75_100_epo_zd_26.pdf?1768330427" TargetMode="External"/><Relationship Id="rId5" Type="http://schemas.openxmlformats.org/officeDocument/2006/relationships/hyperlink" Target="https://production-workers.benefix.us/quotes/4GeFDfQDZLJeHLVkr1hPDrep/carrier_plans/551124?quote_option_group_id=1997745" TargetMode="External"/><Relationship Id="rId4" Type="http://schemas.openxmlformats.org/officeDocument/2006/relationships/hyperlink" Target="https://benefix-production.s3.us-east-1.amazonaws.com/carrier_plans/plan_pdfs/000/551/124/original/seh_select_gold_epo_local_value_10_40.pdf?1762384284"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84?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84/original/advantage_epo_silver_100_50_bluecard.pdf?1759773391" TargetMode="External"/><Relationship Id="rId5" Type="http://schemas.openxmlformats.org/officeDocument/2006/relationships/hyperlink" Target="https://production-workers.benefix.us/quotes/4GeFDfQDZLJeHLVkr1hPDrep/carrier_plans/530989?quote_option_group_id=1997745" TargetMode="External"/><Relationship Id="rId4" Type="http://schemas.openxmlformats.org/officeDocument/2006/relationships/hyperlink" Target="https://benefix-production.s3.us-east-1.amazonaws.com/carrier_plans/plan_pdfs/000/530/989/original/omnia_gold.pdf?1759773398"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75?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75/original/advantage_epo_gold_100_40_60.pdf?1759773372" TargetMode="External"/><Relationship Id="rId5" Type="http://schemas.openxmlformats.org/officeDocument/2006/relationships/hyperlink" Target="https://production-workers.benefix.us/quotes/4GeFDfQDZLJeHLVkr1hPDrep/carrier_plans/551125?quote_option_group_id=1997745" TargetMode="External"/><Relationship Id="rId4" Type="http://schemas.openxmlformats.org/officeDocument/2006/relationships/hyperlink" Target="https://benefix-production.s3.us-east-1.amazonaws.com/carrier_plans/plan_pdfs/000/551/125/original/seh_select_gold_epo_regional_preferred_with_ny_10_40.pdf?1762384289"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74?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74/original/advantage_epo_gold_100_25_45.pdf?1759773371" TargetMode="External"/><Relationship Id="rId5" Type="http://schemas.openxmlformats.org/officeDocument/2006/relationships/hyperlink" Target="https://production-workers.benefix.us/quotes/4GeFDfQDZLJeHLVkr1hPDrep/carrier_plans/530990?quote_option_group_id=1997745" TargetMode="External"/><Relationship Id="rId4" Type="http://schemas.openxmlformats.org/officeDocument/2006/relationships/hyperlink" Target="https://benefix-production.s3.us-east-1.amazonaws.com/carrier_plans/plan_pdfs/000/530/990/original/omnia_platinum.pdf?1759773400"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30980?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30/980/original/advantage_epo_gold_100_25_45_bluecard.pdf?1759773384" TargetMode="External"/><Relationship Id="rId5" Type="http://schemas.openxmlformats.org/officeDocument/2006/relationships/hyperlink" Target="https://production-workers.benefix.us/quotes/4GeFDfQDZLJeHLVkr1hPDrep/carrier_plans/557252?quote_option_group_id=1997745" TargetMode="External"/><Relationship Id="rId4" Type="http://schemas.openxmlformats.org/officeDocument/2006/relationships/hyperlink" Target="https://benefix-production.s3.us-east-1.amazonaws.com/carrier_plans/plan_pdfs/000/557/252/original/nj_p_lbty_ng_15_45_100_ppo_26.pdf?1768330446"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5" Type="http://schemas.openxmlformats.org/officeDocument/2006/relationships/hyperlink" Target="https://production-workers.benefix.us/quotes/4GeFDfQDZLJeHLVkr1hPDrep/carrier_plans/551126?quote_option_group_id=1997745" TargetMode="External"/><Relationship Id="rId4"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17?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746"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085?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085/original/seh_select_bronze_epo_local_value_50_75.pdf?1762384092" TargetMode="External"/><Relationship Id="rId5" Type="http://schemas.openxmlformats.org/officeDocument/2006/relationships/hyperlink" Target="https://production-workers.benefix.us/quotes/4GeFDfQDZLJeHLVkr1hPDrep/carrier_plans/551096?quote_option_group_id=1997746" TargetMode="External"/><Relationship Id="rId4" Type="http://schemas.openxmlformats.org/officeDocument/2006/relationships/hyperlink" Target="https://benefix-production.s3.us-east-1.amazonaws.com/carrier_plans/plan_pdfs/000/551/096/original/seh_select_bronze_epo_hsa_amerihealth_advantage_lv_25_50.pdf?1762384144"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091?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091/original/seh_select_bronze_epo_regional_preferred_with_ny_50_75.pdf?1762384119" TargetMode="External"/><Relationship Id="rId5" Type="http://schemas.openxmlformats.org/officeDocument/2006/relationships/hyperlink" Target="https://production-workers.benefix.us/quotes/4GeFDfQDZLJeHLVkr1hPDrep/carrier_plans/551101?quote_option_group_id=1997746" TargetMode="External"/><Relationship Id="rId4" Type="http://schemas.openxmlformats.org/officeDocument/2006/relationships/hyperlink" Target="https://benefix-production.s3.us-east-1.amazonaws.com/carrier_plans/plan_pdfs/000/551/101/original/seh_select_bronze_epo_hsa_amerihealth_advantage_rp_with_ny_25_50.pdf?1762384169"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07?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07/original/seh_select_bronze_epo_hsa_regional_preferred_with_ny_50_50.pdf?1762384198" TargetMode="External"/><Relationship Id="rId5" Type="http://schemas.openxmlformats.org/officeDocument/2006/relationships/hyperlink" Target="https://production-workers.benefix.us/quotes/4GeFDfQDZLJeHLVkr1hPDrep/carrier_plans/553786?quote_option_group_id=1997746" TargetMode="External"/><Relationship Id="rId4" Type="http://schemas.openxmlformats.org/officeDocument/2006/relationships/hyperlink" Target="https://benefix-production.s3.us-east-1.amazonaws.com/carrier_plans/plan_pdfs/000/553/786/original/seh_select_bronze_epo_hsa_local_value_50_50.pdf?1763136442"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08?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08/original/seh_select_bronze_epo_hsa_local_value_0_0.pdf?1762384203" TargetMode="External"/><Relationship Id="rId5" Type="http://schemas.openxmlformats.org/officeDocument/2006/relationships/hyperlink" Target="https://production-workers.benefix.us/quotes/4GeFDfQDZLJeHLVkr1hPDrep/carrier_plans/551118?quote_option_group_id=1997746" TargetMode="External"/><Relationship Id="rId4" Type="http://schemas.openxmlformats.org/officeDocument/2006/relationships/hyperlink" Target="https://benefix-production.s3.us-east-1.amazonaws.com/carrier_plans/plan_pdfs/000/551/118/original/seh_select_silver_epo_local_value_40_75.pdf?1762384254"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19?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19/original/seh_select_silver_epo_regional_preferred_with_ny_40_75.pdf?1762384259" TargetMode="External"/><Relationship Id="rId5" Type="http://schemas.openxmlformats.org/officeDocument/2006/relationships/hyperlink" Target="https://production-workers.benefix.us/quotes/4GeFDfQDZLJeHLVkr1hPDrep/carrier_plans/551111?quote_option_group_id=1997746" TargetMode="External"/><Relationship Id="rId4" Type="http://schemas.openxmlformats.org/officeDocument/2006/relationships/hyperlink" Target="https://benefix-production.s3.us-east-1.amazonaws.com/carrier_plans/plan_pdfs/000/551/111/original/seh_select_silver_epo_amerihealth_hospital_advantage_50_75.pdf?1762384219" TargetMode="External"/></Relationships>
</file>

<file path=xl/worksheets/_rels/sheet4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86?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86/original/omnia_bronze.pdf?1759773394" TargetMode="External"/><Relationship Id="rId5" Type="http://schemas.openxmlformats.org/officeDocument/2006/relationships/hyperlink" Target="https://production-workers.benefix.us/quotes/4GeFDfQDZLJeHLVkr1hPDrep/carrier_plans/551109?quote_option_group_id=1997746" TargetMode="External"/><Relationship Id="rId4" Type="http://schemas.openxmlformats.org/officeDocument/2006/relationships/hyperlink" Target="https://benefix-production.s3.us-east-1.amazonaws.com/carrier_plans/plan_pdfs/000/551/109/original/seh_select_bronze_epo_hsa_regional_preferred_with_ny_0_0.pdf?1762384209"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7258?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7/258/original/nj_s_mtro_ng_50_75_2500_50_epo_26.pdf?1768330468" TargetMode="External"/><Relationship Id="rId5" Type="http://schemas.openxmlformats.org/officeDocument/2006/relationships/hyperlink" Target="https://production-workers.benefix.us/quotes/4GeFDfQDZLJeHLVkr1hPDrep/carrier_plans/551100?quote_option_group_id=1997746" TargetMode="External"/><Relationship Id="rId4" Type="http://schemas.openxmlformats.org/officeDocument/2006/relationships/hyperlink" Target="https://benefix-production.s3.us-east-1.amazonaws.com/carrier_plans/plan_pdfs/000/551/100/original/seh_select_gold_epo_amerihealth_advantage_lv_20_40.pdf?1762384164"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12?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12/original/seh_select_silver_epo_hsa_local_value_20_20.pdf?1762384225" TargetMode="External"/><Relationship Id="rId5" Type="http://schemas.openxmlformats.org/officeDocument/2006/relationships/hyperlink" Target="https://production-workers.benefix.us/quotes/4GeFDfQDZLJeHLVkr1hPDrep/carrier_plans/551121?quote_option_group_id=1997746" TargetMode="External"/><Relationship Id="rId4" Type="http://schemas.openxmlformats.org/officeDocument/2006/relationships/hyperlink" Target="https://benefix-production.s3.us-east-1.amazonaws.com/carrier_plans/plan_pdfs/000/551/121/original/seh_select_silver_epo_hsa_local_value_0_0_6_000.pdf?1762384269"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083?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083/original/seh_select_gold_epo_local_value_30_60.pdf?1762384080" TargetMode="External"/><Relationship Id="rId5" Type="http://schemas.openxmlformats.org/officeDocument/2006/relationships/hyperlink" Target="https://production-workers.benefix.us/quotes/4GeFDfQDZLJeHLVkr1hPDrep/carrier_plans/551103?quote_option_group_id=1997746" TargetMode="External"/><Relationship Id="rId4" Type="http://schemas.openxmlformats.org/officeDocument/2006/relationships/hyperlink" Target="https://benefix-production.s3.us-east-1.amazonaws.com/carrier_plans/plan_pdfs/000/551/103/original/seh_select_gold_epo_amerihealth_advantage_rp_with_ny_20_40.pdf?1762384179"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87?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87/original/omnia_silver.pdf?1759773395" TargetMode="External"/><Relationship Id="rId5" Type="http://schemas.openxmlformats.org/officeDocument/2006/relationships/hyperlink" Target="https://production-workers.benefix.us/quotes/4GeFDfQDZLJeHLVkr1hPDrep/carrier_plans/530991?quote_option_group_id=1997746" TargetMode="External"/><Relationship Id="rId4" Type="http://schemas.openxmlformats.org/officeDocument/2006/relationships/hyperlink" Target="https://benefix-production.s3.us-east-1.amazonaws.com/carrier_plans/plan_pdfs/000/530/991/original/omnia_silver_bluecard.pdf?1759773402" TargetMode="External"/></Relationships>
</file>

<file path=xl/worksheets/_rels/sheet5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13?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13/original/seh_select_silver_epo_hsa_regional_preferred_with_ny_20_20.pdf?1762384230" TargetMode="External"/><Relationship Id="rId5" Type="http://schemas.openxmlformats.org/officeDocument/2006/relationships/hyperlink" Target="https://production-workers.benefix.us/quotes/4GeFDfQDZLJeHLVkr1hPDrep/carrier_plans/557259?quote_option_group_id=1997746" TargetMode="External"/><Relationship Id="rId4" Type="http://schemas.openxmlformats.org/officeDocument/2006/relationships/hyperlink" Target="https://benefix-production.s3.us-east-1.amazonaws.com/carrier_plans/plan_pdfs/000/557/259/original/nj_g_mtro_ng_30_60_1600_100_epo_26.pdf?1768330472"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086?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086/original/seh_select_silver_epo_hsa_local_value_0_0.pdf?1762384097" TargetMode="External"/><Relationship Id="rId5" Type="http://schemas.openxmlformats.org/officeDocument/2006/relationships/hyperlink" Target="https://production-workers.benefix.us/quotes/4GeFDfQDZLJeHLVkr1hPDrep/carrier_plans/551089?quote_option_group_id=1997746" TargetMode="External"/><Relationship Id="rId4" Type="http://schemas.openxmlformats.org/officeDocument/2006/relationships/hyperlink" Target="https://benefix-production.s3.us-east-1.amazonaws.com/carrier_plans/plan_pdfs/000/551/089/original/seh_select_gold_epo_regional_preferred_with_ny_30_60.pdf?1762384110"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78?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78/original/advantage_epo_silver_100_50.pdf?1759773381" TargetMode="External"/><Relationship Id="rId5" Type="http://schemas.openxmlformats.org/officeDocument/2006/relationships/hyperlink" Target="https://production-workers.benefix.us/quotes/4GeFDfQDZLJeHLVkr1hPDrep/carrier_plans/557233?quote_option_group_id=1997746" TargetMode="External"/><Relationship Id="rId4" Type="http://schemas.openxmlformats.org/officeDocument/2006/relationships/hyperlink" Target="https://benefix-production.s3.us-east-1.amazonaws.com/carrier_plans/plan_pdfs/000/557/233/original/nj_g_lbty_ng_25_50_1250_50_epo_26.pdf?1768330378"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7247?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7/247/original/nj_g_lbty_gt_50_75_100_epo_zd_26.pdf?1768330427" TargetMode="External"/><Relationship Id="rId5" Type="http://schemas.openxmlformats.org/officeDocument/2006/relationships/hyperlink" Target="https://production-workers.benefix.us/quotes/4GeFDfQDZLJeHLVkr1hPDrep/carrier_plans/551124?quote_option_group_id=1997746" TargetMode="External"/><Relationship Id="rId4" Type="http://schemas.openxmlformats.org/officeDocument/2006/relationships/hyperlink" Target="https://benefix-production.s3.us-east-1.amazonaws.com/carrier_plans/plan_pdfs/000/551/124/original/seh_select_gold_epo_local_value_10_40.pdf?1762384284"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84?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84/original/advantage_epo_silver_100_50_bluecard.pdf?1759773391" TargetMode="External"/><Relationship Id="rId5" Type="http://schemas.openxmlformats.org/officeDocument/2006/relationships/hyperlink" Target="https://production-workers.benefix.us/quotes/4GeFDfQDZLJeHLVkr1hPDrep/carrier_plans/530989?quote_option_group_id=1997746" TargetMode="External"/><Relationship Id="rId4" Type="http://schemas.openxmlformats.org/officeDocument/2006/relationships/hyperlink" Target="https://benefix-production.s3.us-east-1.amazonaws.com/carrier_plans/plan_pdfs/000/530/989/original/omnia_gold.pdf?1759773398"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75?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75/original/advantage_epo_gold_100_40_60.pdf?1759773372" TargetMode="External"/><Relationship Id="rId5" Type="http://schemas.openxmlformats.org/officeDocument/2006/relationships/hyperlink" Target="https://production-workers.benefix.us/quotes/4GeFDfQDZLJeHLVkr1hPDrep/carrier_plans/551125?quote_option_group_id=1997746" TargetMode="External"/><Relationship Id="rId4" Type="http://schemas.openxmlformats.org/officeDocument/2006/relationships/hyperlink" Target="https://benefix-production.s3.us-east-1.amazonaws.com/carrier_plans/plan_pdfs/000/551/125/original/seh_select_gold_epo_regional_preferred_with_ny_10_40.pdf?1762384289"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74?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74/original/advantage_epo_gold_100_25_45.pdf?1759773371" TargetMode="External"/><Relationship Id="rId5" Type="http://schemas.openxmlformats.org/officeDocument/2006/relationships/hyperlink" Target="https://production-workers.benefix.us/quotes/4GeFDfQDZLJeHLVkr1hPDrep/carrier_plans/530990?quote_option_group_id=1997746" TargetMode="External"/><Relationship Id="rId4" Type="http://schemas.openxmlformats.org/officeDocument/2006/relationships/hyperlink" Target="https://benefix-production.s3.us-east-1.amazonaws.com/carrier_plans/plan_pdfs/000/530/990/original/omnia_platinum.pdf?1759773400" TargetMode="External"/></Relationships>
</file>

<file path=xl/worksheets/_rels/sheet61.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30980?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30/980/original/advantage_epo_gold_100_25_45_bluecard.pdf?1759773384" TargetMode="External"/><Relationship Id="rId5" Type="http://schemas.openxmlformats.org/officeDocument/2006/relationships/hyperlink" Target="https://production-workers.benefix.us/quotes/4GeFDfQDZLJeHLVkr1hPDrep/carrier_plans/557252?quote_option_group_id=1997746" TargetMode="External"/><Relationship Id="rId4" Type="http://schemas.openxmlformats.org/officeDocument/2006/relationships/hyperlink" Target="https://benefix-production.s3.us-east-1.amazonaws.com/carrier_plans/plan_pdfs/000/557/252/original/nj_p_lbty_ng_15_45_100_ppo_26.pdf?1768330446"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5" Type="http://schemas.openxmlformats.org/officeDocument/2006/relationships/hyperlink" Target="https://production-workers.benefix.us/quotes/4GeFDfQDZLJeHLVkr1hPDrep/carrier_plans/551126?quote_option_group_id=1997746" TargetMode="External"/><Relationship Id="rId4"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9?quote_option_group_id=1997654" TargetMode="External"/><Relationship Id="rId7" Type="http://schemas.openxmlformats.org/officeDocument/2006/relationships/hyperlink" Target="https://production-workers.benefix.us/quotes/4GeFDfQDZLJeHLVkr1hPDrep/carrier_plans/551117?quote_option_group_id=1997654" TargetMode="External"/><Relationship Id="rId2" Type="http://schemas.openxmlformats.org/officeDocument/2006/relationships/hyperlink" Target="https://benefix-production.s3.us-east-1.amazonaws.com/carrier_plans/plan_pdfs/000/536/179/original/surestcc50002026rxalt2.pdf?1763158881" TargetMode="External"/><Relationship Id="rId1" Type="http://schemas.openxmlformats.org/officeDocument/2006/relationships/hyperlink" Target="https://production-workers.benefix.us/quotes/4GeFDfQDZLJeHLVkr1hPDrep/carrier_plans/518950?quote_option_group_id=1997654"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654"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91?quote_option_group_id=1997654" TargetMode="External"/><Relationship Id="rId3" Type="http://schemas.openxmlformats.org/officeDocument/2006/relationships/hyperlink" Target="https://benefix-production.s3.us-east-1.amazonaws.com/carrier_plans/plan_pdfs/000/551/085/original/seh_select_bronze_epo_local_value_50_75.pdf?1762384092" TargetMode="External"/><Relationship Id="rId7" Type="http://schemas.openxmlformats.org/officeDocument/2006/relationships/hyperlink" Target="https://benefix-production.s3.us-east-1.amazonaws.com/carrier_plans/plan_pdfs/000/551/091/original/seh_select_bronze_epo_regional_preferred_with_ny_50_75.pdf?1762384119" TargetMode="External"/><Relationship Id="rId2" Type="http://schemas.openxmlformats.org/officeDocument/2006/relationships/hyperlink" Target="https://production-workers.benefix.us/quotes/4GeFDfQDZLJeHLVkr1hPDrep/carrier_plans/551096?quote_option_group_id=1997654" TargetMode="External"/><Relationship Id="rId1" Type="http://schemas.openxmlformats.org/officeDocument/2006/relationships/hyperlink" Target="https://benefix-production.s3.us-east-1.amazonaws.com/carrier_plans/plan_pdfs/000/551/096/original/seh_select_bronze_epo_hsa_amerihealth_advantage_lv_25_50.pdf?1762384144" TargetMode="External"/><Relationship Id="rId6" Type="http://schemas.openxmlformats.org/officeDocument/2006/relationships/hyperlink" Target="https://production-workers.benefix.us/quotes/4GeFDfQDZLJeHLVkr1hPDrep/carrier_plans/551101?quote_option_group_id=1997654" TargetMode="External"/><Relationship Id="rId5" Type="http://schemas.openxmlformats.org/officeDocument/2006/relationships/hyperlink" Target="https://benefix-production.s3.us-east-1.amazonaws.com/carrier_plans/plan_pdfs/000/551/101/original/seh_select_bronze_epo_hsa_amerihealth_advantage_rp_with_ny_25_50.pdf?1762384169" TargetMode="External"/><Relationship Id="rId4" Type="http://schemas.openxmlformats.org/officeDocument/2006/relationships/hyperlink" Target="https://production-workers.benefix.us/quotes/4GeFDfQDZLJeHLVkr1hPDrep/carrier_plans/551085?quote_option_group_id=1997654" TargetMode="External"/></Relationships>
</file>

<file path=xl/worksheets/_rels/sheet65.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08?quote_option_group_id=1997654" TargetMode="External"/><Relationship Id="rId3" Type="http://schemas.openxmlformats.org/officeDocument/2006/relationships/hyperlink" Target="https://benefix-production.s3.us-east-1.amazonaws.com/carrier_plans/plan_pdfs/000/551/107/original/seh_select_bronze_epo_hsa_regional_preferred_with_ny_50_50.pdf?1762384198" TargetMode="External"/><Relationship Id="rId7" Type="http://schemas.openxmlformats.org/officeDocument/2006/relationships/hyperlink" Target="https://benefix-production.s3.us-east-1.amazonaws.com/carrier_plans/plan_pdfs/000/551/108/original/seh_select_bronze_epo_hsa_local_value_0_0.pdf?1762384203" TargetMode="External"/><Relationship Id="rId2" Type="http://schemas.openxmlformats.org/officeDocument/2006/relationships/hyperlink" Target="https://production-workers.benefix.us/quotes/4GeFDfQDZLJeHLVkr1hPDrep/carrier_plans/553786?quote_option_group_id=1997654" TargetMode="External"/><Relationship Id="rId1" Type="http://schemas.openxmlformats.org/officeDocument/2006/relationships/hyperlink" Target="https://benefix-production.s3.us-east-1.amazonaws.com/carrier_plans/plan_pdfs/000/553/786/original/seh_select_bronze_epo_hsa_local_value_50_50.pdf?1763136442" TargetMode="External"/><Relationship Id="rId6" Type="http://schemas.openxmlformats.org/officeDocument/2006/relationships/hyperlink" Target="https://production-workers.benefix.us/quotes/4GeFDfQDZLJeHLVkr1hPDrep/carrier_plans/551118?quote_option_group_id=1997654" TargetMode="External"/><Relationship Id="rId5" Type="http://schemas.openxmlformats.org/officeDocument/2006/relationships/hyperlink" Target="https://benefix-production.s3.us-east-1.amazonaws.com/carrier_plans/plan_pdfs/000/551/118/original/seh_select_silver_epo_local_value_40_75.pdf?1762384254" TargetMode="External"/><Relationship Id="rId4" Type="http://schemas.openxmlformats.org/officeDocument/2006/relationships/hyperlink" Target="https://production-workers.benefix.us/quotes/4GeFDfQDZLJeHLVkr1hPDrep/carrier_plans/551107?quote_option_group_id=1997654" TargetMode="External"/></Relationships>
</file>

<file path=xl/worksheets/_rels/sheet66.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6?quote_option_group_id=1997654" TargetMode="External"/><Relationship Id="rId3" Type="http://schemas.openxmlformats.org/officeDocument/2006/relationships/hyperlink" Target="https://benefix-production.s3.us-east-1.amazonaws.com/carrier_plans/plan_pdfs/000/551/119/original/seh_select_silver_epo_regional_preferred_with_ny_40_75.pdf?1762384259" TargetMode="External"/><Relationship Id="rId7" Type="http://schemas.openxmlformats.org/officeDocument/2006/relationships/hyperlink" Target="https://benefix-production.s3.us-east-1.amazonaws.com/carrier_plans/plan_pdfs/000/530/986/original/omnia_bronze.pdf?1759773394" TargetMode="External"/><Relationship Id="rId2" Type="http://schemas.openxmlformats.org/officeDocument/2006/relationships/hyperlink" Target="https://production-workers.benefix.us/quotes/4GeFDfQDZLJeHLVkr1hPDrep/carrier_plans/551111?quote_option_group_id=1997654" TargetMode="External"/><Relationship Id="rId1" Type="http://schemas.openxmlformats.org/officeDocument/2006/relationships/hyperlink" Target="https://benefix-production.s3.us-east-1.amazonaws.com/carrier_plans/plan_pdfs/000/551/111/original/seh_select_silver_epo_amerihealth_hospital_advantage_50_75.pdf?1762384219" TargetMode="External"/><Relationship Id="rId6" Type="http://schemas.openxmlformats.org/officeDocument/2006/relationships/hyperlink" Target="https://production-workers.benefix.us/quotes/4GeFDfQDZLJeHLVkr1hPDrep/carrier_plans/551109?quote_option_group_id=1997654" TargetMode="External"/><Relationship Id="rId5" Type="http://schemas.openxmlformats.org/officeDocument/2006/relationships/hyperlink" Target="https://benefix-production.s3.us-east-1.amazonaws.com/carrier_plans/plan_pdfs/000/551/109/original/seh_select_bronze_epo_hsa_regional_preferred_with_ny_0_0.pdf?1762384209" TargetMode="External"/><Relationship Id="rId4" Type="http://schemas.openxmlformats.org/officeDocument/2006/relationships/hyperlink" Target="https://production-workers.benefix.us/quotes/4GeFDfQDZLJeHLVkr1hPDrep/carrier_plans/551119?quote_option_group_id=1997654" TargetMode="External"/></Relationships>
</file>

<file path=xl/worksheets/_rels/sheet67.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12?quote_option_group_id=1997654" TargetMode="External"/><Relationship Id="rId3" Type="http://schemas.openxmlformats.org/officeDocument/2006/relationships/hyperlink" Target="https://benefix-production.s3.us-east-1.amazonaws.com/carrier_plans/plan_pdfs/000/557/258/original/nj_s_mtro_ng_50_75_2500_50_epo_26.pdf?1768330468" TargetMode="External"/><Relationship Id="rId7" Type="http://schemas.openxmlformats.org/officeDocument/2006/relationships/hyperlink" Target="https://benefix-production.s3.us-east-1.amazonaws.com/carrier_plans/plan_pdfs/000/551/112/original/seh_select_silver_epo_hsa_local_value_20_20.pdf?1762384225" TargetMode="External"/><Relationship Id="rId2" Type="http://schemas.openxmlformats.org/officeDocument/2006/relationships/hyperlink" Target="https://production-workers.benefix.us/quotes/4GeFDfQDZLJeHLVkr1hPDrep/carrier_plans/551100?quote_option_group_id=1997654" TargetMode="External"/><Relationship Id="rId1" Type="http://schemas.openxmlformats.org/officeDocument/2006/relationships/hyperlink" Target="https://benefix-production.s3.us-east-1.amazonaws.com/carrier_plans/plan_pdfs/000/551/100/original/seh_select_gold_epo_amerihealth_advantage_lv_20_40.pdf?1762384164" TargetMode="External"/><Relationship Id="rId6" Type="http://schemas.openxmlformats.org/officeDocument/2006/relationships/hyperlink" Target="https://production-workers.benefix.us/quotes/4GeFDfQDZLJeHLVkr1hPDrep/carrier_plans/551121?quote_option_group_id=1997654" TargetMode="External"/><Relationship Id="rId5" Type="http://schemas.openxmlformats.org/officeDocument/2006/relationships/hyperlink" Target="https://benefix-production.s3.us-east-1.amazonaws.com/carrier_plans/plan_pdfs/000/551/121/original/seh_select_silver_epo_hsa_local_value_0_0_6_000.pdf?1762384269" TargetMode="External"/><Relationship Id="rId4" Type="http://schemas.openxmlformats.org/officeDocument/2006/relationships/hyperlink" Target="https://production-workers.benefix.us/quotes/4GeFDfQDZLJeHLVkr1hPDrep/carrier_plans/557258?quote_option_group_id=1997654"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7?quote_option_group_id=1997654" TargetMode="External"/><Relationship Id="rId3" Type="http://schemas.openxmlformats.org/officeDocument/2006/relationships/hyperlink" Target="https://benefix-production.s3.us-east-1.amazonaws.com/carrier_plans/plan_pdfs/000/551/083/original/seh_select_gold_epo_local_value_30_60.pdf?1762384080" TargetMode="External"/><Relationship Id="rId7" Type="http://schemas.openxmlformats.org/officeDocument/2006/relationships/hyperlink" Target="https://benefix-production.s3.us-east-1.amazonaws.com/carrier_plans/plan_pdfs/000/530/987/original/omnia_silver.pdf?1759773395" TargetMode="External"/><Relationship Id="rId2" Type="http://schemas.openxmlformats.org/officeDocument/2006/relationships/hyperlink" Target="https://production-workers.benefix.us/quotes/4GeFDfQDZLJeHLVkr1hPDrep/carrier_plans/551103?quote_option_group_id=1997654" TargetMode="External"/><Relationship Id="rId1" Type="http://schemas.openxmlformats.org/officeDocument/2006/relationships/hyperlink" Target="https://benefix-production.s3.us-east-1.amazonaws.com/carrier_plans/plan_pdfs/000/551/103/original/seh_select_gold_epo_amerihealth_advantage_rp_with_ny_20_40.pdf?1762384179" TargetMode="External"/><Relationship Id="rId6" Type="http://schemas.openxmlformats.org/officeDocument/2006/relationships/hyperlink" Target="https://production-workers.benefix.us/quotes/4GeFDfQDZLJeHLVkr1hPDrep/carrier_plans/530991?quote_option_group_id=1997654" TargetMode="External"/><Relationship Id="rId5" Type="http://schemas.openxmlformats.org/officeDocument/2006/relationships/hyperlink" Target="https://benefix-production.s3.us-east-1.amazonaws.com/carrier_plans/plan_pdfs/000/530/991/original/omnia_silver_bluecard.pdf?1759773402" TargetMode="External"/><Relationship Id="rId4" Type="http://schemas.openxmlformats.org/officeDocument/2006/relationships/hyperlink" Target="https://production-workers.benefix.us/quotes/4GeFDfQDZLJeHLVkr1hPDrep/carrier_plans/551083?quote_option_group_id=1997654" TargetMode="External"/></Relationships>
</file>

<file path=xl/worksheets/_rels/sheet69.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86?quote_option_group_id=1997654" TargetMode="External"/><Relationship Id="rId3" Type="http://schemas.openxmlformats.org/officeDocument/2006/relationships/hyperlink" Target="https://benefix-production.s3.us-east-1.amazonaws.com/carrier_plans/plan_pdfs/000/551/113/original/seh_select_silver_epo_hsa_regional_preferred_with_ny_20_20.pdf?1762384230" TargetMode="External"/><Relationship Id="rId7" Type="http://schemas.openxmlformats.org/officeDocument/2006/relationships/hyperlink" Target="https://benefix-production.s3.us-east-1.amazonaws.com/carrier_plans/plan_pdfs/000/551/086/original/seh_select_silver_epo_hsa_local_value_0_0.pdf?1762384097" TargetMode="External"/><Relationship Id="rId2" Type="http://schemas.openxmlformats.org/officeDocument/2006/relationships/hyperlink" Target="https://production-workers.benefix.us/quotes/4GeFDfQDZLJeHLVkr1hPDrep/carrier_plans/557259?quote_option_group_id=1997654" TargetMode="External"/><Relationship Id="rId1" Type="http://schemas.openxmlformats.org/officeDocument/2006/relationships/hyperlink" Target="https://benefix-production.s3.us-east-1.amazonaws.com/carrier_plans/plan_pdfs/000/557/259/original/nj_g_mtro_ng_30_60_1600_100_epo_26.pdf?1768330472" TargetMode="External"/><Relationship Id="rId6" Type="http://schemas.openxmlformats.org/officeDocument/2006/relationships/hyperlink" Target="https://production-workers.benefix.us/quotes/4GeFDfQDZLJeHLVkr1hPDrep/carrier_plans/551089?quote_option_group_id=1997654" TargetMode="External"/><Relationship Id="rId5" Type="http://schemas.openxmlformats.org/officeDocument/2006/relationships/hyperlink" Target="https://benefix-production.s3.us-east-1.amazonaws.com/carrier_plans/plan_pdfs/000/551/089/original/seh_select_gold_epo_regional_preferred_with_ny_30_60.pdf?1762384110" TargetMode="External"/><Relationship Id="rId4" Type="http://schemas.openxmlformats.org/officeDocument/2006/relationships/hyperlink" Target="https://production-workers.benefix.us/quotes/4GeFDfQDZLJeHLVkr1hPDrep/carrier_plans/551113?quote_option_group_id=1997654"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7247?quote_option_group_id=1997654" TargetMode="External"/><Relationship Id="rId3" Type="http://schemas.openxmlformats.org/officeDocument/2006/relationships/hyperlink" Target="https://benefix-production.s3.us-east-1.amazonaws.com/carrier_plans/plan_pdfs/000/530/978/original/advantage_epo_silver_100_50.pdf?1759773381" TargetMode="External"/><Relationship Id="rId7" Type="http://schemas.openxmlformats.org/officeDocument/2006/relationships/hyperlink" Target="https://benefix-production.s3.us-east-1.amazonaws.com/carrier_plans/plan_pdfs/000/557/247/original/nj_g_lbty_gt_50_75_100_epo_zd_26.pdf?1768330427" TargetMode="External"/><Relationship Id="rId2" Type="http://schemas.openxmlformats.org/officeDocument/2006/relationships/hyperlink" Target="https://production-workers.benefix.us/quotes/4GeFDfQDZLJeHLVkr1hPDrep/carrier_plans/557233?quote_option_group_id=1997654" TargetMode="External"/><Relationship Id="rId1" Type="http://schemas.openxmlformats.org/officeDocument/2006/relationships/hyperlink" Target="https://benefix-production.s3.us-east-1.amazonaws.com/carrier_plans/plan_pdfs/000/557/233/original/nj_g_lbty_ng_25_50_1250_50_epo_26.pdf?1768330378" TargetMode="External"/><Relationship Id="rId6" Type="http://schemas.openxmlformats.org/officeDocument/2006/relationships/hyperlink" Target="https://production-workers.benefix.us/quotes/4GeFDfQDZLJeHLVkr1hPDrep/carrier_plans/551124?quote_option_group_id=1997654" TargetMode="External"/><Relationship Id="rId5" Type="http://schemas.openxmlformats.org/officeDocument/2006/relationships/hyperlink" Target="https://benefix-production.s3.us-east-1.amazonaws.com/carrier_plans/plan_pdfs/000/551/124/original/seh_select_gold_epo_local_value_10_40.pdf?1762384284" TargetMode="External"/><Relationship Id="rId4" Type="http://schemas.openxmlformats.org/officeDocument/2006/relationships/hyperlink" Target="https://production-workers.benefix.us/quotes/4GeFDfQDZLJeHLVkr1hPDrep/carrier_plans/530978?quote_option_group_id=1997654" TargetMode="External"/></Relationships>
</file>

<file path=xl/worksheets/_rels/sheet71.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75?quote_option_group_id=1997654" TargetMode="External"/><Relationship Id="rId3" Type="http://schemas.openxmlformats.org/officeDocument/2006/relationships/hyperlink" Target="https://benefix-production.s3.us-east-1.amazonaws.com/carrier_plans/plan_pdfs/000/530/984/original/advantage_epo_silver_100_50_bluecard.pdf?1759773391" TargetMode="External"/><Relationship Id="rId7" Type="http://schemas.openxmlformats.org/officeDocument/2006/relationships/hyperlink" Target="https://benefix-production.s3.us-east-1.amazonaws.com/carrier_plans/plan_pdfs/000/530/975/original/advantage_epo_gold_100_40_60.pdf?1759773372" TargetMode="External"/><Relationship Id="rId2" Type="http://schemas.openxmlformats.org/officeDocument/2006/relationships/hyperlink" Target="https://production-workers.benefix.us/quotes/4GeFDfQDZLJeHLVkr1hPDrep/carrier_plans/530989?quote_option_group_id=1997654" TargetMode="External"/><Relationship Id="rId1" Type="http://schemas.openxmlformats.org/officeDocument/2006/relationships/hyperlink" Target="https://benefix-production.s3.us-east-1.amazonaws.com/carrier_plans/plan_pdfs/000/530/989/original/omnia_gold.pdf?1759773398" TargetMode="External"/><Relationship Id="rId6" Type="http://schemas.openxmlformats.org/officeDocument/2006/relationships/hyperlink" Target="https://production-workers.benefix.us/quotes/4GeFDfQDZLJeHLVkr1hPDrep/carrier_plans/551125?quote_option_group_id=1997654" TargetMode="External"/><Relationship Id="rId5" Type="http://schemas.openxmlformats.org/officeDocument/2006/relationships/hyperlink" Target="https://benefix-production.s3.us-east-1.amazonaws.com/carrier_plans/plan_pdfs/000/551/125/original/seh_select_gold_epo_regional_preferred_with_ny_10_40.pdf?1762384289" TargetMode="External"/><Relationship Id="rId4" Type="http://schemas.openxmlformats.org/officeDocument/2006/relationships/hyperlink" Target="https://production-workers.benefix.us/quotes/4GeFDfQDZLJeHLVkr1hPDrep/carrier_plans/530984?quote_option_group_id=1997654" TargetMode="External"/></Relationships>
</file>

<file path=xl/worksheets/_rels/sheet72.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0?quote_option_group_id=1997654" TargetMode="External"/><Relationship Id="rId3" Type="http://schemas.openxmlformats.org/officeDocument/2006/relationships/hyperlink" Target="https://benefix-production.s3.us-east-1.amazonaws.com/carrier_plans/plan_pdfs/000/530/974/original/advantage_epo_gold_100_25_45.pdf?1759773371" TargetMode="External"/><Relationship Id="rId7" Type="http://schemas.openxmlformats.org/officeDocument/2006/relationships/hyperlink" Target="https://benefix-production.s3.us-east-1.amazonaws.com/carrier_plans/plan_pdfs/000/530/980/original/advantage_epo_gold_100_25_45_bluecard.pdf?1759773384" TargetMode="External"/><Relationship Id="rId2" Type="http://schemas.openxmlformats.org/officeDocument/2006/relationships/hyperlink" Target="https://production-workers.benefix.us/quotes/4GeFDfQDZLJeHLVkr1hPDrep/carrier_plans/530990?quote_option_group_id=1997654" TargetMode="External"/><Relationship Id="rId1" Type="http://schemas.openxmlformats.org/officeDocument/2006/relationships/hyperlink" Target="https://benefix-production.s3.us-east-1.amazonaws.com/carrier_plans/plan_pdfs/000/530/990/original/omnia_platinum.pdf?1759773400" TargetMode="External"/><Relationship Id="rId6" Type="http://schemas.openxmlformats.org/officeDocument/2006/relationships/hyperlink" Target="https://production-workers.benefix.us/quotes/4GeFDfQDZLJeHLVkr1hPDrep/carrier_plans/557252?quote_option_group_id=1997654" TargetMode="External"/><Relationship Id="rId5" Type="http://schemas.openxmlformats.org/officeDocument/2006/relationships/hyperlink" Target="https://benefix-production.s3.us-east-1.amazonaws.com/carrier_plans/plan_pdfs/000/557/252/original/nj_p_lbty_ng_15_45_100_ppo_26.pdf?1768330446" TargetMode="External"/><Relationship Id="rId4" Type="http://schemas.openxmlformats.org/officeDocument/2006/relationships/hyperlink" Target="https://production-workers.benefix.us/quotes/4GeFDfQDZLJeHLVkr1hPDrep/carrier_plans/530974?quote_option_group_id=1997654" TargetMode="External"/></Relationships>
</file>

<file path=xl/worksheets/_rels/sheet73.xml.rels><?xml version="1.0" encoding="UTF-8" standalone="yes"?>
<Relationships xmlns="http://schemas.openxmlformats.org/package/2006/relationships"><Relationship Id="rId2" Type="http://schemas.openxmlformats.org/officeDocument/2006/relationships/hyperlink" Target="https://production-workers.benefix.us/quotes/4GeFDfQDZLJeHLVkr1hPDrep/carrier_plans/551126?quote_option_group_id=1997654" TargetMode="External"/><Relationship Id="rId1"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74.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370?quote_option_group_id=1997745" TargetMode="External"/><Relationship Id="rId7" Type="http://schemas.openxmlformats.org/officeDocument/2006/relationships/hyperlink" Target="https://production-workers.benefix.us/quotes/4GeFDfQDZLJeHLVkr1hPDrep/carrier_plans/551117?quote_option_group_id=1997745" TargetMode="External"/><Relationship Id="rId2" Type="http://schemas.openxmlformats.org/officeDocument/2006/relationships/hyperlink" Target="https://benefix-production.s3.us-east-1.amazonaws.com/carrier_plans/plan_pdfs/000/536/370/original/surestce70002026rxalt2.pdf?1763158821" TargetMode="External"/><Relationship Id="rId1" Type="http://schemas.openxmlformats.org/officeDocument/2006/relationships/hyperlink" Target="https://production-workers.benefix.us/quotes/4GeFDfQDZLJeHLVkr1hPDrep/carrier_plans/518955?quote_option_group_id=1997745"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745"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75.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91?quote_option_group_id=1997745" TargetMode="External"/><Relationship Id="rId3" Type="http://schemas.openxmlformats.org/officeDocument/2006/relationships/hyperlink" Target="https://benefix-production.s3.us-east-1.amazonaws.com/carrier_plans/plan_pdfs/000/551/085/original/seh_select_bronze_epo_local_value_50_75.pdf?1762384092" TargetMode="External"/><Relationship Id="rId7" Type="http://schemas.openxmlformats.org/officeDocument/2006/relationships/hyperlink" Target="https://benefix-production.s3.us-east-1.amazonaws.com/carrier_plans/plan_pdfs/000/551/091/original/seh_select_bronze_epo_regional_preferred_with_ny_50_75.pdf?1762384119" TargetMode="External"/><Relationship Id="rId2" Type="http://schemas.openxmlformats.org/officeDocument/2006/relationships/hyperlink" Target="https://production-workers.benefix.us/quotes/4GeFDfQDZLJeHLVkr1hPDrep/carrier_plans/551096?quote_option_group_id=1997745" TargetMode="External"/><Relationship Id="rId1" Type="http://schemas.openxmlformats.org/officeDocument/2006/relationships/hyperlink" Target="https://benefix-production.s3.us-east-1.amazonaws.com/carrier_plans/plan_pdfs/000/551/096/original/seh_select_bronze_epo_hsa_amerihealth_advantage_lv_25_50.pdf?1762384144" TargetMode="External"/><Relationship Id="rId6" Type="http://schemas.openxmlformats.org/officeDocument/2006/relationships/hyperlink" Target="https://production-workers.benefix.us/quotes/4GeFDfQDZLJeHLVkr1hPDrep/carrier_plans/551101?quote_option_group_id=1997745" TargetMode="External"/><Relationship Id="rId5" Type="http://schemas.openxmlformats.org/officeDocument/2006/relationships/hyperlink" Target="https://benefix-production.s3.us-east-1.amazonaws.com/carrier_plans/plan_pdfs/000/551/101/original/seh_select_bronze_epo_hsa_amerihealth_advantage_rp_with_ny_25_50.pdf?1762384169" TargetMode="External"/><Relationship Id="rId4" Type="http://schemas.openxmlformats.org/officeDocument/2006/relationships/hyperlink" Target="https://production-workers.benefix.us/quotes/4GeFDfQDZLJeHLVkr1hPDrep/carrier_plans/551085?quote_option_group_id=1997745" TargetMode="External"/></Relationships>
</file>

<file path=xl/worksheets/_rels/sheet76.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08?quote_option_group_id=1997745" TargetMode="External"/><Relationship Id="rId3" Type="http://schemas.openxmlformats.org/officeDocument/2006/relationships/hyperlink" Target="https://benefix-production.s3.us-east-1.amazonaws.com/carrier_plans/plan_pdfs/000/551/107/original/seh_select_bronze_epo_hsa_regional_preferred_with_ny_50_50.pdf?1762384198" TargetMode="External"/><Relationship Id="rId7" Type="http://schemas.openxmlformats.org/officeDocument/2006/relationships/hyperlink" Target="https://benefix-production.s3.us-east-1.amazonaws.com/carrier_plans/plan_pdfs/000/551/108/original/seh_select_bronze_epo_hsa_local_value_0_0.pdf?1762384203" TargetMode="External"/><Relationship Id="rId2" Type="http://schemas.openxmlformats.org/officeDocument/2006/relationships/hyperlink" Target="https://production-workers.benefix.us/quotes/4GeFDfQDZLJeHLVkr1hPDrep/carrier_plans/553786?quote_option_group_id=1997745" TargetMode="External"/><Relationship Id="rId1" Type="http://schemas.openxmlformats.org/officeDocument/2006/relationships/hyperlink" Target="https://benefix-production.s3.us-east-1.amazonaws.com/carrier_plans/plan_pdfs/000/553/786/original/seh_select_bronze_epo_hsa_local_value_50_50.pdf?1763136442" TargetMode="External"/><Relationship Id="rId6" Type="http://schemas.openxmlformats.org/officeDocument/2006/relationships/hyperlink" Target="https://production-workers.benefix.us/quotes/4GeFDfQDZLJeHLVkr1hPDrep/carrier_plans/551118?quote_option_group_id=1997745" TargetMode="External"/><Relationship Id="rId5" Type="http://schemas.openxmlformats.org/officeDocument/2006/relationships/hyperlink" Target="https://benefix-production.s3.us-east-1.amazonaws.com/carrier_plans/plan_pdfs/000/551/118/original/seh_select_silver_epo_local_value_40_75.pdf?1762384254" TargetMode="External"/><Relationship Id="rId4" Type="http://schemas.openxmlformats.org/officeDocument/2006/relationships/hyperlink" Target="https://production-workers.benefix.us/quotes/4GeFDfQDZLJeHLVkr1hPDrep/carrier_plans/551107?quote_option_group_id=1997745" TargetMode="External"/></Relationships>
</file>

<file path=xl/worksheets/_rels/sheet77.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6?quote_option_group_id=1997745" TargetMode="External"/><Relationship Id="rId3" Type="http://schemas.openxmlformats.org/officeDocument/2006/relationships/hyperlink" Target="https://benefix-production.s3.us-east-1.amazonaws.com/carrier_plans/plan_pdfs/000/551/119/original/seh_select_silver_epo_regional_preferred_with_ny_40_75.pdf?1762384259" TargetMode="External"/><Relationship Id="rId7" Type="http://schemas.openxmlformats.org/officeDocument/2006/relationships/hyperlink" Target="https://benefix-production.s3.us-east-1.amazonaws.com/carrier_plans/plan_pdfs/000/530/986/original/omnia_bronze.pdf?1759773394" TargetMode="External"/><Relationship Id="rId2" Type="http://schemas.openxmlformats.org/officeDocument/2006/relationships/hyperlink" Target="https://production-workers.benefix.us/quotes/4GeFDfQDZLJeHLVkr1hPDrep/carrier_plans/551111?quote_option_group_id=1997745" TargetMode="External"/><Relationship Id="rId1" Type="http://schemas.openxmlformats.org/officeDocument/2006/relationships/hyperlink" Target="https://benefix-production.s3.us-east-1.amazonaws.com/carrier_plans/plan_pdfs/000/551/111/original/seh_select_silver_epo_amerihealth_hospital_advantage_50_75.pdf?1762384219" TargetMode="External"/><Relationship Id="rId6" Type="http://schemas.openxmlformats.org/officeDocument/2006/relationships/hyperlink" Target="https://production-workers.benefix.us/quotes/4GeFDfQDZLJeHLVkr1hPDrep/carrier_plans/551109?quote_option_group_id=1997745" TargetMode="External"/><Relationship Id="rId5" Type="http://schemas.openxmlformats.org/officeDocument/2006/relationships/hyperlink" Target="https://benefix-production.s3.us-east-1.amazonaws.com/carrier_plans/plan_pdfs/000/551/109/original/seh_select_bronze_epo_hsa_regional_preferred_with_ny_0_0.pdf?1762384209" TargetMode="External"/><Relationship Id="rId4" Type="http://schemas.openxmlformats.org/officeDocument/2006/relationships/hyperlink" Target="https://production-workers.benefix.us/quotes/4GeFDfQDZLJeHLVkr1hPDrep/carrier_plans/551119?quote_option_group_id=1997745" TargetMode="External"/></Relationships>
</file>

<file path=xl/worksheets/_rels/sheet78.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12?quote_option_group_id=1997745" TargetMode="External"/><Relationship Id="rId3" Type="http://schemas.openxmlformats.org/officeDocument/2006/relationships/hyperlink" Target="https://benefix-production.s3.us-east-1.amazonaws.com/carrier_plans/plan_pdfs/000/557/258/original/nj_s_mtro_ng_50_75_2500_50_epo_26.pdf?1768330468" TargetMode="External"/><Relationship Id="rId7" Type="http://schemas.openxmlformats.org/officeDocument/2006/relationships/hyperlink" Target="https://benefix-production.s3.us-east-1.amazonaws.com/carrier_plans/plan_pdfs/000/551/112/original/seh_select_silver_epo_hsa_local_value_20_20.pdf?1762384225" TargetMode="External"/><Relationship Id="rId2" Type="http://schemas.openxmlformats.org/officeDocument/2006/relationships/hyperlink" Target="https://production-workers.benefix.us/quotes/4GeFDfQDZLJeHLVkr1hPDrep/carrier_plans/551100?quote_option_group_id=1997745" TargetMode="External"/><Relationship Id="rId1" Type="http://schemas.openxmlformats.org/officeDocument/2006/relationships/hyperlink" Target="https://benefix-production.s3.us-east-1.amazonaws.com/carrier_plans/plan_pdfs/000/551/100/original/seh_select_gold_epo_amerihealth_advantage_lv_20_40.pdf?1762384164" TargetMode="External"/><Relationship Id="rId6" Type="http://schemas.openxmlformats.org/officeDocument/2006/relationships/hyperlink" Target="https://production-workers.benefix.us/quotes/4GeFDfQDZLJeHLVkr1hPDrep/carrier_plans/551121?quote_option_group_id=1997745" TargetMode="External"/><Relationship Id="rId5" Type="http://schemas.openxmlformats.org/officeDocument/2006/relationships/hyperlink" Target="https://benefix-production.s3.us-east-1.amazonaws.com/carrier_plans/plan_pdfs/000/551/121/original/seh_select_silver_epo_hsa_local_value_0_0_6_000.pdf?1762384269" TargetMode="External"/><Relationship Id="rId4" Type="http://schemas.openxmlformats.org/officeDocument/2006/relationships/hyperlink" Target="https://production-workers.benefix.us/quotes/4GeFDfQDZLJeHLVkr1hPDrep/carrier_plans/557258?quote_option_group_id=1997745" TargetMode="External"/></Relationships>
</file>

<file path=xl/worksheets/_rels/sheet79.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7?quote_option_group_id=1997745" TargetMode="External"/><Relationship Id="rId3" Type="http://schemas.openxmlformats.org/officeDocument/2006/relationships/hyperlink" Target="https://benefix-production.s3.us-east-1.amazonaws.com/carrier_plans/plan_pdfs/000/551/083/original/seh_select_gold_epo_local_value_30_60.pdf?1762384080" TargetMode="External"/><Relationship Id="rId7" Type="http://schemas.openxmlformats.org/officeDocument/2006/relationships/hyperlink" Target="https://benefix-production.s3.us-east-1.amazonaws.com/carrier_plans/plan_pdfs/000/530/987/original/omnia_silver.pdf?1759773395" TargetMode="External"/><Relationship Id="rId2" Type="http://schemas.openxmlformats.org/officeDocument/2006/relationships/hyperlink" Target="https://production-workers.benefix.us/quotes/4GeFDfQDZLJeHLVkr1hPDrep/carrier_plans/551103?quote_option_group_id=1997745" TargetMode="External"/><Relationship Id="rId1" Type="http://schemas.openxmlformats.org/officeDocument/2006/relationships/hyperlink" Target="https://benefix-production.s3.us-east-1.amazonaws.com/carrier_plans/plan_pdfs/000/551/103/original/seh_select_gold_epo_amerihealth_advantage_rp_with_ny_20_40.pdf?1762384179" TargetMode="External"/><Relationship Id="rId6" Type="http://schemas.openxmlformats.org/officeDocument/2006/relationships/hyperlink" Target="https://production-workers.benefix.us/quotes/4GeFDfQDZLJeHLVkr1hPDrep/carrier_plans/530991?quote_option_group_id=1997745" TargetMode="External"/><Relationship Id="rId5" Type="http://schemas.openxmlformats.org/officeDocument/2006/relationships/hyperlink" Target="https://benefix-production.s3.us-east-1.amazonaws.com/carrier_plans/plan_pdfs/000/530/991/original/omnia_silver_bluecard.pdf?1759773402" TargetMode="External"/><Relationship Id="rId4" Type="http://schemas.openxmlformats.org/officeDocument/2006/relationships/hyperlink" Target="https://production-workers.benefix.us/quotes/4GeFDfQDZLJeHLVkr1hPDrep/carrier_plans/551083?quote_option_group_id=1997745" TargetMode="External"/></Relationships>
</file>

<file path=xl/worksheets/_rels/sheet80.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86?quote_option_group_id=1997745" TargetMode="External"/><Relationship Id="rId3" Type="http://schemas.openxmlformats.org/officeDocument/2006/relationships/hyperlink" Target="https://benefix-production.s3.us-east-1.amazonaws.com/carrier_plans/plan_pdfs/000/551/113/original/seh_select_silver_epo_hsa_regional_preferred_with_ny_20_20.pdf?1762384230" TargetMode="External"/><Relationship Id="rId7" Type="http://schemas.openxmlformats.org/officeDocument/2006/relationships/hyperlink" Target="https://benefix-production.s3.us-east-1.amazonaws.com/carrier_plans/plan_pdfs/000/551/086/original/seh_select_silver_epo_hsa_local_value_0_0.pdf?1762384097" TargetMode="External"/><Relationship Id="rId2" Type="http://schemas.openxmlformats.org/officeDocument/2006/relationships/hyperlink" Target="https://production-workers.benefix.us/quotes/4GeFDfQDZLJeHLVkr1hPDrep/carrier_plans/557259?quote_option_group_id=1997745" TargetMode="External"/><Relationship Id="rId1" Type="http://schemas.openxmlformats.org/officeDocument/2006/relationships/hyperlink" Target="https://benefix-production.s3.us-east-1.amazonaws.com/carrier_plans/plan_pdfs/000/557/259/original/nj_g_mtro_ng_30_60_1600_100_epo_26.pdf?1768330472" TargetMode="External"/><Relationship Id="rId6" Type="http://schemas.openxmlformats.org/officeDocument/2006/relationships/hyperlink" Target="https://production-workers.benefix.us/quotes/4GeFDfQDZLJeHLVkr1hPDrep/carrier_plans/551089?quote_option_group_id=1997745" TargetMode="External"/><Relationship Id="rId5" Type="http://schemas.openxmlformats.org/officeDocument/2006/relationships/hyperlink" Target="https://benefix-production.s3.us-east-1.amazonaws.com/carrier_plans/plan_pdfs/000/551/089/original/seh_select_gold_epo_regional_preferred_with_ny_30_60.pdf?1762384110" TargetMode="External"/><Relationship Id="rId4" Type="http://schemas.openxmlformats.org/officeDocument/2006/relationships/hyperlink" Target="https://production-workers.benefix.us/quotes/4GeFDfQDZLJeHLVkr1hPDrep/carrier_plans/551113?quote_option_group_id=1997745" TargetMode="External"/></Relationships>
</file>

<file path=xl/worksheets/_rels/sheet81.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7247?quote_option_group_id=1997745" TargetMode="External"/><Relationship Id="rId3" Type="http://schemas.openxmlformats.org/officeDocument/2006/relationships/hyperlink" Target="https://benefix-production.s3.us-east-1.amazonaws.com/carrier_plans/plan_pdfs/000/530/978/original/advantage_epo_silver_100_50.pdf?1759773381" TargetMode="External"/><Relationship Id="rId7" Type="http://schemas.openxmlformats.org/officeDocument/2006/relationships/hyperlink" Target="https://benefix-production.s3.us-east-1.amazonaws.com/carrier_plans/plan_pdfs/000/557/247/original/nj_g_lbty_gt_50_75_100_epo_zd_26.pdf?1768330427" TargetMode="External"/><Relationship Id="rId2" Type="http://schemas.openxmlformats.org/officeDocument/2006/relationships/hyperlink" Target="https://production-workers.benefix.us/quotes/4GeFDfQDZLJeHLVkr1hPDrep/carrier_plans/557233?quote_option_group_id=1997745" TargetMode="External"/><Relationship Id="rId1" Type="http://schemas.openxmlformats.org/officeDocument/2006/relationships/hyperlink" Target="https://benefix-production.s3.us-east-1.amazonaws.com/carrier_plans/plan_pdfs/000/557/233/original/nj_g_lbty_ng_25_50_1250_50_epo_26.pdf?1768330378" TargetMode="External"/><Relationship Id="rId6" Type="http://schemas.openxmlformats.org/officeDocument/2006/relationships/hyperlink" Target="https://production-workers.benefix.us/quotes/4GeFDfQDZLJeHLVkr1hPDrep/carrier_plans/551124?quote_option_group_id=1997745" TargetMode="External"/><Relationship Id="rId5" Type="http://schemas.openxmlformats.org/officeDocument/2006/relationships/hyperlink" Target="https://benefix-production.s3.us-east-1.amazonaws.com/carrier_plans/plan_pdfs/000/551/124/original/seh_select_gold_epo_local_value_10_40.pdf?1762384284" TargetMode="External"/><Relationship Id="rId4" Type="http://schemas.openxmlformats.org/officeDocument/2006/relationships/hyperlink" Target="https://production-workers.benefix.us/quotes/4GeFDfQDZLJeHLVkr1hPDrep/carrier_plans/530978?quote_option_group_id=1997745" TargetMode="External"/></Relationships>
</file>

<file path=xl/worksheets/_rels/sheet82.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75?quote_option_group_id=1997745" TargetMode="External"/><Relationship Id="rId3" Type="http://schemas.openxmlformats.org/officeDocument/2006/relationships/hyperlink" Target="https://benefix-production.s3.us-east-1.amazonaws.com/carrier_plans/plan_pdfs/000/530/984/original/advantage_epo_silver_100_50_bluecard.pdf?1759773391" TargetMode="External"/><Relationship Id="rId7" Type="http://schemas.openxmlformats.org/officeDocument/2006/relationships/hyperlink" Target="https://benefix-production.s3.us-east-1.amazonaws.com/carrier_plans/plan_pdfs/000/530/975/original/advantage_epo_gold_100_40_60.pdf?1759773372" TargetMode="External"/><Relationship Id="rId2" Type="http://schemas.openxmlformats.org/officeDocument/2006/relationships/hyperlink" Target="https://production-workers.benefix.us/quotes/4GeFDfQDZLJeHLVkr1hPDrep/carrier_plans/530989?quote_option_group_id=1997745" TargetMode="External"/><Relationship Id="rId1" Type="http://schemas.openxmlformats.org/officeDocument/2006/relationships/hyperlink" Target="https://benefix-production.s3.us-east-1.amazonaws.com/carrier_plans/plan_pdfs/000/530/989/original/omnia_gold.pdf?1759773398" TargetMode="External"/><Relationship Id="rId6" Type="http://schemas.openxmlformats.org/officeDocument/2006/relationships/hyperlink" Target="https://production-workers.benefix.us/quotes/4GeFDfQDZLJeHLVkr1hPDrep/carrier_plans/551125?quote_option_group_id=1997745" TargetMode="External"/><Relationship Id="rId5" Type="http://schemas.openxmlformats.org/officeDocument/2006/relationships/hyperlink" Target="https://benefix-production.s3.us-east-1.amazonaws.com/carrier_plans/plan_pdfs/000/551/125/original/seh_select_gold_epo_regional_preferred_with_ny_10_40.pdf?1762384289" TargetMode="External"/><Relationship Id="rId4" Type="http://schemas.openxmlformats.org/officeDocument/2006/relationships/hyperlink" Target="https://production-workers.benefix.us/quotes/4GeFDfQDZLJeHLVkr1hPDrep/carrier_plans/530984?quote_option_group_id=1997745" TargetMode="External"/></Relationships>
</file>

<file path=xl/worksheets/_rels/sheet83.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0?quote_option_group_id=1997745" TargetMode="External"/><Relationship Id="rId3" Type="http://schemas.openxmlformats.org/officeDocument/2006/relationships/hyperlink" Target="https://benefix-production.s3.us-east-1.amazonaws.com/carrier_plans/plan_pdfs/000/530/974/original/advantage_epo_gold_100_25_45.pdf?1759773371" TargetMode="External"/><Relationship Id="rId7" Type="http://schemas.openxmlformats.org/officeDocument/2006/relationships/hyperlink" Target="https://benefix-production.s3.us-east-1.amazonaws.com/carrier_plans/plan_pdfs/000/530/980/original/advantage_epo_gold_100_25_45_bluecard.pdf?1759773384" TargetMode="External"/><Relationship Id="rId2" Type="http://schemas.openxmlformats.org/officeDocument/2006/relationships/hyperlink" Target="https://production-workers.benefix.us/quotes/4GeFDfQDZLJeHLVkr1hPDrep/carrier_plans/530990?quote_option_group_id=1997745" TargetMode="External"/><Relationship Id="rId1" Type="http://schemas.openxmlformats.org/officeDocument/2006/relationships/hyperlink" Target="https://benefix-production.s3.us-east-1.amazonaws.com/carrier_plans/plan_pdfs/000/530/990/original/omnia_platinum.pdf?1759773400" TargetMode="External"/><Relationship Id="rId6" Type="http://schemas.openxmlformats.org/officeDocument/2006/relationships/hyperlink" Target="https://production-workers.benefix.us/quotes/4GeFDfQDZLJeHLVkr1hPDrep/carrier_plans/557252?quote_option_group_id=1997745" TargetMode="External"/><Relationship Id="rId5" Type="http://schemas.openxmlformats.org/officeDocument/2006/relationships/hyperlink" Target="https://benefix-production.s3.us-east-1.amazonaws.com/carrier_plans/plan_pdfs/000/557/252/original/nj_p_lbty_ng_15_45_100_ppo_26.pdf?1768330446" TargetMode="External"/><Relationship Id="rId4" Type="http://schemas.openxmlformats.org/officeDocument/2006/relationships/hyperlink" Target="https://production-workers.benefix.us/quotes/4GeFDfQDZLJeHLVkr1hPDrep/carrier_plans/530974?quote_option_group_id=1997745" TargetMode="External"/></Relationships>
</file>

<file path=xl/worksheets/_rels/sheet84.xml.rels><?xml version="1.0" encoding="UTF-8" standalone="yes"?>
<Relationships xmlns="http://schemas.openxmlformats.org/package/2006/relationships"><Relationship Id="rId2" Type="http://schemas.openxmlformats.org/officeDocument/2006/relationships/hyperlink" Target="https://production-workers.benefix.us/quotes/4GeFDfQDZLJeHLVkr1hPDrep/carrier_plans/551126?quote_option_group_id=1997745" TargetMode="External"/><Relationship Id="rId1"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85.xml.rels><?xml version="1.0" encoding="UTF-8" standalone="yes"?>
<Relationships xmlns="http://schemas.openxmlformats.org/package/2006/relationships"><Relationship Id="rId3" Type="http://schemas.openxmlformats.org/officeDocument/2006/relationships/hyperlink" Target="https://production-workers.benefix.us/quotes/4GeFDfQDZLJeHLVkr1hPDrep/carrier_plans/536171?quote_option_group_id=1997746" TargetMode="External"/><Relationship Id="rId7" Type="http://schemas.openxmlformats.org/officeDocument/2006/relationships/hyperlink" Target="https://production-workers.benefix.us/quotes/4GeFDfQDZLJeHLVkr1hPDrep/carrier_plans/551117?quote_option_group_id=1997746" TargetMode="External"/><Relationship Id="rId2" Type="http://schemas.openxmlformats.org/officeDocument/2006/relationships/hyperlink" Target="https://benefix-production.s3.us-east-1.amazonaws.com/carrier_plans/plan_pdfs/000/536/171/original/surestcf90002026rxalt3.pdf?1763158849" TargetMode="External"/><Relationship Id="rId1" Type="http://schemas.openxmlformats.org/officeDocument/2006/relationships/hyperlink" Target="https://production-workers.benefix.us/quotes/4GeFDfQDZLJeHLVkr1hPDrep/carrier_plans/518957?quote_option_group_id=1997746" TargetMode="External"/><Relationship Id="rId6" Type="http://schemas.openxmlformats.org/officeDocument/2006/relationships/hyperlink" Target="https://benefix-production.s3.us-east-1.amazonaws.com/carrier_plans/plan_pdfs/000/551/117/original/seh_select_bronze_epo_regional_preferred_with_ny_40_85.pdf?1762384249" TargetMode="External"/><Relationship Id="rId5" Type="http://schemas.openxmlformats.org/officeDocument/2006/relationships/hyperlink" Target="https://production-workers.benefix.us/quotes/4GeFDfQDZLJeHLVkr1hPDrep/carrier_plans/551116?quote_option_group_id=1997746" TargetMode="External"/><Relationship Id="rId4" Type="http://schemas.openxmlformats.org/officeDocument/2006/relationships/hyperlink" Target="https://benefix-production.s3.us-east-1.amazonaws.com/carrier_plans/plan_pdfs/000/551/116/original/seh_select_bronze_epo_local_value_40_85.pdf?1762384244" TargetMode="External"/></Relationships>
</file>

<file path=xl/worksheets/_rels/sheet86.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91?quote_option_group_id=1997746" TargetMode="External"/><Relationship Id="rId3" Type="http://schemas.openxmlformats.org/officeDocument/2006/relationships/hyperlink" Target="https://benefix-production.s3.us-east-1.amazonaws.com/carrier_plans/plan_pdfs/000/551/085/original/seh_select_bronze_epo_local_value_50_75.pdf?1762384092" TargetMode="External"/><Relationship Id="rId7" Type="http://schemas.openxmlformats.org/officeDocument/2006/relationships/hyperlink" Target="https://benefix-production.s3.us-east-1.amazonaws.com/carrier_plans/plan_pdfs/000/551/091/original/seh_select_bronze_epo_regional_preferred_with_ny_50_75.pdf?1762384119" TargetMode="External"/><Relationship Id="rId2" Type="http://schemas.openxmlformats.org/officeDocument/2006/relationships/hyperlink" Target="https://production-workers.benefix.us/quotes/4GeFDfQDZLJeHLVkr1hPDrep/carrier_plans/551096?quote_option_group_id=1997746" TargetMode="External"/><Relationship Id="rId1" Type="http://schemas.openxmlformats.org/officeDocument/2006/relationships/hyperlink" Target="https://benefix-production.s3.us-east-1.amazonaws.com/carrier_plans/plan_pdfs/000/551/096/original/seh_select_bronze_epo_hsa_amerihealth_advantage_lv_25_50.pdf?1762384144" TargetMode="External"/><Relationship Id="rId6" Type="http://schemas.openxmlformats.org/officeDocument/2006/relationships/hyperlink" Target="https://production-workers.benefix.us/quotes/4GeFDfQDZLJeHLVkr1hPDrep/carrier_plans/551101?quote_option_group_id=1997746" TargetMode="External"/><Relationship Id="rId5" Type="http://schemas.openxmlformats.org/officeDocument/2006/relationships/hyperlink" Target="https://benefix-production.s3.us-east-1.amazonaws.com/carrier_plans/plan_pdfs/000/551/101/original/seh_select_bronze_epo_hsa_amerihealth_advantage_rp_with_ny_25_50.pdf?1762384169" TargetMode="External"/><Relationship Id="rId4" Type="http://schemas.openxmlformats.org/officeDocument/2006/relationships/hyperlink" Target="https://production-workers.benefix.us/quotes/4GeFDfQDZLJeHLVkr1hPDrep/carrier_plans/551085?quote_option_group_id=1997746" TargetMode="External"/></Relationships>
</file>

<file path=xl/worksheets/_rels/sheet87.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08?quote_option_group_id=1997746" TargetMode="External"/><Relationship Id="rId3" Type="http://schemas.openxmlformats.org/officeDocument/2006/relationships/hyperlink" Target="https://benefix-production.s3.us-east-1.amazonaws.com/carrier_plans/plan_pdfs/000/551/107/original/seh_select_bronze_epo_hsa_regional_preferred_with_ny_50_50.pdf?1762384198" TargetMode="External"/><Relationship Id="rId7" Type="http://schemas.openxmlformats.org/officeDocument/2006/relationships/hyperlink" Target="https://benefix-production.s3.us-east-1.amazonaws.com/carrier_plans/plan_pdfs/000/551/108/original/seh_select_bronze_epo_hsa_local_value_0_0.pdf?1762384203" TargetMode="External"/><Relationship Id="rId2" Type="http://schemas.openxmlformats.org/officeDocument/2006/relationships/hyperlink" Target="https://production-workers.benefix.us/quotes/4GeFDfQDZLJeHLVkr1hPDrep/carrier_plans/553786?quote_option_group_id=1997746" TargetMode="External"/><Relationship Id="rId1" Type="http://schemas.openxmlformats.org/officeDocument/2006/relationships/hyperlink" Target="https://benefix-production.s3.us-east-1.amazonaws.com/carrier_plans/plan_pdfs/000/553/786/original/seh_select_bronze_epo_hsa_local_value_50_50.pdf?1763136442" TargetMode="External"/><Relationship Id="rId6" Type="http://schemas.openxmlformats.org/officeDocument/2006/relationships/hyperlink" Target="https://production-workers.benefix.us/quotes/4GeFDfQDZLJeHLVkr1hPDrep/carrier_plans/551118?quote_option_group_id=1997746" TargetMode="External"/><Relationship Id="rId5" Type="http://schemas.openxmlformats.org/officeDocument/2006/relationships/hyperlink" Target="https://benefix-production.s3.us-east-1.amazonaws.com/carrier_plans/plan_pdfs/000/551/118/original/seh_select_silver_epo_local_value_40_75.pdf?1762384254" TargetMode="External"/><Relationship Id="rId4" Type="http://schemas.openxmlformats.org/officeDocument/2006/relationships/hyperlink" Target="https://production-workers.benefix.us/quotes/4GeFDfQDZLJeHLVkr1hPDrep/carrier_plans/551107?quote_option_group_id=1997746" TargetMode="External"/></Relationships>
</file>

<file path=xl/worksheets/_rels/sheet88.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6?quote_option_group_id=1997746" TargetMode="External"/><Relationship Id="rId3" Type="http://schemas.openxmlformats.org/officeDocument/2006/relationships/hyperlink" Target="https://benefix-production.s3.us-east-1.amazonaws.com/carrier_plans/plan_pdfs/000/551/119/original/seh_select_silver_epo_regional_preferred_with_ny_40_75.pdf?1762384259" TargetMode="External"/><Relationship Id="rId7" Type="http://schemas.openxmlformats.org/officeDocument/2006/relationships/hyperlink" Target="https://benefix-production.s3.us-east-1.amazonaws.com/carrier_plans/plan_pdfs/000/530/986/original/omnia_bronze.pdf?1759773394" TargetMode="External"/><Relationship Id="rId2" Type="http://schemas.openxmlformats.org/officeDocument/2006/relationships/hyperlink" Target="https://production-workers.benefix.us/quotes/4GeFDfQDZLJeHLVkr1hPDrep/carrier_plans/551111?quote_option_group_id=1997746" TargetMode="External"/><Relationship Id="rId1" Type="http://schemas.openxmlformats.org/officeDocument/2006/relationships/hyperlink" Target="https://benefix-production.s3.us-east-1.amazonaws.com/carrier_plans/plan_pdfs/000/551/111/original/seh_select_silver_epo_amerihealth_hospital_advantage_50_75.pdf?1762384219" TargetMode="External"/><Relationship Id="rId6" Type="http://schemas.openxmlformats.org/officeDocument/2006/relationships/hyperlink" Target="https://production-workers.benefix.us/quotes/4GeFDfQDZLJeHLVkr1hPDrep/carrier_plans/551109?quote_option_group_id=1997746" TargetMode="External"/><Relationship Id="rId5" Type="http://schemas.openxmlformats.org/officeDocument/2006/relationships/hyperlink" Target="https://benefix-production.s3.us-east-1.amazonaws.com/carrier_plans/plan_pdfs/000/551/109/original/seh_select_bronze_epo_hsa_regional_preferred_with_ny_0_0.pdf?1762384209" TargetMode="External"/><Relationship Id="rId4" Type="http://schemas.openxmlformats.org/officeDocument/2006/relationships/hyperlink" Target="https://production-workers.benefix.us/quotes/4GeFDfQDZLJeHLVkr1hPDrep/carrier_plans/551119?quote_option_group_id=1997746" TargetMode="External"/></Relationships>
</file>

<file path=xl/worksheets/_rels/sheet89.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112?quote_option_group_id=1997746" TargetMode="External"/><Relationship Id="rId3" Type="http://schemas.openxmlformats.org/officeDocument/2006/relationships/hyperlink" Target="https://benefix-production.s3.us-east-1.amazonaws.com/carrier_plans/plan_pdfs/000/557/258/original/nj_s_mtro_ng_50_75_2500_50_epo_26.pdf?1768330468" TargetMode="External"/><Relationship Id="rId7" Type="http://schemas.openxmlformats.org/officeDocument/2006/relationships/hyperlink" Target="https://benefix-production.s3.us-east-1.amazonaws.com/carrier_plans/plan_pdfs/000/551/112/original/seh_select_silver_epo_hsa_local_value_20_20.pdf?1762384225" TargetMode="External"/><Relationship Id="rId2" Type="http://schemas.openxmlformats.org/officeDocument/2006/relationships/hyperlink" Target="https://production-workers.benefix.us/quotes/4GeFDfQDZLJeHLVkr1hPDrep/carrier_plans/551100?quote_option_group_id=1997746" TargetMode="External"/><Relationship Id="rId1" Type="http://schemas.openxmlformats.org/officeDocument/2006/relationships/hyperlink" Target="https://benefix-production.s3.us-east-1.amazonaws.com/carrier_plans/plan_pdfs/000/551/100/original/seh_select_gold_epo_amerihealth_advantage_lv_20_40.pdf?1762384164" TargetMode="External"/><Relationship Id="rId6" Type="http://schemas.openxmlformats.org/officeDocument/2006/relationships/hyperlink" Target="https://production-workers.benefix.us/quotes/4GeFDfQDZLJeHLVkr1hPDrep/carrier_plans/551121?quote_option_group_id=1997746" TargetMode="External"/><Relationship Id="rId5" Type="http://schemas.openxmlformats.org/officeDocument/2006/relationships/hyperlink" Target="https://benefix-production.s3.us-east-1.amazonaws.com/carrier_plans/plan_pdfs/000/551/121/original/seh_select_silver_epo_hsa_local_value_0_0_6_000.pdf?1762384269" TargetMode="External"/><Relationship Id="rId4" Type="http://schemas.openxmlformats.org/officeDocument/2006/relationships/hyperlink" Target="https://production-workers.benefix.us/quotes/4GeFDfQDZLJeHLVkr1hPDrep/carrier_plans/557258?quote_option_group_id=1997746" TargetMode="External"/></Relationships>
</file>

<file path=xl/worksheets/_rels/sheet90.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7?quote_option_group_id=1997746" TargetMode="External"/><Relationship Id="rId3" Type="http://schemas.openxmlformats.org/officeDocument/2006/relationships/hyperlink" Target="https://benefix-production.s3.us-east-1.amazonaws.com/carrier_plans/plan_pdfs/000/551/083/original/seh_select_gold_epo_local_value_30_60.pdf?1762384080" TargetMode="External"/><Relationship Id="rId7" Type="http://schemas.openxmlformats.org/officeDocument/2006/relationships/hyperlink" Target="https://benefix-production.s3.us-east-1.amazonaws.com/carrier_plans/plan_pdfs/000/530/987/original/omnia_silver.pdf?1759773395" TargetMode="External"/><Relationship Id="rId2" Type="http://schemas.openxmlformats.org/officeDocument/2006/relationships/hyperlink" Target="https://production-workers.benefix.us/quotes/4GeFDfQDZLJeHLVkr1hPDrep/carrier_plans/551103?quote_option_group_id=1997746" TargetMode="External"/><Relationship Id="rId1" Type="http://schemas.openxmlformats.org/officeDocument/2006/relationships/hyperlink" Target="https://benefix-production.s3.us-east-1.amazonaws.com/carrier_plans/plan_pdfs/000/551/103/original/seh_select_gold_epo_amerihealth_advantage_rp_with_ny_20_40.pdf?1762384179" TargetMode="External"/><Relationship Id="rId6" Type="http://schemas.openxmlformats.org/officeDocument/2006/relationships/hyperlink" Target="https://production-workers.benefix.us/quotes/4GeFDfQDZLJeHLVkr1hPDrep/carrier_plans/530991?quote_option_group_id=1997746" TargetMode="External"/><Relationship Id="rId5" Type="http://schemas.openxmlformats.org/officeDocument/2006/relationships/hyperlink" Target="https://benefix-production.s3.us-east-1.amazonaws.com/carrier_plans/plan_pdfs/000/530/991/original/omnia_silver_bluecard.pdf?1759773402" TargetMode="External"/><Relationship Id="rId4" Type="http://schemas.openxmlformats.org/officeDocument/2006/relationships/hyperlink" Target="https://production-workers.benefix.us/quotes/4GeFDfQDZLJeHLVkr1hPDrep/carrier_plans/551083?quote_option_group_id=1997746" TargetMode="External"/></Relationships>
</file>

<file path=xl/worksheets/_rels/sheet91.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1086?quote_option_group_id=1997746" TargetMode="External"/><Relationship Id="rId3" Type="http://schemas.openxmlformats.org/officeDocument/2006/relationships/hyperlink" Target="https://benefix-production.s3.us-east-1.amazonaws.com/carrier_plans/plan_pdfs/000/551/113/original/seh_select_silver_epo_hsa_regional_preferred_with_ny_20_20.pdf?1762384230" TargetMode="External"/><Relationship Id="rId7" Type="http://schemas.openxmlformats.org/officeDocument/2006/relationships/hyperlink" Target="https://benefix-production.s3.us-east-1.amazonaws.com/carrier_plans/plan_pdfs/000/551/086/original/seh_select_silver_epo_hsa_local_value_0_0.pdf?1762384097" TargetMode="External"/><Relationship Id="rId2" Type="http://schemas.openxmlformats.org/officeDocument/2006/relationships/hyperlink" Target="https://production-workers.benefix.us/quotes/4GeFDfQDZLJeHLVkr1hPDrep/carrier_plans/557259?quote_option_group_id=1997746" TargetMode="External"/><Relationship Id="rId1" Type="http://schemas.openxmlformats.org/officeDocument/2006/relationships/hyperlink" Target="https://benefix-production.s3.us-east-1.amazonaws.com/carrier_plans/plan_pdfs/000/557/259/original/nj_g_mtro_ng_30_60_1600_100_epo_26.pdf?1768330472" TargetMode="External"/><Relationship Id="rId6" Type="http://schemas.openxmlformats.org/officeDocument/2006/relationships/hyperlink" Target="https://production-workers.benefix.us/quotes/4GeFDfQDZLJeHLVkr1hPDrep/carrier_plans/551089?quote_option_group_id=1997746" TargetMode="External"/><Relationship Id="rId5" Type="http://schemas.openxmlformats.org/officeDocument/2006/relationships/hyperlink" Target="https://benefix-production.s3.us-east-1.amazonaws.com/carrier_plans/plan_pdfs/000/551/089/original/seh_select_gold_epo_regional_preferred_with_ny_30_60.pdf?1762384110" TargetMode="External"/><Relationship Id="rId4" Type="http://schemas.openxmlformats.org/officeDocument/2006/relationships/hyperlink" Target="https://production-workers.benefix.us/quotes/4GeFDfQDZLJeHLVkr1hPDrep/carrier_plans/551113?quote_option_group_id=1997746" TargetMode="External"/></Relationships>
</file>

<file path=xl/worksheets/_rels/sheet92.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57247?quote_option_group_id=1997746" TargetMode="External"/><Relationship Id="rId3" Type="http://schemas.openxmlformats.org/officeDocument/2006/relationships/hyperlink" Target="https://benefix-production.s3.us-east-1.amazonaws.com/carrier_plans/plan_pdfs/000/530/978/original/advantage_epo_silver_100_50.pdf?1759773381" TargetMode="External"/><Relationship Id="rId7" Type="http://schemas.openxmlformats.org/officeDocument/2006/relationships/hyperlink" Target="https://benefix-production.s3.us-east-1.amazonaws.com/carrier_plans/plan_pdfs/000/557/247/original/nj_g_lbty_gt_50_75_100_epo_zd_26.pdf?1768330427" TargetMode="External"/><Relationship Id="rId2" Type="http://schemas.openxmlformats.org/officeDocument/2006/relationships/hyperlink" Target="https://production-workers.benefix.us/quotes/4GeFDfQDZLJeHLVkr1hPDrep/carrier_plans/557233?quote_option_group_id=1997746" TargetMode="External"/><Relationship Id="rId1" Type="http://schemas.openxmlformats.org/officeDocument/2006/relationships/hyperlink" Target="https://benefix-production.s3.us-east-1.amazonaws.com/carrier_plans/plan_pdfs/000/557/233/original/nj_g_lbty_ng_25_50_1250_50_epo_26.pdf?1768330378" TargetMode="External"/><Relationship Id="rId6" Type="http://schemas.openxmlformats.org/officeDocument/2006/relationships/hyperlink" Target="https://production-workers.benefix.us/quotes/4GeFDfQDZLJeHLVkr1hPDrep/carrier_plans/551124?quote_option_group_id=1997746" TargetMode="External"/><Relationship Id="rId5" Type="http://schemas.openxmlformats.org/officeDocument/2006/relationships/hyperlink" Target="https://benefix-production.s3.us-east-1.amazonaws.com/carrier_plans/plan_pdfs/000/551/124/original/seh_select_gold_epo_local_value_10_40.pdf?1762384284" TargetMode="External"/><Relationship Id="rId4" Type="http://schemas.openxmlformats.org/officeDocument/2006/relationships/hyperlink" Target="https://production-workers.benefix.us/quotes/4GeFDfQDZLJeHLVkr1hPDrep/carrier_plans/530978?quote_option_group_id=1997746" TargetMode="External"/></Relationships>
</file>

<file path=xl/worksheets/_rels/sheet93.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75?quote_option_group_id=1997746" TargetMode="External"/><Relationship Id="rId3" Type="http://schemas.openxmlformats.org/officeDocument/2006/relationships/hyperlink" Target="https://benefix-production.s3.us-east-1.amazonaws.com/carrier_plans/plan_pdfs/000/530/984/original/advantage_epo_silver_100_50_bluecard.pdf?1759773391" TargetMode="External"/><Relationship Id="rId7" Type="http://schemas.openxmlformats.org/officeDocument/2006/relationships/hyperlink" Target="https://benefix-production.s3.us-east-1.amazonaws.com/carrier_plans/plan_pdfs/000/530/975/original/advantage_epo_gold_100_40_60.pdf?1759773372" TargetMode="External"/><Relationship Id="rId2" Type="http://schemas.openxmlformats.org/officeDocument/2006/relationships/hyperlink" Target="https://production-workers.benefix.us/quotes/4GeFDfQDZLJeHLVkr1hPDrep/carrier_plans/530989?quote_option_group_id=1997746" TargetMode="External"/><Relationship Id="rId1" Type="http://schemas.openxmlformats.org/officeDocument/2006/relationships/hyperlink" Target="https://benefix-production.s3.us-east-1.amazonaws.com/carrier_plans/plan_pdfs/000/530/989/original/omnia_gold.pdf?1759773398" TargetMode="External"/><Relationship Id="rId6" Type="http://schemas.openxmlformats.org/officeDocument/2006/relationships/hyperlink" Target="https://production-workers.benefix.us/quotes/4GeFDfQDZLJeHLVkr1hPDrep/carrier_plans/551125?quote_option_group_id=1997746" TargetMode="External"/><Relationship Id="rId5" Type="http://schemas.openxmlformats.org/officeDocument/2006/relationships/hyperlink" Target="https://benefix-production.s3.us-east-1.amazonaws.com/carrier_plans/plan_pdfs/000/551/125/original/seh_select_gold_epo_regional_preferred_with_ny_10_40.pdf?1762384289" TargetMode="External"/><Relationship Id="rId4" Type="http://schemas.openxmlformats.org/officeDocument/2006/relationships/hyperlink" Target="https://production-workers.benefix.us/quotes/4GeFDfQDZLJeHLVkr1hPDrep/carrier_plans/530984?quote_option_group_id=1997746" TargetMode="External"/></Relationships>
</file>

<file path=xl/worksheets/_rels/sheet94.xml.rels><?xml version="1.0" encoding="UTF-8" standalone="yes"?>
<Relationships xmlns="http://schemas.openxmlformats.org/package/2006/relationships"><Relationship Id="rId8" Type="http://schemas.openxmlformats.org/officeDocument/2006/relationships/hyperlink" Target="https://production-workers.benefix.us/quotes/4GeFDfQDZLJeHLVkr1hPDrep/carrier_plans/530980?quote_option_group_id=1997746" TargetMode="External"/><Relationship Id="rId3" Type="http://schemas.openxmlformats.org/officeDocument/2006/relationships/hyperlink" Target="https://benefix-production.s3.us-east-1.amazonaws.com/carrier_plans/plan_pdfs/000/530/974/original/advantage_epo_gold_100_25_45.pdf?1759773371" TargetMode="External"/><Relationship Id="rId7" Type="http://schemas.openxmlformats.org/officeDocument/2006/relationships/hyperlink" Target="https://benefix-production.s3.us-east-1.amazonaws.com/carrier_plans/plan_pdfs/000/530/980/original/advantage_epo_gold_100_25_45_bluecard.pdf?1759773384" TargetMode="External"/><Relationship Id="rId2" Type="http://schemas.openxmlformats.org/officeDocument/2006/relationships/hyperlink" Target="https://production-workers.benefix.us/quotes/4GeFDfQDZLJeHLVkr1hPDrep/carrier_plans/530990?quote_option_group_id=1997746" TargetMode="External"/><Relationship Id="rId1" Type="http://schemas.openxmlformats.org/officeDocument/2006/relationships/hyperlink" Target="https://benefix-production.s3.us-east-1.amazonaws.com/carrier_plans/plan_pdfs/000/530/990/original/omnia_platinum.pdf?1759773400" TargetMode="External"/><Relationship Id="rId6" Type="http://schemas.openxmlformats.org/officeDocument/2006/relationships/hyperlink" Target="https://production-workers.benefix.us/quotes/4GeFDfQDZLJeHLVkr1hPDrep/carrier_plans/557252?quote_option_group_id=1997746" TargetMode="External"/><Relationship Id="rId5" Type="http://schemas.openxmlformats.org/officeDocument/2006/relationships/hyperlink" Target="https://benefix-production.s3.us-east-1.amazonaws.com/carrier_plans/plan_pdfs/000/557/252/original/nj_p_lbty_ng_15_45_100_ppo_26.pdf?1768330446" TargetMode="External"/><Relationship Id="rId4" Type="http://schemas.openxmlformats.org/officeDocument/2006/relationships/hyperlink" Target="https://production-workers.benefix.us/quotes/4GeFDfQDZLJeHLVkr1hPDrep/carrier_plans/530974?quote_option_group_id=1997746"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https://production-workers.benefix.us/quotes/4GeFDfQDZLJeHLVkr1hPDrep/carrier_plans/551126?quote_option_group_id=1997746" TargetMode="External"/><Relationship Id="rId1" Type="http://schemas.openxmlformats.org/officeDocument/2006/relationships/hyperlink" Target="https://benefix-production.s3.us-east-1.amazonaws.com/carrier_plans/plan_pdfs/000/551/126/original/seh_gold_epo_national_access_with_ny_10_40.pdf?1762384294" TargetMode="External"/></Relationships>
</file>

<file path=xl/worksheets/_rels/sheet96.xml.rels><?xml version="1.0" encoding="UTF-8" standalone="yes"?>
<Relationships xmlns="http://schemas.openxmlformats.org/package/2006/relationships"><Relationship Id="rId26" Type="http://schemas.openxmlformats.org/officeDocument/2006/relationships/hyperlink" Target="https://benefix-production.s3.us-east-1.amazonaws.com/carrier_plans/plan_pdfs/000/551/086/original/seh_select_silver_epo_hsa_local_value_0_0.pdf?1762384097" TargetMode="External"/><Relationship Id="rId117" Type="http://schemas.openxmlformats.org/officeDocument/2006/relationships/hyperlink" Target="https://benefix-production.s3.us-east-1.amazonaws.com/carrier_plans/plan_pdfs/000/551/126/original/seh_gold_epo_national_access_with_ny_10_40.pdf?1762384294" TargetMode="External"/><Relationship Id="rId21" Type="http://schemas.openxmlformats.org/officeDocument/2006/relationships/hyperlink" Target="https://benefix-production.s3.us-east-1.amazonaws.com/carrier_plans/plan_pdfs/000/530/991/original/omnia_silver_bluecard.pdf?1759773402" TargetMode="External"/><Relationship Id="rId42" Type="http://schemas.openxmlformats.org/officeDocument/2006/relationships/hyperlink" Target="https://benefix-production.s3.us-east-1.amazonaws.com/carrier_plans/plan_pdfs/000/551/096/original/seh_select_bronze_epo_hsa_amerihealth_advantage_lv_25_50.pdf?1762384144" TargetMode="External"/><Relationship Id="rId47" Type="http://schemas.openxmlformats.org/officeDocument/2006/relationships/hyperlink" Target="https://benefix-production.s3.us-east-1.amazonaws.com/carrier_plans/plan_pdfs/000/551/107/original/seh_select_bronze_epo_hsa_regional_preferred_with_ny_50_50.pdf?1762384198" TargetMode="External"/><Relationship Id="rId63" Type="http://schemas.openxmlformats.org/officeDocument/2006/relationships/hyperlink" Target="https://benefix-production.s3.us-east-1.amazonaws.com/carrier_plans/plan_pdfs/000/551/113/original/seh_select_silver_epo_hsa_regional_preferred_with_ny_20_20.pdf?1762384230" TargetMode="External"/><Relationship Id="rId68" Type="http://schemas.openxmlformats.org/officeDocument/2006/relationships/hyperlink" Target="https://benefix-production.s3.us-east-1.amazonaws.com/carrier_plans/plan_pdfs/000/551/124/original/seh_select_gold_epo_local_value_10_40.pdf?1762384284" TargetMode="External"/><Relationship Id="rId84" Type="http://schemas.openxmlformats.org/officeDocument/2006/relationships/hyperlink" Target="https://benefix-production.s3.us-east-1.amazonaws.com/carrier_plans/plan_pdfs/000/551/091/original/seh_select_bronze_epo_regional_preferred_with_ny_50_75.pdf?1762384119" TargetMode="External"/><Relationship Id="rId89" Type="http://schemas.openxmlformats.org/officeDocument/2006/relationships/hyperlink" Target="https://benefix-production.s3.us-east-1.amazonaws.com/carrier_plans/plan_pdfs/000/551/111/original/seh_select_silver_epo_amerihealth_hospital_advantage_50_75.pdf?1762384219" TargetMode="External"/><Relationship Id="rId112" Type="http://schemas.openxmlformats.org/officeDocument/2006/relationships/hyperlink" Target="https://benefix-production.s3.us-east-1.amazonaws.com/carrier_plans/plan_pdfs/000/530/975/original/advantage_epo_gold_100_40_60.pdf?1759773372" TargetMode="External"/><Relationship Id="rId16" Type="http://schemas.openxmlformats.org/officeDocument/2006/relationships/hyperlink" Target="https://benefix-production.s3.us-east-1.amazonaws.com/carrier_plans/plan_pdfs/000/557/258/original/nj_s_mtro_ng_50_75_2500_50_epo_26.pdf?1768330468" TargetMode="External"/><Relationship Id="rId107" Type="http://schemas.openxmlformats.org/officeDocument/2006/relationships/hyperlink" Target="https://benefix-production.s3.us-east-1.amazonaws.com/carrier_plans/plan_pdfs/000/551/124/original/seh_select_gold_epo_local_value_10_40.pdf?1762384284" TargetMode="External"/><Relationship Id="rId11" Type="http://schemas.openxmlformats.org/officeDocument/2006/relationships/hyperlink" Target="https://benefix-production.s3.us-east-1.amazonaws.com/carrier_plans/plan_pdfs/000/551/111/original/seh_select_silver_epo_amerihealth_hospital_advantage_50_75.pdf?1762384219" TargetMode="External"/><Relationship Id="rId32" Type="http://schemas.openxmlformats.org/officeDocument/2006/relationships/hyperlink" Target="https://benefix-production.s3.us-east-1.amazonaws.com/carrier_plans/plan_pdfs/000/530/984/original/advantage_epo_silver_100_50_bluecard.pdf?1759773391" TargetMode="External"/><Relationship Id="rId37" Type="http://schemas.openxmlformats.org/officeDocument/2006/relationships/hyperlink" Target="https://benefix-production.s3.us-east-1.amazonaws.com/carrier_plans/plan_pdfs/000/557/252/original/nj_p_lbty_ng_15_45_100_ppo_26.pdf?1768330446" TargetMode="External"/><Relationship Id="rId53" Type="http://schemas.openxmlformats.org/officeDocument/2006/relationships/hyperlink" Target="https://benefix-production.s3.us-east-1.amazonaws.com/carrier_plans/plan_pdfs/000/530/986/original/omnia_bronze.pdf?1759773394" TargetMode="External"/><Relationship Id="rId58" Type="http://schemas.openxmlformats.org/officeDocument/2006/relationships/hyperlink" Target="https://benefix-production.s3.us-east-1.amazonaws.com/carrier_plans/plan_pdfs/000/551/103/original/seh_select_gold_epo_amerihealth_advantage_rp_with_ny_20_40.pdf?1762384179" TargetMode="External"/><Relationship Id="rId74" Type="http://schemas.openxmlformats.org/officeDocument/2006/relationships/hyperlink" Target="https://benefix-production.s3.us-east-1.amazonaws.com/carrier_plans/plan_pdfs/000/530/990/original/omnia_platinum.pdf?1759773400" TargetMode="External"/><Relationship Id="rId79" Type="http://schemas.openxmlformats.org/officeDocument/2006/relationships/hyperlink" Target="https://benefix-production.s3.us-east-1.amazonaws.com/carrier_plans/plan_pdfs/000/551/116/original/seh_select_bronze_epo_local_value_40_85.pdf?1762384244" TargetMode="External"/><Relationship Id="rId102" Type="http://schemas.openxmlformats.org/officeDocument/2006/relationships/hyperlink" Target="https://benefix-production.s3.us-east-1.amazonaws.com/carrier_plans/plan_pdfs/000/551/113/original/seh_select_silver_epo_hsa_regional_preferred_with_ny_20_20.pdf?1762384230" TargetMode="External"/><Relationship Id="rId5" Type="http://schemas.openxmlformats.org/officeDocument/2006/relationships/hyperlink" Target="https://benefix-production.s3.us-east-1.amazonaws.com/carrier_plans/plan_pdfs/000/551/101/original/seh_select_bronze_epo_hsa_amerihealth_advantage_rp_with_ny_25_50.pdf?1762384169" TargetMode="External"/><Relationship Id="rId90" Type="http://schemas.openxmlformats.org/officeDocument/2006/relationships/hyperlink" Target="https://benefix-production.s3.us-east-1.amazonaws.com/carrier_plans/plan_pdfs/000/551/119/original/seh_select_silver_epo_regional_preferred_with_ny_40_75.pdf?1762384259" TargetMode="External"/><Relationship Id="rId95" Type="http://schemas.openxmlformats.org/officeDocument/2006/relationships/hyperlink" Target="https://benefix-production.s3.us-east-1.amazonaws.com/carrier_plans/plan_pdfs/000/551/121/original/seh_select_silver_epo_hsa_local_value_0_0_6_000.pdf?1762384269" TargetMode="External"/><Relationship Id="rId22" Type="http://schemas.openxmlformats.org/officeDocument/2006/relationships/hyperlink" Target="https://benefix-production.s3.us-east-1.amazonaws.com/carrier_plans/plan_pdfs/000/530/987/original/omnia_silver.pdf?1759773395" TargetMode="External"/><Relationship Id="rId27" Type="http://schemas.openxmlformats.org/officeDocument/2006/relationships/hyperlink" Target="https://benefix-production.s3.us-east-1.amazonaws.com/carrier_plans/plan_pdfs/000/557/233/original/nj_g_lbty_ng_25_50_1250_50_epo_26.pdf?1768330378" TargetMode="External"/><Relationship Id="rId43" Type="http://schemas.openxmlformats.org/officeDocument/2006/relationships/hyperlink" Target="https://benefix-production.s3.us-east-1.amazonaws.com/carrier_plans/plan_pdfs/000/551/085/original/seh_select_bronze_epo_local_value_50_75.pdf?1762384092" TargetMode="External"/><Relationship Id="rId48" Type="http://schemas.openxmlformats.org/officeDocument/2006/relationships/hyperlink" Target="https://benefix-production.s3.us-east-1.amazonaws.com/carrier_plans/plan_pdfs/000/551/118/original/seh_select_silver_epo_local_value_40_75.pdf?1762384254" TargetMode="External"/><Relationship Id="rId64" Type="http://schemas.openxmlformats.org/officeDocument/2006/relationships/hyperlink" Target="https://benefix-production.s3.us-east-1.amazonaws.com/carrier_plans/plan_pdfs/000/551/089/original/seh_select_gold_epo_regional_preferred_with_ny_30_60.pdf?1762384110" TargetMode="External"/><Relationship Id="rId69" Type="http://schemas.openxmlformats.org/officeDocument/2006/relationships/hyperlink" Target="https://benefix-production.s3.us-east-1.amazonaws.com/carrier_plans/plan_pdfs/000/557/247/original/nj_g_lbty_gt_50_75_100_epo_zd_26.pdf?1768330427" TargetMode="External"/><Relationship Id="rId113" Type="http://schemas.openxmlformats.org/officeDocument/2006/relationships/hyperlink" Target="https://benefix-production.s3.us-east-1.amazonaws.com/carrier_plans/plan_pdfs/000/530/990/original/omnia_platinum.pdf?1759773400" TargetMode="External"/><Relationship Id="rId118" Type="http://schemas.openxmlformats.org/officeDocument/2006/relationships/printerSettings" Target="../printerSettings/printerSettings3.bin"/><Relationship Id="rId80" Type="http://schemas.openxmlformats.org/officeDocument/2006/relationships/hyperlink" Target="https://benefix-production.s3.us-east-1.amazonaws.com/carrier_plans/plan_pdfs/000/551/117/original/seh_select_bronze_epo_regional_preferred_with_ny_40_85.pdf?1762384249" TargetMode="External"/><Relationship Id="rId85" Type="http://schemas.openxmlformats.org/officeDocument/2006/relationships/hyperlink" Target="https://benefix-production.s3.us-east-1.amazonaws.com/carrier_plans/plan_pdfs/000/553/786/original/seh_select_bronze_epo_hsa_local_value_50_50.pdf?1763136442" TargetMode="External"/><Relationship Id="rId12" Type="http://schemas.openxmlformats.org/officeDocument/2006/relationships/hyperlink" Target="https://benefix-production.s3.us-east-1.amazonaws.com/carrier_plans/plan_pdfs/000/551/119/original/seh_select_silver_epo_regional_preferred_with_ny_40_75.pdf?1762384259" TargetMode="External"/><Relationship Id="rId17" Type="http://schemas.openxmlformats.org/officeDocument/2006/relationships/hyperlink" Target="https://benefix-production.s3.us-east-1.amazonaws.com/carrier_plans/plan_pdfs/000/551/121/original/seh_select_silver_epo_hsa_local_value_0_0_6_000.pdf?1762384269" TargetMode="External"/><Relationship Id="rId33" Type="http://schemas.openxmlformats.org/officeDocument/2006/relationships/hyperlink" Target="https://benefix-production.s3.us-east-1.amazonaws.com/carrier_plans/plan_pdfs/000/551/125/original/seh_select_gold_epo_regional_preferred_with_ny_10_40.pdf?1762384289" TargetMode="External"/><Relationship Id="rId38" Type="http://schemas.openxmlformats.org/officeDocument/2006/relationships/hyperlink" Target="https://benefix-production.s3.us-east-1.amazonaws.com/carrier_plans/plan_pdfs/000/530/980/original/advantage_epo_gold_100_25_45_bluecard.pdf?1759773384" TargetMode="External"/><Relationship Id="rId59" Type="http://schemas.openxmlformats.org/officeDocument/2006/relationships/hyperlink" Target="https://benefix-production.s3.us-east-1.amazonaws.com/carrier_plans/plan_pdfs/000/551/083/original/seh_select_gold_epo_local_value_30_60.pdf?1762384080" TargetMode="External"/><Relationship Id="rId103" Type="http://schemas.openxmlformats.org/officeDocument/2006/relationships/hyperlink" Target="https://benefix-production.s3.us-east-1.amazonaws.com/carrier_plans/plan_pdfs/000/551/089/original/seh_select_gold_epo_regional_preferred_with_ny_30_60.pdf?1762384110" TargetMode="External"/><Relationship Id="rId108" Type="http://schemas.openxmlformats.org/officeDocument/2006/relationships/hyperlink" Target="https://benefix-production.s3.us-east-1.amazonaws.com/carrier_plans/plan_pdfs/000/557/247/original/nj_g_lbty_gt_50_75_100_epo_zd_26.pdf?1768330427" TargetMode="External"/><Relationship Id="rId54" Type="http://schemas.openxmlformats.org/officeDocument/2006/relationships/hyperlink" Target="https://benefix-production.s3.us-east-1.amazonaws.com/carrier_plans/plan_pdfs/000/551/100/original/seh_select_gold_epo_amerihealth_advantage_lv_20_40.pdf?1762384164" TargetMode="External"/><Relationship Id="rId70" Type="http://schemas.openxmlformats.org/officeDocument/2006/relationships/hyperlink" Target="https://benefix-production.s3.us-east-1.amazonaws.com/carrier_plans/plan_pdfs/000/530/989/original/omnia_gold.pdf?1759773398" TargetMode="External"/><Relationship Id="rId75" Type="http://schemas.openxmlformats.org/officeDocument/2006/relationships/hyperlink" Target="https://benefix-production.s3.us-east-1.amazonaws.com/carrier_plans/plan_pdfs/000/530/974/original/advantage_epo_gold_100_25_45.pdf?1759773371" TargetMode="External"/><Relationship Id="rId91" Type="http://schemas.openxmlformats.org/officeDocument/2006/relationships/hyperlink" Target="https://benefix-production.s3.us-east-1.amazonaws.com/carrier_plans/plan_pdfs/000/551/109/original/seh_select_bronze_epo_hsa_regional_preferred_with_ny_0_0.pdf?1762384209" TargetMode="External"/><Relationship Id="rId96" Type="http://schemas.openxmlformats.org/officeDocument/2006/relationships/hyperlink" Target="https://benefix-production.s3.us-east-1.amazonaws.com/carrier_plans/plan_pdfs/000/551/112/original/seh_select_silver_epo_hsa_local_value_20_20.pdf?1762384225" TargetMode="External"/><Relationship Id="rId1" Type="http://schemas.openxmlformats.org/officeDocument/2006/relationships/hyperlink" Target="https://benefix-production.s3.us-east-1.amazonaws.com/carrier_plans/plan_pdfs/000/551/116/original/seh_select_bronze_epo_local_value_40_85.pdf?1762384244" TargetMode="External"/><Relationship Id="rId6" Type="http://schemas.openxmlformats.org/officeDocument/2006/relationships/hyperlink" Target="https://benefix-production.s3.us-east-1.amazonaws.com/carrier_plans/plan_pdfs/000/551/091/original/seh_select_bronze_epo_regional_preferred_with_ny_50_75.pdf?1762384119" TargetMode="External"/><Relationship Id="rId23" Type="http://schemas.openxmlformats.org/officeDocument/2006/relationships/hyperlink" Target="https://benefix-production.s3.us-east-1.amazonaws.com/carrier_plans/plan_pdfs/000/557/259/original/nj_g_mtro_ng_30_60_1600_100_epo_26.pdf?1768330472" TargetMode="External"/><Relationship Id="rId28" Type="http://schemas.openxmlformats.org/officeDocument/2006/relationships/hyperlink" Target="https://benefix-production.s3.us-east-1.amazonaws.com/carrier_plans/plan_pdfs/000/530/978/original/advantage_epo_silver_100_50.pdf?1759773381" TargetMode="External"/><Relationship Id="rId49" Type="http://schemas.openxmlformats.org/officeDocument/2006/relationships/hyperlink" Target="https://benefix-production.s3.us-east-1.amazonaws.com/carrier_plans/plan_pdfs/000/551/108/original/seh_select_bronze_epo_hsa_local_value_0_0.pdf?1762384203" TargetMode="External"/><Relationship Id="rId114" Type="http://schemas.openxmlformats.org/officeDocument/2006/relationships/hyperlink" Target="https://benefix-production.s3.us-east-1.amazonaws.com/carrier_plans/plan_pdfs/000/530/974/original/advantage_epo_gold_100_25_45.pdf?1759773371" TargetMode="External"/><Relationship Id="rId10" Type="http://schemas.openxmlformats.org/officeDocument/2006/relationships/hyperlink" Target="https://benefix-production.s3.us-east-1.amazonaws.com/carrier_plans/plan_pdfs/000/551/108/original/seh_select_bronze_epo_hsa_local_value_0_0.pdf?1762384203" TargetMode="External"/><Relationship Id="rId31" Type="http://schemas.openxmlformats.org/officeDocument/2006/relationships/hyperlink" Target="https://benefix-production.s3.us-east-1.amazonaws.com/carrier_plans/plan_pdfs/000/530/989/original/omnia_gold.pdf?1759773398" TargetMode="External"/><Relationship Id="rId44" Type="http://schemas.openxmlformats.org/officeDocument/2006/relationships/hyperlink" Target="https://benefix-production.s3.us-east-1.amazonaws.com/carrier_plans/plan_pdfs/000/551/101/original/seh_select_bronze_epo_hsa_amerihealth_advantage_rp_with_ny_25_50.pdf?1762384169" TargetMode="External"/><Relationship Id="rId52" Type="http://schemas.openxmlformats.org/officeDocument/2006/relationships/hyperlink" Target="https://benefix-production.s3.us-east-1.amazonaws.com/carrier_plans/plan_pdfs/000/551/109/original/seh_select_bronze_epo_hsa_regional_preferred_with_ny_0_0.pdf?1762384209" TargetMode="External"/><Relationship Id="rId60" Type="http://schemas.openxmlformats.org/officeDocument/2006/relationships/hyperlink" Target="https://benefix-production.s3.us-east-1.amazonaws.com/carrier_plans/plan_pdfs/000/530/991/original/omnia_silver_bluecard.pdf?1759773402" TargetMode="External"/><Relationship Id="rId65" Type="http://schemas.openxmlformats.org/officeDocument/2006/relationships/hyperlink" Target="https://benefix-production.s3.us-east-1.amazonaws.com/carrier_plans/plan_pdfs/000/551/086/original/seh_select_silver_epo_hsa_local_value_0_0.pdf?1762384097" TargetMode="External"/><Relationship Id="rId73" Type="http://schemas.openxmlformats.org/officeDocument/2006/relationships/hyperlink" Target="https://benefix-production.s3.us-east-1.amazonaws.com/carrier_plans/plan_pdfs/000/530/975/original/advantage_epo_gold_100_40_60.pdf?1759773372" TargetMode="External"/><Relationship Id="rId78" Type="http://schemas.openxmlformats.org/officeDocument/2006/relationships/hyperlink" Target="https://benefix-production.s3.us-east-1.amazonaws.com/carrier_plans/plan_pdfs/000/551/126/original/seh_gold_epo_national_access_with_ny_10_40.pdf?1762384294" TargetMode="External"/><Relationship Id="rId81" Type="http://schemas.openxmlformats.org/officeDocument/2006/relationships/hyperlink" Target="https://benefix-production.s3.us-east-1.amazonaws.com/carrier_plans/plan_pdfs/000/551/096/original/seh_select_bronze_epo_hsa_amerihealth_advantage_lv_25_50.pdf?1762384144" TargetMode="External"/><Relationship Id="rId86" Type="http://schemas.openxmlformats.org/officeDocument/2006/relationships/hyperlink" Target="https://benefix-production.s3.us-east-1.amazonaws.com/carrier_plans/plan_pdfs/000/551/107/original/seh_select_bronze_epo_hsa_regional_preferred_with_ny_50_50.pdf?1762384198" TargetMode="External"/><Relationship Id="rId94" Type="http://schemas.openxmlformats.org/officeDocument/2006/relationships/hyperlink" Target="https://benefix-production.s3.us-east-1.amazonaws.com/carrier_plans/plan_pdfs/000/557/258/original/nj_s_mtro_ng_50_75_2500_50_epo_26.pdf?1768330468" TargetMode="External"/><Relationship Id="rId99" Type="http://schemas.openxmlformats.org/officeDocument/2006/relationships/hyperlink" Target="https://benefix-production.s3.us-east-1.amazonaws.com/carrier_plans/plan_pdfs/000/530/991/original/omnia_silver_bluecard.pdf?1759773402" TargetMode="External"/><Relationship Id="rId101" Type="http://schemas.openxmlformats.org/officeDocument/2006/relationships/hyperlink" Target="https://benefix-production.s3.us-east-1.amazonaws.com/carrier_plans/plan_pdfs/000/557/259/original/nj_g_mtro_ng_30_60_1600_100_epo_26.pdf?1768330472" TargetMode="External"/><Relationship Id="rId4" Type="http://schemas.openxmlformats.org/officeDocument/2006/relationships/hyperlink" Target="https://benefix-production.s3.us-east-1.amazonaws.com/carrier_plans/plan_pdfs/000/551/085/original/seh_select_bronze_epo_local_value_50_75.pdf?1762384092" TargetMode="External"/><Relationship Id="rId9" Type="http://schemas.openxmlformats.org/officeDocument/2006/relationships/hyperlink" Target="https://benefix-production.s3.us-east-1.amazonaws.com/carrier_plans/plan_pdfs/000/551/118/original/seh_select_silver_epo_local_value_40_75.pdf?1762384254" TargetMode="External"/><Relationship Id="rId13" Type="http://schemas.openxmlformats.org/officeDocument/2006/relationships/hyperlink" Target="https://benefix-production.s3.us-east-1.amazonaws.com/carrier_plans/plan_pdfs/000/551/109/original/seh_select_bronze_epo_hsa_regional_preferred_with_ny_0_0.pdf?1762384209" TargetMode="External"/><Relationship Id="rId18" Type="http://schemas.openxmlformats.org/officeDocument/2006/relationships/hyperlink" Target="https://benefix-production.s3.us-east-1.amazonaws.com/carrier_plans/plan_pdfs/000/551/112/original/seh_select_silver_epo_hsa_local_value_20_20.pdf?1762384225" TargetMode="External"/><Relationship Id="rId39" Type="http://schemas.openxmlformats.org/officeDocument/2006/relationships/hyperlink" Target="https://benefix-production.s3.us-east-1.amazonaws.com/carrier_plans/plan_pdfs/000/551/126/original/seh_gold_epo_national_access_with_ny_10_40.pdf?1762384294" TargetMode="External"/><Relationship Id="rId109" Type="http://schemas.openxmlformats.org/officeDocument/2006/relationships/hyperlink" Target="https://benefix-production.s3.us-east-1.amazonaws.com/carrier_plans/plan_pdfs/000/530/989/original/omnia_gold.pdf?1759773398" TargetMode="External"/><Relationship Id="rId34" Type="http://schemas.openxmlformats.org/officeDocument/2006/relationships/hyperlink" Target="https://benefix-production.s3.us-east-1.amazonaws.com/carrier_plans/plan_pdfs/000/530/975/original/advantage_epo_gold_100_40_60.pdf?1759773372" TargetMode="External"/><Relationship Id="rId50" Type="http://schemas.openxmlformats.org/officeDocument/2006/relationships/hyperlink" Target="https://benefix-production.s3.us-east-1.amazonaws.com/carrier_plans/plan_pdfs/000/551/111/original/seh_select_silver_epo_amerihealth_hospital_advantage_50_75.pdf?1762384219" TargetMode="External"/><Relationship Id="rId55" Type="http://schemas.openxmlformats.org/officeDocument/2006/relationships/hyperlink" Target="https://benefix-production.s3.us-east-1.amazonaws.com/carrier_plans/plan_pdfs/000/557/258/original/nj_s_mtro_ng_50_75_2500_50_epo_26.pdf?1768330468" TargetMode="External"/><Relationship Id="rId76" Type="http://schemas.openxmlformats.org/officeDocument/2006/relationships/hyperlink" Target="https://benefix-production.s3.us-east-1.amazonaws.com/carrier_plans/plan_pdfs/000/557/252/original/nj_p_lbty_ng_15_45_100_ppo_26.pdf?1768330446" TargetMode="External"/><Relationship Id="rId97" Type="http://schemas.openxmlformats.org/officeDocument/2006/relationships/hyperlink" Target="https://benefix-production.s3.us-east-1.amazonaws.com/carrier_plans/plan_pdfs/000/551/103/original/seh_select_gold_epo_amerihealth_advantage_rp_with_ny_20_40.pdf?1762384179" TargetMode="External"/><Relationship Id="rId104" Type="http://schemas.openxmlformats.org/officeDocument/2006/relationships/hyperlink" Target="https://benefix-production.s3.us-east-1.amazonaws.com/carrier_plans/plan_pdfs/000/551/086/original/seh_select_silver_epo_hsa_local_value_0_0.pdf?1762384097" TargetMode="External"/><Relationship Id="rId7" Type="http://schemas.openxmlformats.org/officeDocument/2006/relationships/hyperlink" Target="https://benefix-production.s3.us-east-1.amazonaws.com/carrier_plans/plan_pdfs/000/553/786/original/seh_select_bronze_epo_hsa_local_value_50_50.pdf?1763136442" TargetMode="External"/><Relationship Id="rId71" Type="http://schemas.openxmlformats.org/officeDocument/2006/relationships/hyperlink" Target="https://benefix-production.s3.us-east-1.amazonaws.com/carrier_plans/plan_pdfs/000/530/984/original/advantage_epo_silver_100_50_bluecard.pdf?1759773391" TargetMode="External"/><Relationship Id="rId92" Type="http://schemas.openxmlformats.org/officeDocument/2006/relationships/hyperlink" Target="https://benefix-production.s3.us-east-1.amazonaws.com/carrier_plans/plan_pdfs/000/530/986/original/omnia_bronze.pdf?1759773394" TargetMode="External"/><Relationship Id="rId2" Type="http://schemas.openxmlformats.org/officeDocument/2006/relationships/hyperlink" Target="https://benefix-production.s3.us-east-1.amazonaws.com/carrier_plans/plan_pdfs/000/551/117/original/seh_select_bronze_epo_regional_preferred_with_ny_40_85.pdf?1762384249" TargetMode="External"/><Relationship Id="rId29" Type="http://schemas.openxmlformats.org/officeDocument/2006/relationships/hyperlink" Target="https://benefix-production.s3.us-east-1.amazonaws.com/carrier_plans/plan_pdfs/000/551/124/original/seh_select_gold_epo_local_value_10_40.pdf?1762384284" TargetMode="External"/><Relationship Id="rId24" Type="http://schemas.openxmlformats.org/officeDocument/2006/relationships/hyperlink" Target="https://benefix-production.s3.us-east-1.amazonaws.com/carrier_plans/plan_pdfs/000/551/113/original/seh_select_silver_epo_hsa_regional_preferred_with_ny_20_20.pdf?1762384230" TargetMode="External"/><Relationship Id="rId40" Type="http://schemas.openxmlformats.org/officeDocument/2006/relationships/hyperlink" Target="https://benefix-production.s3.us-east-1.amazonaws.com/carrier_plans/plan_pdfs/000/551/116/original/seh_select_bronze_epo_local_value_40_85.pdf?1762384244" TargetMode="External"/><Relationship Id="rId45" Type="http://schemas.openxmlformats.org/officeDocument/2006/relationships/hyperlink" Target="https://benefix-production.s3.us-east-1.amazonaws.com/carrier_plans/plan_pdfs/000/551/091/original/seh_select_bronze_epo_regional_preferred_with_ny_50_75.pdf?1762384119" TargetMode="External"/><Relationship Id="rId66" Type="http://schemas.openxmlformats.org/officeDocument/2006/relationships/hyperlink" Target="https://benefix-production.s3.us-east-1.amazonaws.com/carrier_plans/plan_pdfs/000/557/233/original/nj_g_lbty_ng_25_50_1250_50_epo_26.pdf?1768330378" TargetMode="External"/><Relationship Id="rId87" Type="http://schemas.openxmlformats.org/officeDocument/2006/relationships/hyperlink" Target="https://benefix-production.s3.us-east-1.amazonaws.com/carrier_plans/plan_pdfs/000/551/118/original/seh_select_silver_epo_local_value_40_75.pdf?1762384254" TargetMode="External"/><Relationship Id="rId110" Type="http://schemas.openxmlformats.org/officeDocument/2006/relationships/hyperlink" Target="https://benefix-production.s3.us-east-1.amazonaws.com/carrier_plans/plan_pdfs/000/530/984/original/advantage_epo_silver_100_50_bluecard.pdf?1759773391" TargetMode="External"/><Relationship Id="rId115" Type="http://schemas.openxmlformats.org/officeDocument/2006/relationships/hyperlink" Target="https://benefix-production.s3.us-east-1.amazonaws.com/carrier_plans/plan_pdfs/000/557/252/original/nj_p_lbty_ng_15_45_100_ppo_26.pdf?1768330446" TargetMode="External"/><Relationship Id="rId61" Type="http://schemas.openxmlformats.org/officeDocument/2006/relationships/hyperlink" Target="https://benefix-production.s3.us-east-1.amazonaws.com/carrier_plans/plan_pdfs/000/530/987/original/omnia_silver.pdf?1759773395" TargetMode="External"/><Relationship Id="rId82" Type="http://schemas.openxmlformats.org/officeDocument/2006/relationships/hyperlink" Target="https://benefix-production.s3.us-east-1.amazonaws.com/carrier_plans/plan_pdfs/000/551/085/original/seh_select_bronze_epo_local_value_50_75.pdf?1762384092" TargetMode="External"/><Relationship Id="rId19" Type="http://schemas.openxmlformats.org/officeDocument/2006/relationships/hyperlink" Target="https://benefix-production.s3.us-east-1.amazonaws.com/carrier_plans/plan_pdfs/000/551/103/original/seh_select_gold_epo_amerihealth_advantage_rp_with_ny_20_40.pdf?1762384179" TargetMode="External"/><Relationship Id="rId14" Type="http://schemas.openxmlformats.org/officeDocument/2006/relationships/hyperlink" Target="https://benefix-production.s3.us-east-1.amazonaws.com/carrier_plans/plan_pdfs/000/530/986/original/omnia_bronze.pdf?1759773394" TargetMode="External"/><Relationship Id="rId30" Type="http://schemas.openxmlformats.org/officeDocument/2006/relationships/hyperlink" Target="https://benefix-production.s3.us-east-1.amazonaws.com/carrier_plans/plan_pdfs/000/557/247/original/nj_g_lbty_gt_50_75_100_epo_zd_26.pdf?1768330427" TargetMode="External"/><Relationship Id="rId35" Type="http://schemas.openxmlformats.org/officeDocument/2006/relationships/hyperlink" Target="https://benefix-production.s3.us-east-1.amazonaws.com/carrier_plans/plan_pdfs/000/530/990/original/omnia_platinum.pdf?1759773400" TargetMode="External"/><Relationship Id="rId56" Type="http://schemas.openxmlformats.org/officeDocument/2006/relationships/hyperlink" Target="https://benefix-production.s3.us-east-1.amazonaws.com/carrier_plans/plan_pdfs/000/551/121/original/seh_select_silver_epo_hsa_local_value_0_0_6_000.pdf?1762384269" TargetMode="External"/><Relationship Id="rId77" Type="http://schemas.openxmlformats.org/officeDocument/2006/relationships/hyperlink" Target="https://benefix-production.s3.us-east-1.amazonaws.com/carrier_plans/plan_pdfs/000/530/980/original/advantage_epo_gold_100_25_45_bluecard.pdf?1759773384" TargetMode="External"/><Relationship Id="rId100" Type="http://schemas.openxmlformats.org/officeDocument/2006/relationships/hyperlink" Target="https://benefix-production.s3.us-east-1.amazonaws.com/carrier_plans/plan_pdfs/000/530/987/original/omnia_silver.pdf?1759773395" TargetMode="External"/><Relationship Id="rId105" Type="http://schemas.openxmlformats.org/officeDocument/2006/relationships/hyperlink" Target="https://benefix-production.s3.us-east-1.amazonaws.com/carrier_plans/plan_pdfs/000/557/233/original/nj_g_lbty_ng_25_50_1250_50_epo_26.pdf?1768330378" TargetMode="External"/><Relationship Id="rId8" Type="http://schemas.openxmlformats.org/officeDocument/2006/relationships/hyperlink" Target="https://benefix-production.s3.us-east-1.amazonaws.com/carrier_plans/plan_pdfs/000/551/107/original/seh_select_bronze_epo_hsa_regional_preferred_with_ny_50_50.pdf?1762384198" TargetMode="External"/><Relationship Id="rId51" Type="http://schemas.openxmlformats.org/officeDocument/2006/relationships/hyperlink" Target="https://benefix-production.s3.us-east-1.amazonaws.com/carrier_plans/plan_pdfs/000/551/119/original/seh_select_silver_epo_regional_preferred_with_ny_40_75.pdf?1762384259" TargetMode="External"/><Relationship Id="rId72" Type="http://schemas.openxmlformats.org/officeDocument/2006/relationships/hyperlink" Target="https://benefix-production.s3.us-east-1.amazonaws.com/carrier_plans/plan_pdfs/000/551/125/original/seh_select_gold_epo_regional_preferred_with_ny_10_40.pdf?1762384289" TargetMode="External"/><Relationship Id="rId93" Type="http://schemas.openxmlformats.org/officeDocument/2006/relationships/hyperlink" Target="https://benefix-production.s3.us-east-1.amazonaws.com/carrier_plans/plan_pdfs/000/551/100/original/seh_select_gold_epo_amerihealth_advantage_lv_20_40.pdf?1762384164" TargetMode="External"/><Relationship Id="rId98" Type="http://schemas.openxmlformats.org/officeDocument/2006/relationships/hyperlink" Target="https://benefix-production.s3.us-east-1.amazonaws.com/carrier_plans/plan_pdfs/000/551/083/original/seh_select_gold_epo_local_value_30_60.pdf?1762384080" TargetMode="External"/><Relationship Id="rId3" Type="http://schemas.openxmlformats.org/officeDocument/2006/relationships/hyperlink" Target="https://benefix-production.s3.us-east-1.amazonaws.com/carrier_plans/plan_pdfs/000/551/096/original/seh_select_bronze_epo_hsa_amerihealth_advantage_lv_25_50.pdf?1762384144" TargetMode="External"/><Relationship Id="rId25" Type="http://schemas.openxmlformats.org/officeDocument/2006/relationships/hyperlink" Target="https://benefix-production.s3.us-east-1.amazonaws.com/carrier_plans/plan_pdfs/000/551/089/original/seh_select_gold_epo_regional_preferred_with_ny_30_60.pdf?1762384110" TargetMode="External"/><Relationship Id="rId46" Type="http://schemas.openxmlformats.org/officeDocument/2006/relationships/hyperlink" Target="https://benefix-production.s3.us-east-1.amazonaws.com/carrier_plans/plan_pdfs/000/553/786/original/seh_select_bronze_epo_hsa_local_value_50_50.pdf?1763136442" TargetMode="External"/><Relationship Id="rId67" Type="http://schemas.openxmlformats.org/officeDocument/2006/relationships/hyperlink" Target="https://benefix-production.s3.us-east-1.amazonaws.com/carrier_plans/plan_pdfs/000/530/978/original/advantage_epo_silver_100_50.pdf?1759773381" TargetMode="External"/><Relationship Id="rId116" Type="http://schemas.openxmlformats.org/officeDocument/2006/relationships/hyperlink" Target="https://benefix-production.s3.us-east-1.amazonaws.com/carrier_plans/plan_pdfs/000/530/980/original/advantage_epo_gold_100_25_45_bluecard.pdf?1759773384" TargetMode="External"/><Relationship Id="rId20" Type="http://schemas.openxmlformats.org/officeDocument/2006/relationships/hyperlink" Target="https://benefix-production.s3.us-east-1.amazonaws.com/carrier_plans/plan_pdfs/000/551/083/original/seh_select_gold_epo_local_value_30_60.pdf?1762384080" TargetMode="External"/><Relationship Id="rId41" Type="http://schemas.openxmlformats.org/officeDocument/2006/relationships/hyperlink" Target="https://benefix-production.s3.us-east-1.amazonaws.com/carrier_plans/plan_pdfs/000/551/117/original/seh_select_bronze_epo_regional_preferred_with_ny_40_85.pdf?1762384249" TargetMode="External"/><Relationship Id="rId62" Type="http://schemas.openxmlformats.org/officeDocument/2006/relationships/hyperlink" Target="https://benefix-production.s3.us-east-1.amazonaws.com/carrier_plans/plan_pdfs/000/557/259/original/nj_g_mtro_ng_30_60_1600_100_epo_26.pdf?1768330472" TargetMode="External"/><Relationship Id="rId83" Type="http://schemas.openxmlformats.org/officeDocument/2006/relationships/hyperlink" Target="https://benefix-production.s3.us-east-1.amazonaws.com/carrier_plans/plan_pdfs/000/551/101/original/seh_select_bronze_epo_hsa_amerihealth_advantage_rp_with_ny_25_50.pdf?1762384169" TargetMode="External"/><Relationship Id="rId88" Type="http://schemas.openxmlformats.org/officeDocument/2006/relationships/hyperlink" Target="https://benefix-production.s3.us-east-1.amazonaws.com/carrier_plans/plan_pdfs/000/551/108/original/seh_select_bronze_epo_hsa_local_value_0_0.pdf?1762384203" TargetMode="External"/><Relationship Id="rId111" Type="http://schemas.openxmlformats.org/officeDocument/2006/relationships/hyperlink" Target="https://benefix-production.s3.us-east-1.amazonaws.com/carrier_plans/plan_pdfs/000/551/125/original/seh_select_gold_epo_regional_preferred_with_ny_10_40.pdf?1762384289" TargetMode="External"/><Relationship Id="rId15" Type="http://schemas.openxmlformats.org/officeDocument/2006/relationships/hyperlink" Target="https://benefix-production.s3.us-east-1.amazonaws.com/carrier_plans/plan_pdfs/000/551/100/original/seh_select_gold_epo_amerihealth_advantage_lv_20_40.pdf?1762384164" TargetMode="External"/><Relationship Id="rId36" Type="http://schemas.openxmlformats.org/officeDocument/2006/relationships/hyperlink" Target="https://benefix-production.s3.us-east-1.amazonaws.com/carrier_plans/plan_pdfs/000/530/974/original/advantage_epo_gold_100_25_45.pdf?1759773371" TargetMode="External"/><Relationship Id="rId57" Type="http://schemas.openxmlformats.org/officeDocument/2006/relationships/hyperlink" Target="https://benefix-production.s3.us-east-1.amazonaws.com/carrier_plans/plan_pdfs/000/551/112/original/seh_select_silver_epo_hsa_local_value_20_20.pdf?1762384225" TargetMode="External"/><Relationship Id="rId106" Type="http://schemas.openxmlformats.org/officeDocument/2006/relationships/hyperlink" Target="https://benefix-production.s3.us-east-1.amazonaws.com/carrier_plans/plan_pdfs/000/530/978/original/advantage_epo_silver_100_50.pdf?1759773381" TargetMode="External"/></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BCA7-FA0D-48AE-AD90-AACD499B7061}">
  <sheetPr>
    <pageSetUpPr fitToPage="1"/>
  </sheetPr>
  <dimension ref="A1:M43"/>
  <sheetViews>
    <sheetView tabSelected="1" zoomScaleNormal="100" zoomScaleSheetLayoutView="90" workbookViewId="0">
      <selection activeCell="Q6" sqref="Q6"/>
    </sheetView>
  </sheetViews>
  <sheetFormatPr defaultColWidth="11" defaultRowHeight="15.75" x14ac:dyDescent="0.25"/>
  <cols>
    <col min="1" max="12" width="11" style="8"/>
    <col min="13" max="13" width="12.75" style="8" customWidth="1"/>
    <col min="14" max="16384" width="11" style="8"/>
  </cols>
  <sheetData>
    <row r="1" spans="1:13" x14ac:dyDescent="0.25">
      <c r="A1" s="126"/>
      <c r="B1" s="126"/>
      <c r="C1" s="126"/>
      <c r="D1" s="126"/>
      <c r="E1" s="126"/>
      <c r="F1" s="126"/>
      <c r="G1" s="126"/>
      <c r="H1" s="126"/>
      <c r="I1" s="126"/>
      <c r="J1" s="126"/>
      <c r="K1" s="126"/>
      <c r="L1" s="126"/>
      <c r="M1" s="126"/>
    </row>
    <row r="2" spans="1:13" x14ac:dyDescent="0.25">
      <c r="A2" s="126"/>
      <c r="B2" s="126"/>
      <c r="C2" s="126"/>
      <c r="D2" s="126"/>
      <c r="E2" s="126"/>
      <c r="F2" s="126"/>
      <c r="G2" s="126"/>
      <c r="H2" s="126"/>
      <c r="I2" s="126"/>
      <c r="J2" s="126"/>
      <c r="K2" s="126"/>
      <c r="L2" s="126"/>
      <c r="M2" s="126"/>
    </row>
    <row r="3" spans="1:13" x14ac:dyDescent="0.25">
      <c r="A3" s="126"/>
      <c r="B3" s="126"/>
      <c r="C3" s="126"/>
      <c r="D3" s="126"/>
      <c r="E3" s="126"/>
      <c r="F3" s="126"/>
      <c r="G3" s="126"/>
      <c r="H3" s="126"/>
      <c r="I3" s="126"/>
      <c r="J3" s="126"/>
      <c r="K3" s="126"/>
      <c r="L3" s="126"/>
      <c r="M3" s="126"/>
    </row>
    <row r="4" spans="1:13" x14ac:dyDescent="0.25">
      <c r="A4" s="126"/>
      <c r="B4" s="126"/>
      <c r="C4" s="126"/>
      <c r="D4" s="126"/>
      <c r="E4" s="126"/>
      <c r="F4" s="135"/>
      <c r="G4" s="135"/>
      <c r="H4" s="135"/>
      <c r="I4" s="126"/>
      <c r="J4" s="126"/>
      <c r="K4" s="126"/>
      <c r="L4" s="126"/>
      <c r="M4" s="126"/>
    </row>
    <row r="5" spans="1:13" x14ac:dyDescent="0.25">
      <c r="A5" s="126"/>
      <c r="B5" s="126"/>
      <c r="C5" s="126"/>
      <c r="D5" s="126"/>
      <c r="E5" s="126"/>
      <c r="F5" s="126"/>
      <c r="G5" s="126"/>
      <c r="H5" s="126"/>
      <c r="I5" s="126"/>
      <c r="J5" s="126"/>
      <c r="K5" s="126"/>
      <c r="L5" s="126"/>
      <c r="M5" s="126"/>
    </row>
    <row r="6" spans="1:13" x14ac:dyDescent="0.25">
      <c r="A6" s="126"/>
      <c r="B6" s="126"/>
      <c r="C6" s="126"/>
      <c r="D6" s="126"/>
      <c r="E6" s="126"/>
      <c r="F6" s="126"/>
      <c r="G6" s="126"/>
      <c r="H6" s="126"/>
      <c r="I6" s="126"/>
      <c r="J6" s="126"/>
      <c r="K6" s="126"/>
      <c r="L6" s="126"/>
      <c r="M6" s="126"/>
    </row>
    <row r="7" spans="1:13" x14ac:dyDescent="0.25">
      <c r="A7" s="126"/>
      <c r="B7" s="126"/>
      <c r="C7" s="126"/>
      <c r="D7" s="126"/>
      <c r="E7" s="126"/>
      <c r="F7" s="126"/>
      <c r="G7" s="126"/>
      <c r="H7" s="126"/>
      <c r="I7" s="126"/>
      <c r="J7" s="126"/>
      <c r="K7" s="126"/>
      <c r="L7" s="126"/>
      <c r="M7" s="126"/>
    </row>
    <row r="8" spans="1:13" x14ac:dyDescent="0.25">
      <c r="A8" s="126"/>
      <c r="B8" s="126"/>
      <c r="C8" s="126"/>
      <c r="D8" s="126"/>
      <c r="E8" s="126"/>
      <c r="F8" s="126"/>
      <c r="G8" s="126"/>
      <c r="H8" s="126"/>
      <c r="I8" s="126"/>
      <c r="J8" s="126"/>
      <c r="K8" s="126"/>
      <c r="L8" s="126"/>
      <c r="M8" s="126"/>
    </row>
    <row r="9" spans="1:13" x14ac:dyDescent="0.25">
      <c r="A9" s="138"/>
      <c r="B9" s="138"/>
      <c r="C9" s="138"/>
      <c r="D9" s="138"/>
      <c r="E9" s="138"/>
      <c r="F9" s="138"/>
      <c r="G9" s="138"/>
      <c r="H9" s="138"/>
      <c r="I9" s="138"/>
      <c r="J9" s="138"/>
      <c r="K9" s="138"/>
      <c r="L9" s="138"/>
      <c r="M9" s="138"/>
    </row>
    <row r="10" spans="1:13" x14ac:dyDescent="0.25">
      <c r="A10" s="138"/>
      <c r="B10" s="138"/>
      <c r="C10" s="138"/>
      <c r="D10" s="138"/>
      <c r="E10" s="138"/>
      <c r="F10" s="138"/>
      <c r="G10" s="138"/>
      <c r="H10" s="138"/>
      <c r="I10" s="138"/>
      <c r="J10" s="138"/>
      <c r="K10" s="138"/>
      <c r="L10" s="138"/>
      <c r="M10" s="138"/>
    </row>
    <row r="11" spans="1:13" x14ac:dyDescent="0.25">
      <c r="A11" s="137"/>
      <c r="B11" s="137"/>
      <c r="C11" s="137"/>
      <c r="D11" s="137"/>
      <c r="E11" s="137"/>
      <c r="F11" s="137"/>
      <c r="G11" s="137"/>
      <c r="H11" s="137"/>
      <c r="I11" s="137"/>
      <c r="J11" s="137"/>
      <c r="K11" s="137"/>
      <c r="L11" s="137"/>
      <c r="M11" s="137"/>
    </row>
    <row r="12" spans="1:13" x14ac:dyDescent="0.25">
      <c r="A12" s="137"/>
      <c r="B12" s="137"/>
      <c r="C12" s="137"/>
      <c r="D12" s="137"/>
      <c r="E12" s="137"/>
      <c r="F12" s="137"/>
      <c r="G12" s="137"/>
      <c r="H12" s="137"/>
      <c r="I12" s="137"/>
      <c r="J12" s="137"/>
      <c r="K12" s="137"/>
      <c r="L12" s="137"/>
      <c r="M12" s="137"/>
    </row>
    <row r="13" spans="1:13" ht="16.149999999999999" customHeight="1" x14ac:dyDescent="0.25">
      <c r="A13" s="137"/>
      <c r="B13" s="137"/>
      <c r="C13" s="137"/>
      <c r="D13" s="137"/>
      <c r="E13" s="137"/>
      <c r="F13" s="137"/>
      <c r="G13" s="137"/>
      <c r="H13" s="137"/>
      <c r="I13" s="137"/>
      <c r="J13" s="137"/>
      <c r="K13" s="137"/>
      <c r="L13" s="137"/>
      <c r="M13" s="137"/>
    </row>
    <row r="14" spans="1:13" ht="16.149999999999999" customHeight="1" x14ac:dyDescent="0.25">
      <c r="A14" s="139" t="s">
        <v>628</v>
      </c>
      <c r="B14" s="139"/>
      <c r="C14" s="139"/>
      <c r="D14" s="139"/>
      <c r="E14" s="139"/>
      <c r="F14" s="139"/>
      <c r="G14" s="139"/>
      <c r="H14" s="139"/>
      <c r="I14" s="139"/>
      <c r="J14" s="139"/>
      <c r="K14" s="139"/>
      <c r="L14" s="139"/>
      <c r="M14" s="139"/>
    </row>
    <row r="15" spans="1:13" ht="16.149999999999999" customHeight="1" x14ac:dyDescent="0.25">
      <c r="A15" s="139"/>
      <c r="B15" s="139"/>
      <c r="C15" s="139"/>
      <c r="D15" s="139"/>
      <c r="E15" s="139"/>
      <c r="F15" s="139"/>
      <c r="G15" s="139"/>
      <c r="H15" s="139"/>
      <c r="I15" s="139"/>
      <c r="J15" s="139"/>
      <c r="K15" s="139"/>
      <c r="L15" s="139"/>
      <c r="M15" s="139"/>
    </row>
    <row r="16" spans="1:13" ht="16.149999999999999" customHeight="1" x14ac:dyDescent="0.25">
      <c r="A16" s="134" t="s">
        <v>0</v>
      </c>
      <c r="B16" s="134"/>
      <c r="C16" s="134"/>
      <c r="D16" s="134"/>
      <c r="E16" s="134"/>
      <c r="F16" s="134"/>
      <c r="G16" s="134"/>
      <c r="H16" s="134"/>
      <c r="I16" s="134"/>
      <c r="J16" s="134"/>
      <c r="K16" s="134"/>
      <c r="L16" s="134"/>
      <c r="M16" s="134"/>
    </row>
    <row r="17" spans="1:13" ht="16.149999999999999" customHeight="1" x14ac:dyDescent="0.25">
      <c r="A17" s="134"/>
      <c r="B17" s="134"/>
      <c r="C17" s="134"/>
      <c r="D17" s="134"/>
      <c r="E17" s="134"/>
      <c r="F17" s="134"/>
      <c r="G17" s="134"/>
      <c r="H17" s="134"/>
      <c r="I17" s="134"/>
      <c r="J17" s="134"/>
      <c r="K17" s="134"/>
      <c r="L17" s="134"/>
      <c r="M17" s="134"/>
    </row>
    <row r="18" spans="1:13" ht="16.149999999999999" customHeight="1" x14ac:dyDescent="0.25">
      <c r="A18" s="129"/>
      <c r="B18" s="129"/>
      <c r="C18" s="129"/>
      <c r="D18" s="129"/>
      <c r="E18" s="129"/>
      <c r="F18" s="129"/>
      <c r="G18" s="129"/>
      <c r="H18" s="129"/>
      <c r="I18" s="129"/>
      <c r="J18" s="129"/>
      <c r="K18" s="129"/>
      <c r="L18" s="129"/>
      <c r="M18" s="129"/>
    </row>
    <row r="19" spans="1:13" ht="16.149999999999999" customHeight="1" x14ac:dyDescent="0.25">
      <c r="A19" s="136" t="str">
        <f>"Effective Date: "&amp;TEXT(effective_date,"MM/DD/YYYY")</f>
        <v>Effective Date: 06/01/2026</v>
      </c>
      <c r="B19" s="136"/>
      <c r="C19" s="136"/>
      <c r="D19" s="136"/>
      <c r="E19" s="136"/>
      <c r="F19" s="136"/>
      <c r="G19" s="136"/>
      <c r="H19" s="136"/>
      <c r="I19" s="136"/>
      <c r="J19" s="136"/>
      <c r="K19" s="136"/>
      <c r="L19" s="136"/>
      <c r="M19" s="136"/>
    </row>
    <row r="20" spans="1:13" ht="16.149999999999999" customHeight="1" x14ac:dyDescent="0.25">
      <c r="A20" s="128"/>
      <c r="B20" s="128"/>
      <c r="C20" s="128"/>
      <c r="D20" s="128"/>
      <c r="E20" s="128"/>
      <c r="F20" s="128"/>
      <c r="G20" s="128"/>
      <c r="H20" s="128"/>
      <c r="I20" s="128"/>
      <c r="J20" s="128"/>
      <c r="K20" s="128"/>
      <c r="L20" s="128"/>
      <c r="M20" s="128"/>
    </row>
    <row r="21" spans="1:13" x14ac:dyDescent="0.25">
      <c r="A21" s="137"/>
      <c r="B21" s="137"/>
      <c r="C21" s="137"/>
      <c r="D21" s="137"/>
      <c r="E21" s="137"/>
      <c r="F21" s="137"/>
      <c r="G21" s="137"/>
      <c r="H21" s="137"/>
      <c r="I21" s="137"/>
      <c r="J21" s="137"/>
      <c r="K21" s="137"/>
      <c r="L21" s="137"/>
      <c r="M21" s="137"/>
    </row>
    <row r="22" spans="1:13" x14ac:dyDescent="0.25">
      <c r="A22" s="137"/>
      <c r="B22" s="137"/>
      <c r="C22" s="137"/>
      <c r="D22" s="137"/>
      <c r="E22" s="137"/>
      <c r="F22" s="137"/>
      <c r="G22" s="137"/>
      <c r="H22" s="137"/>
      <c r="I22" s="137"/>
      <c r="J22" s="137"/>
      <c r="K22" s="137"/>
      <c r="L22" s="137"/>
      <c r="M22" s="137"/>
    </row>
    <row r="23" spans="1:13" x14ac:dyDescent="0.25">
      <c r="A23" s="138"/>
      <c r="B23" s="138"/>
      <c r="C23" s="138"/>
      <c r="D23" s="138"/>
      <c r="E23" s="138"/>
      <c r="F23" s="138"/>
      <c r="G23" s="138"/>
      <c r="H23" s="138"/>
      <c r="I23" s="138"/>
      <c r="J23" s="138"/>
      <c r="K23" s="138"/>
      <c r="L23" s="138"/>
      <c r="M23" s="138"/>
    </row>
    <row r="24" spans="1:13" x14ac:dyDescent="0.25">
      <c r="A24" s="138"/>
      <c r="B24" s="138"/>
      <c r="C24" s="138"/>
      <c r="D24" s="138"/>
      <c r="E24" s="138"/>
      <c r="F24" s="138"/>
      <c r="G24" s="138"/>
      <c r="H24" s="138"/>
      <c r="I24" s="138"/>
      <c r="J24" s="138"/>
      <c r="K24" s="138"/>
      <c r="L24" s="138"/>
      <c r="M24" s="138"/>
    </row>
    <row r="25" spans="1:13" x14ac:dyDescent="0.25">
      <c r="A25" s="126"/>
      <c r="B25" s="126"/>
      <c r="C25" s="126"/>
      <c r="D25" s="126"/>
      <c r="E25" s="126"/>
      <c r="F25" s="126"/>
      <c r="G25" s="126"/>
      <c r="H25" s="126"/>
      <c r="I25" s="126"/>
      <c r="J25" s="126"/>
      <c r="K25" s="126"/>
      <c r="L25" s="126"/>
      <c r="M25" s="126"/>
    </row>
    <row r="26" spans="1:13" x14ac:dyDescent="0.25">
      <c r="A26" s="126"/>
      <c r="B26" s="126"/>
      <c r="C26" s="126"/>
      <c r="D26" s="126"/>
      <c r="E26" s="126"/>
      <c r="F26" s="126"/>
      <c r="G26" s="126"/>
      <c r="H26" s="126"/>
      <c r="I26" s="126"/>
      <c r="J26" s="126"/>
      <c r="K26" s="126"/>
      <c r="L26" s="126"/>
      <c r="M26" s="126"/>
    </row>
    <row r="27" spans="1:13" x14ac:dyDescent="0.25">
      <c r="A27" s="126"/>
      <c r="B27" s="126"/>
      <c r="C27" s="126"/>
      <c r="D27" s="126"/>
      <c r="E27" s="126"/>
      <c r="F27" s="126"/>
      <c r="G27" s="126"/>
      <c r="H27" s="126"/>
      <c r="I27" s="126"/>
      <c r="J27" s="126"/>
      <c r="K27" s="126"/>
      <c r="L27" s="126"/>
      <c r="M27" s="126"/>
    </row>
    <row r="28" spans="1:13" ht="15" customHeight="1" x14ac:dyDescent="0.25">
      <c r="A28" s="126"/>
      <c r="B28" s="126"/>
      <c r="C28" s="126"/>
      <c r="D28" s="126"/>
      <c r="E28" s="126"/>
      <c r="F28" s="126"/>
      <c r="G28" s="126"/>
      <c r="H28" s="126"/>
      <c r="I28" s="126"/>
      <c r="J28" s="126"/>
      <c r="K28" s="126"/>
      <c r="L28" s="126"/>
      <c r="M28" s="126"/>
    </row>
    <row r="29" spans="1:13" s="25" customFormat="1" ht="18" customHeight="1" x14ac:dyDescent="0.25">
      <c r="A29" s="133" t="s">
        <v>90</v>
      </c>
      <c r="B29" s="133"/>
      <c r="C29" s="133"/>
      <c r="D29" s="133"/>
      <c r="E29" s="133"/>
      <c r="F29" s="133"/>
      <c r="G29" s="133"/>
      <c r="H29" s="133"/>
      <c r="I29" s="133"/>
      <c r="J29" s="133"/>
      <c r="K29" s="133"/>
      <c r="L29" s="133"/>
      <c r="M29" s="133"/>
    </row>
    <row r="30" spans="1:13" s="25" customFormat="1" ht="18" customHeight="1" x14ac:dyDescent="0.25">
      <c r="A30" s="133" t="s">
        <v>89</v>
      </c>
      <c r="B30" s="133"/>
      <c r="C30" s="133"/>
      <c r="D30" s="133"/>
      <c r="E30" s="133"/>
      <c r="F30" s="133"/>
      <c r="G30" s="133"/>
      <c r="H30" s="133"/>
      <c r="I30" s="133"/>
      <c r="J30" s="133"/>
      <c r="K30" s="133"/>
      <c r="L30" s="133"/>
      <c r="M30" s="133"/>
    </row>
    <row r="31" spans="1:13" s="25" customFormat="1" ht="18" customHeight="1" x14ac:dyDescent="0.25">
      <c r="A31" s="133" t="s">
        <v>93</v>
      </c>
      <c r="B31" s="133"/>
      <c r="C31" s="133"/>
      <c r="D31" s="133"/>
      <c r="E31" s="133"/>
      <c r="F31" s="133"/>
      <c r="G31" s="133"/>
      <c r="H31" s="133"/>
      <c r="I31" s="133"/>
      <c r="J31" s="133"/>
      <c r="K31" s="133"/>
      <c r="L31" s="133"/>
      <c r="M31" s="133"/>
    </row>
    <row r="32" spans="1:13" s="25" customFormat="1" ht="18" customHeight="1" x14ac:dyDescent="0.25">
      <c r="A32" s="133" t="s">
        <v>94</v>
      </c>
      <c r="B32" s="133"/>
      <c r="C32" s="133"/>
      <c r="D32" s="133"/>
      <c r="E32" s="133"/>
      <c r="F32" s="133"/>
      <c r="G32" s="133"/>
      <c r="H32" s="133"/>
      <c r="I32" s="133"/>
      <c r="J32" s="133"/>
      <c r="K32" s="133"/>
      <c r="L32" s="133"/>
      <c r="M32" s="133"/>
    </row>
    <row r="33" spans="1:13" s="25" customFormat="1" ht="18" customHeight="1" x14ac:dyDescent="0.25">
      <c r="A33" s="133" t="s">
        <v>92</v>
      </c>
      <c r="B33" s="133"/>
      <c r="C33" s="133"/>
      <c r="D33" s="133"/>
      <c r="E33" s="133"/>
      <c r="F33" s="133"/>
      <c r="G33" s="133"/>
      <c r="H33" s="133"/>
      <c r="I33" s="133"/>
      <c r="J33" s="133"/>
      <c r="K33" s="133"/>
      <c r="L33" s="133"/>
      <c r="M33" s="133"/>
    </row>
    <row r="34" spans="1:13" s="25" customFormat="1" ht="18" customHeight="1" x14ac:dyDescent="0.25">
      <c r="A34" s="26" t="s">
        <v>91</v>
      </c>
      <c r="B34" s="26"/>
      <c r="C34" s="26"/>
      <c r="D34" s="26"/>
      <c r="E34" s="26"/>
      <c r="F34" s="26"/>
      <c r="G34" s="26"/>
      <c r="H34" s="26"/>
      <c r="I34" s="26"/>
      <c r="J34" s="26"/>
      <c r="K34" s="26"/>
      <c r="L34" s="26" t="str">
        <f>"Group SIC Code: "&amp;A35</f>
        <v>Group SIC Code: 5211</v>
      </c>
      <c r="M34" s="26"/>
    </row>
    <row r="35" spans="1:13" s="25" customFormat="1" ht="18" hidden="1" customHeight="1" x14ac:dyDescent="0.25">
      <c r="A35" s="125" t="s">
        <v>95</v>
      </c>
      <c r="B35" s="125"/>
      <c r="C35" s="125"/>
      <c r="D35" s="125"/>
      <c r="E35" s="125"/>
      <c r="F35" s="125"/>
      <c r="G35" s="125"/>
      <c r="H35" s="125"/>
      <c r="I35" s="125"/>
      <c r="J35" s="125"/>
      <c r="K35" s="125"/>
      <c r="L35" s="26"/>
      <c r="M35" s="125"/>
    </row>
    <row r="36" spans="1:13" s="25" customFormat="1" ht="18" hidden="1" customHeight="1" x14ac:dyDescent="0.25">
      <c r="A36" s="125">
        <v>18</v>
      </c>
      <c r="B36" s="125"/>
      <c r="C36" s="125"/>
      <c r="D36" s="125"/>
      <c r="E36" s="125"/>
      <c r="F36" s="125"/>
      <c r="G36" s="125"/>
      <c r="H36" s="125"/>
      <c r="I36" s="125"/>
      <c r="J36" s="125"/>
      <c r="K36" s="125"/>
      <c r="L36" s="26"/>
      <c r="M36" s="125"/>
    </row>
    <row r="37" spans="1:13" s="25" customFormat="1" ht="18" hidden="1" customHeight="1" x14ac:dyDescent="0.25">
      <c r="A37" s="125" t="s">
        <v>96</v>
      </c>
      <c r="B37" s="125"/>
      <c r="C37" s="125"/>
      <c r="D37" s="125"/>
      <c r="E37" s="125"/>
      <c r="F37" s="125"/>
      <c r="G37" s="125"/>
      <c r="H37" s="125"/>
      <c r="I37" s="125"/>
      <c r="J37" s="125"/>
      <c r="K37" s="125"/>
      <c r="L37" s="26"/>
      <c r="M37" s="125"/>
    </row>
    <row r="38" spans="1:13" s="25" customFormat="1" ht="18" hidden="1" customHeight="1" x14ac:dyDescent="0.25">
      <c r="A38" s="26">
        <v>46120</v>
      </c>
      <c r="B38" s="26"/>
      <c r="C38" s="26"/>
      <c r="D38" s="26"/>
      <c r="E38" s="26"/>
      <c r="F38" s="26"/>
      <c r="G38" s="26"/>
      <c r="H38" s="26"/>
      <c r="I38" s="26"/>
      <c r="J38" s="26"/>
      <c r="K38" s="26"/>
      <c r="L38" s="26"/>
      <c r="M38" s="26"/>
    </row>
    <row r="39" spans="1:13" s="25" customFormat="1" ht="18" hidden="1" customHeight="1" x14ac:dyDescent="0.25">
      <c r="A39" s="26">
        <v>46174</v>
      </c>
      <c r="B39" s="26"/>
      <c r="C39" s="26"/>
      <c r="D39" s="26"/>
      <c r="E39" s="26"/>
      <c r="F39" s="26"/>
      <c r="G39" s="26"/>
      <c r="H39" s="26"/>
      <c r="I39" s="26"/>
      <c r="J39" s="26"/>
      <c r="K39" s="26"/>
      <c r="L39" s="26"/>
      <c r="M39" s="26"/>
    </row>
    <row r="40" spans="1:13" s="25" customFormat="1" ht="18" hidden="1" customHeight="1" x14ac:dyDescent="0.25">
      <c r="A40" s="26">
        <v>33</v>
      </c>
      <c r="B40" s="26"/>
      <c r="C40" s="26"/>
      <c r="D40" s="26"/>
      <c r="E40" s="26"/>
      <c r="F40" s="26"/>
      <c r="G40" s="26"/>
      <c r="H40" s="26"/>
      <c r="I40" s="26"/>
      <c r="J40" s="26"/>
      <c r="K40" s="26"/>
      <c r="L40" s="26"/>
      <c r="M40" s="26"/>
    </row>
    <row r="41" spans="1:13" s="25" customFormat="1" ht="18" hidden="1" customHeight="1" x14ac:dyDescent="0.25">
      <c r="A41" s="26">
        <v>18</v>
      </c>
      <c r="B41" s="26"/>
      <c r="C41" s="26"/>
      <c r="D41" s="26"/>
      <c r="E41" s="26"/>
      <c r="F41" s="26"/>
      <c r="G41" s="26"/>
      <c r="H41" s="26"/>
      <c r="I41" s="26"/>
      <c r="J41" s="26"/>
      <c r="K41" s="26"/>
      <c r="L41" s="26"/>
      <c r="M41" s="26"/>
    </row>
    <row r="42" spans="1:13" s="25" customFormat="1" ht="18" customHeight="1" x14ac:dyDescent="0.25">
      <c r="A42" s="26" t="str">
        <f>"Prepared On: "&amp;TEXT(prepared_date,"MM/DD/YYYY")</f>
        <v>Prepared On: 04/08/2026</v>
      </c>
      <c r="B42" s="26"/>
      <c r="C42" s="26"/>
      <c r="D42" s="26"/>
      <c r="E42" s="26"/>
      <c r="F42" s="26"/>
      <c r="G42" s="26"/>
      <c r="H42" s="26"/>
      <c r="I42" s="26"/>
      <c r="J42" s="26"/>
      <c r="K42" s="26"/>
      <c r="L42" s="26" t="str">
        <f>"Number of Contracts: "&amp;A41</f>
        <v>Number of Contracts: 18</v>
      </c>
      <c r="M42" s="26"/>
    </row>
    <row r="43" spans="1:13" s="25" customFormat="1" ht="18" customHeight="1" x14ac:dyDescent="0.25">
      <c r="A43" s="26" t="s">
        <v>88</v>
      </c>
      <c r="B43" s="26"/>
      <c r="C43" s="26"/>
      <c r="D43" s="26"/>
      <c r="E43" s="26"/>
      <c r="F43" s="26"/>
      <c r="G43" s="26"/>
      <c r="H43" s="26"/>
      <c r="I43" s="26"/>
      <c r="J43" s="26"/>
      <c r="K43" s="26"/>
      <c r="L43" s="26" t="str">
        <f>"Group ZIP Code: "&amp;A37</f>
        <v>Group ZIP Code: 08008</v>
      </c>
      <c r="M43" s="26"/>
    </row>
  </sheetData>
  <mergeCells count="18">
    <mergeCell ref="F4:H4"/>
    <mergeCell ref="A29:M29"/>
    <mergeCell ref="A19:M19"/>
    <mergeCell ref="A21:M21"/>
    <mergeCell ref="A9:M9"/>
    <mergeCell ref="A10:M10"/>
    <mergeCell ref="A23:M23"/>
    <mergeCell ref="A24:M24"/>
    <mergeCell ref="A22:M22"/>
    <mergeCell ref="A14:M15"/>
    <mergeCell ref="A11:M11"/>
    <mergeCell ref="A12:M12"/>
    <mergeCell ref="A13:M13"/>
    <mergeCell ref="A32:M32"/>
    <mergeCell ref="A16:M17"/>
    <mergeCell ref="A33:M33"/>
    <mergeCell ref="A30:M30"/>
    <mergeCell ref="A31:M31"/>
  </mergeCells>
  <printOptions horizontalCentered="1"/>
  <pageMargins left="0.25" right="0.25" top="0.25" bottom="0.25" header="0" footer="0.3"/>
  <pageSetup scale="85" orientation="landscape" r:id="rId1"/>
  <headerFooter>
    <oddFooter>&amp;C&amp;"Tahoma,Regular"Page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9E11-66B1-4FF9-8905-71135E92D366}">
  <sheetPr>
    <pageSetUpPr fitToPage="1"/>
  </sheetPr>
  <dimension ref="A1:Y221"/>
  <sheetViews>
    <sheetView topLeftCell="B201" zoomScaleNormal="100" zoomScaleSheetLayoutView="100" workbookViewId="0">
      <selection activeCell="AY212" sqref="AY212"/>
    </sheetView>
  </sheetViews>
  <sheetFormatPr defaultColWidth="8.75" defaultRowHeight="15.75" x14ac:dyDescent="0.25"/>
  <cols>
    <col min="1" max="1" width="9" hidden="1" customWidth="1"/>
    <col min="2" max="2" width="30.75" customWidth="1"/>
    <col min="3" max="4" width="40" customWidth="1"/>
    <col min="5" max="5" width="8.75" hidden="1" customWidth="1"/>
    <col min="6" max="11" width="9" hidden="1" customWidth="1"/>
    <col min="12" max="25" width="8.75" hidden="1" customWidth="1"/>
    <col min="26" max="46" width="0" hidden="1" customWidth="1"/>
  </cols>
  <sheetData>
    <row r="1" spans="1:6" hidden="1" x14ac:dyDescent="0.25">
      <c r="A1" t="s">
        <v>101</v>
      </c>
      <c r="B1" t="s">
        <v>224</v>
      </c>
      <c r="C1" t="s">
        <v>225</v>
      </c>
      <c r="D1" t="s">
        <v>226</v>
      </c>
      <c r="E1" t="s">
        <v>227</v>
      </c>
      <c r="F1" t="s">
        <v>228</v>
      </c>
    </row>
    <row r="2" spans="1:6" hidden="1" x14ac:dyDescent="0.25">
      <c r="A2" t="s">
        <v>167</v>
      </c>
      <c r="B2" t="s">
        <v>218</v>
      </c>
      <c r="C2" t="s">
        <v>212</v>
      </c>
      <c r="D2" t="s">
        <v>99</v>
      </c>
      <c r="E2" t="s">
        <v>223</v>
      </c>
      <c r="F2" t="s">
        <v>200</v>
      </c>
    </row>
    <row r="3" spans="1:6" hidden="1" x14ac:dyDescent="0.25">
      <c r="A3" t="s">
        <v>98</v>
      </c>
      <c r="B3" t="s">
        <v>148</v>
      </c>
      <c r="C3" t="s">
        <v>216</v>
      </c>
      <c r="F3" t="s">
        <v>194</v>
      </c>
    </row>
    <row r="4" spans="1:6" hidden="1" x14ac:dyDescent="0.25">
      <c r="A4" t="s">
        <v>172</v>
      </c>
      <c r="B4" t="s">
        <v>150</v>
      </c>
      <c r="C4" t="s">
        <v>208</v>
      </c>
      <c r="F4" t="s">
        <v>186</v>
      </c>
    </row>
    <row r="5" spans="1:6" hidden="1" x14ac:dyDescent="0.25">
      <c r="B5" t="s">
        <v>158</v>
      </c>
      <c r="C5" t="s">
        <v>196</v>
      </c>
      <c r="F5" t="s">
        <v>214</v>
      </c>
    </row>
    <row r="6" spans="1:6" hidden="1" x14ac:dyDescent="0.25">
      <c r="B6" t="s">
        <v>152</v>
      </c>
      <c r="C6" t="s">
        <v>204</v>
      </c>
      <c r="F6" t="s">
        <v>171</v>
      </c>
    </row>
    <row r="7" spans="1:6" hidden="1" x14ac:dyDescent="0.25">
      <c r="B7" t="s">
        <v>164</v>
      </c>
      <c r="C7" t="s">
        <v>166</v>
      </c>
    </row>
    <row r="8" spans="1:6" hidden="1" x14ac:dyDescent="0.25">
      <c r="B8" t="s">
        <v>154</v>
      </c>
      <c r="C8" t="s">
        <v>202</v>
      </c>
    </row>
    <row r="9" spans="1:6" hidden="1" x14ac:dyDescent="0.25">
      <c r="B9" t="s">
        <v>100</v>
      </c>
      <c r="C9" t="s">
        <v>210</v>
      </c>
    </row>
    <row r="10" spans="1:6" hidden="1" x14ac:dyDescent="0.25">
      <c r="B10" t="s">
        <v>149</v>
      </c>
      <c r="C10" t="s">
        <v>184</v>
      </c>
    </row>
    <row r="11" spans="1:6" hidden="1" x14ac:dyDescent="0.25">
      <c r="B11" t="s">
        <v>102</v>
      </c>
      <c r="C11" t="s">
        <v>182</v>
      </c>
    </row>
    <row r="12" spans="1:6" hidden="1" x14ac:dyDescent="0.25">
      <c r="B12" t="s">
        <v>151</v>
      </c>
    </row>
    <row r="13" spans="1:6" hidden="1" x14ac:dyDescent="0.25">
      <c r="B13" t="s">
        <v>169</v>
      </c>
    </row>
    <row r="14" spans="1:6" hidden="1" x14ac:dyDescent="0.25">
      <c r="B14" t="s">
        <v>178</v>
      </c>
    </row>
    <row r="15" spans="1:6" hidden="1" x14ac:dyDescent="0.25">
      <c r="B15" t="s">
        <v>198</v>
      </c>
    </row>
    <row r="16" spans="1:6" hidden="1" x14ac:dyDescent="0.25">
      <c r="B16" t="s">
        <v>180</v>
      </c>
    </row>
    <row r="17" spans="2:2" hidden="1" x14ac:dyDescent="0.25">
      <c r="B17" t="s">
        <v>206</v>
      </c>
    </row>
    <row r="18" spans="2:2" hidden="1" x14ac:dyDescent="0.25">
      <c r="B18" t="s">
        <v>190</v>
      </c>
    </row>
    <row r="19" spans="2:2" hidden="1" x14ac:dyDescent="0.25">
      <c r="B19" t="s">
        <v>160</v>
      </c>
    </row>
    <row r="20" spans="2:2" hidden="1" x14ac:dyDescent="0.25">
      <c r="B20" t="s">
        <v>192</v>
      </c>
    </row>
    <row r="21" spans="2:2" hidden="1" x14ac:dyDescent="0.25">
      <c r="B21" t="s">
        <v>174</v>
      </c>
    </row>
    <row r="22" spans="2:2" hidden="1" x14ac:dyDescent="0.25">
      <c r="B22" t="s">
        <v>176</v>
      </c>
    </row>
    <row r="23" spans="2:2" hidden="1" x14ac:dyDescent="0.25">
      <c r="B23" t="s">
        <v>188</v>
      </c>
    </row>
    <row r="24" spans="2:2" hidden="1" x14ac:dyDescent="0.25">
      <c r="B24" t="s">
        <v>156</v>
      </c>
    </row>
    <row r="25" spans="2:2" hidden="1" x14ac:dyDescent="0.25">
      <c r="B25" t="s">
        <v>162</v>
      </c>
    </row>
    <row r="26" spans="2:2" hidden="1" x14ac:dyDescent="0.25"/>
    <row r="27" spans="2:2" hidden="1" x14ac:dyDescent="0.25"/>
    <row r="28" spans="2:2" hidden="1" x14ac:dyDescent="0.25"/>
    <row r="29" spans="2:2" hidden="1" x14ac:dyDescent="0.25"/>
    <row r="30" spans="2:2" hidden="1" x14ac:dyDescent="0.25"/>
    <row r="31" spans="2:2" hidden="1" x14ac:dyDescent="0.25"/>
    <row r="32" spans="2: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spans="1:1" hidden="1" x14ac:dyDescent="0.25"/>
    <row r="98" spans="1:1" hidden="1" x14ac:dyDescent="0.25"/>
    <row r="99" spans="1:1" hidden="1" x14ac:dyDescent="0.25"/>
    <row r="100" spans="1:1" hidden="1" x14ac:dyDescent="0.25"/>
    <row r="101" spans="1:1" hidden="1" x14ac:dyDescent="0.25">
      <c r="A101" t="s">
        <v>101</v>
      </c>
    </row>
    <row r="102" spans="1:1" hidden="1" x14ac:dyDescent="0.25"/>
    <row r="103" spans="1:1" hidden="1" x14ac:dyDescent="0.25"/>
    <row r="104" spans="1:1" hidden="1" x14ac:dyDescent="0.25"/>
    <row r="105" spans="1:1" hidden="1" x14ac:dyDescent="0.25"/>
    <row r="106" spans="1:1" hidden="1" x14ac:dyDescent="0.25"/>
    <row r="107" spans="1:1" hidden="1" x14ac:dyDescent="0.25"/>
    <row r="108" spans="1:1" hidden="1" x14ac:dyDescent="0.25"/>
    <row r="109" spans="1:1" hidden="1" x14ac:dyDescent="0.25"/>
    <row r="110" spans="1:1" hidden="1" x14ac:dyDescent="0.25"/>
    <row r="111" spans="1:1" hidden="1" x14ac:dyDescent="0.25"/>
    <row r="112" spans="1:1"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spans="1:4" hidden="1" x14ac:dyDescent="0.25"/>
    <row r="194" spans="1:4" hidden="1" x14ac:dyDescent="0.25"/>
    <row r="195" spans="1:4" hidden="1" x14ac:dyDescent="0.25"/>
    <row r="196" spans="1:4" hidden="1" x14ac:dyDescent="0.25"/>
    <row r="197" spans="1:4" hidden="1" x14ac:dyDescent="0.25"/>
    <row r="198" spans="1:4" hidden="1" x14ac:dyDescent="0.25"/>
    <row r="199" spans="1:4" hidden="1" x14ac:dyDescent="0.25"/>
    <row r="200" spans="1:4" hidden="1" x14ac:dyDescent="0.25"/>
    <row r="201" spans="1:4" ht="30" x14ac:dyDescent="0.4">
      <c r="B201" s="141" t="str">
        <f>group_name</f>
        <v>Tuckerton Lumber Company</v>
      </c>
      <c r="C201" s="141"/>
      <c r="D201" s="141"/>
    </row>
    <row r="202" spans="1:4" ht="27" x14ac:dyDescent="0.35">
      <c r="B202" s="142" t="s">
        <v>55</v>
      </c>
      <c r="C202" s="142"/>
      <c r="D202" s="142"/>
    </row>
    <row r="203" spans="1:4" ht="24.4" customHeight="1" x14ac:dyDescent="0.35">
      <c r="B203" s="143" t="str">
        <f>"Effective Date: "&amp;TEXT(effective_date,"MM/DD/YYYY")</f>
        <v>Effective Date: 06/01/2026</v>
      </c>
      <c r="C203" s="143"/>
      <c r="D203" s="143"/>
    </row>
    <row r="204" spans="1:4" s="13" customFormat="1" ht="30" customHeight="1" x14ac:dyDescent="0.25">
      <c r="B204" s="27"/>
      <c r="C204" s="28" t="s">
        <v>35</v>
      </c>
      <c r="D204" s="28" t="s">
        <v>2</v>
      </c>
    </row>
    <row r="205" spans="1:4" s="13" customFormat="1" ht="30" customHeight="1" x14ac:dyDescent="0.25">
      <c r="B205" s="22"/>
      <c r="C205" s="100" t="s">
        <v>98</v>
      </c>
      <c r="D205" s="100" t="s">
        <v>98</v>
      </c>
    </row>
    <row r="206" spans="1:4" ht="45" customHeight="1" x14ac:dyDescent="0.25">
      <c r="A206" s="13" t="s">
        <v>229</v>
      </c>
      <c r="B206" s="23" t="s">
        <v>230</v>
      </c>
      <c r="C206" s="23" t="s">
        <v>97</v>
      </c>
      <c r="D206" s="24" t="s">
        <v>99</v>
      </c>
    </row>
    <row r="207" spans="1:4" ht="30" customHeight="1" x14ac:dyDescent="0.25">
      <c r="B207" s="18" t="s">
        <v>231</v>
      </c>
      <c r="C207" s="101">
        <v>4</v>
      </c>
      <c r="D207" s="102">
        <v>4</v>
      </c>
    </row>
    <row r="208" spans="1:4" ht="30" customHeight="1" x14ac:dyDescent="0.25">
      <c r="B208" s="19" t="s">
        <v>232</v>
      </c>
      <c r="C208" s="103">
        <v>8015.19</v>
      </c>
      <c r="D208" s="104">
        <v>11900.85</v>
      </c>
    </row>
    <row r="209" spans="1:4" ht="45" customHeight="1" x14ac:dyDescent="0.25">
      <c r="A209" s="13" t="s">
        <v>233</v>
      </c>
      <c r="B209" s="23" t="s">
        <v>234</v>
      </c>
      <c r="C209" s="23" t="s">
        <v>220</v>
      </c>
      <c r="D209" s="24" t="s">
        <v>221</v>
      </c>
    </row>
    <row r="210" spans="1:4" ht="30" customHeight="1" x14ac:dyDescent="0.25">
      <c r="B210" s="18" t="s">
        <v>235</v>
      </c>
      <c r="C210" s="101">
        <v>4</v>
      </c>
      <c r="D210" s="102">
        <v>4</v>
      </c>
    </row>
    <row r="211" spans="1:4" ht="30" customHeight="1" x14ac:dyDescent="0.25">
      <c r="B211" s="19" t="s">
        <v>236</v>
      </c>
      <c r="C211" s="103">
        <v>5490.43</v>
      </c>
      <c r="D211" s="104">
        <v>8106.71</v>
      </c>
    </row>
    <row r="212" spans="1:4" s="13" customFormat="1" ht="45" customHeight="1" x14ac:dyDescent="0.25">
      <c r="A212" s="13" t="s">
        <v>237</v>
      </c>
      <c r="B212" s="23" t="s">
        <v>238</v>
      </c>
      <c r="C212" s="23" t="s">
        <v>222</v>
      </c>
      <c r="D212" s="24" t="s">
        <v>223</v>
      </c>
    </row>
    <row r="213" spans="1:4" s="13" customFormat="1" ht="30" customHeight="1" x14ac:dyDescent="0.25">
      <c r="B213" s="18" t="s">
        <v>239</v>
      </c>
      <c r="C213" s="101">
        <v>10</v>
      </c>
      <c r="D213" s="102">
        <v>10</v>
      </c>
    </row>
    <row r="214" spans="1:4" s="13" customFormat="1" ht="30" customHeight="1" x14ac:dyDescent="0.25">
      <c r="B214" s="19" t="s">
        <v>240</v>
      </c>
      <c r="C214" s="103">
        <v>10644.31</v>
      </c>
      <c r="D214" s="104">
        <v>15975.56</v>
      </c>
    </row>
    <row r="215" spans="1:4" s="13" customFormat="1" ht="30" customHeight="1" x14ac:dyDescent="0.25">
      <c r="B215" s="20"/>
      <c r="C215" s="20" t="s">
        <v>37</v>
      </c>
      <c r="D215" s="21" t="s">
        <v>37</v>
      </c>
    </row>
    <row r="216" spans="1:4" s="13" customFormat="1" ht="30" customHeight="1" x14ac:dyDescent="0.25">
      <c r="B216" s="18" t="s">
        <v>38</v>
      </c>
      <c r="C216" s="16">
        <f t="shared" ref="C216:D216" si="0">SUM(C208,C211,C214)</f>
        <v>24149.93</v>
      </c>
      <c r="D216" s="14">
        <f t="shared" si="0"/>
        <v>35983.120000000003</v>
      </c>
    </row>
    <row r="217" spans="1:4" s="13" customFormat="1" ht="30" customHeight="1" x14ac:dyDescent="0.25">
      <c r="B217" s="18" t="s">
        <v>39</v>
      </c>
      <c r="C217" s="16">
        <f>C216*12</f>
        <v>289799.16000000003</v>
      </c>
      <c r="D217" s="14">
        <f>D216*12</f>
        <v>431797.44000000006</v>
      </c>
    </row>
    <row r="218" spans="1:4" s="13" customFormat="1" ht="30" customHeight="1" x14ac:dyDescent="0.25">
      <c r="B218" s="18" t="s">
        <v>40</v>
      </c>
      <c r="C218" s="17" t="s">
        <v>8</v>
      </c>
      <c r="D218" s="105">
        <f>IF($C217=0,"",(D217-$C217)/$C217)</f>
        <v>0.48998858381784133</v>
      </c>
    </row>
    <row r="219" spans="1:4" s="13" customFormat="1" ht="30" customHeight="1" x14ac:dyDescent="0.25">
      <c r="B219" s="19" t="s">
        <v>41</v>
      </c>
      <c r="C219" s="17">
        <f>SUM(C207,C210,C213)</f>
        <v>18</v>
      </c>
      <c r="D219" s="15">
        <f>SUM(D207,D210,D213)</f>
        <v>18</v>
      </c>
    </row>
    <row r="220" spans="1:4" ht="4.9000000000000004" customHeight="1" x14ac:dyDescent="0.25">
      <c r="B220" s="106"/>
      <c r="C220" s="107"/>
      <c r="D220" s="107"/>
    </row>
    <row r="221" spans="1:4" ht="55.15" customHeight="1" x14ac:dyDescent="0.25">
      <c r="B221" s="140" t="s">
        <v>31</v>
      </c>
      <c r="C221" s="140"/>
      <c r="D221" s="140"/>
    </row>
  </sheetData>
  <mergeCells count="4">
    <mergeCell ref="B221:D221"/>
    <mergeCell ref="B201:D201"/>
    <mergeCell ref="B202:D202"/>
    <mergeCell ref="B203:D203"/>
  </mergeCells>
  <conditionalFormatting sqref="D218">
    <cfRule type="cellIs" dxfId="1" priority="1" operator="greaterThan">
      <formula>0</formula>
    </cfRule>
    <cfRule type="cellIs" dxfId="0" priority="2" operator="lessThan">
      <formula>0</formula>
    </cfRule>
  </conditionalFormatting>
  <printOptions horizontalCentered="1"/>
  <pageMargins left="0.25" right="0.25" top="0.25" bottom="0.25" header="0" footer="0.3"/>
  <pageSetup scale="66" fitToWidth="2" orientation="landscape" r:id="rId1"/>
  <headerFooter>
    <oddFooter>&amp;C&amp;"Tahoma,Regular"Page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A71D-F7A2-4D88-A010-71303170B860}">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51</v>
      </c>
      <c r="H5" s="57" t="s">
        <v>36</v>
      </c>
    </row>
    <row r="6" spans="1:8" s="2" customFormat="1" ht="60" x14ac:dyDescent="0.25">
      <c r="A6" s="186" t="s">
        <v>67</v>
      </c>
      <c r="B6" s="187"/>
      <c r="C6" s="187"/>
      <c r="D6" s="127">
        <v>4</v>
      </c>
      <c r="E6" s="115" t="s">
        <v>241</v>
      </c>
      <c r="F6" s="115" t="s">
        <v>258</v>
      </c>
      <c r="G6" s="116" t="s">
        <v>264</v>
      </c>
      <c r="H6" s="116" t="s">
        <v>279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4517.1400000000003</v>
      </c>
      <c r="H14" s="69">
        <v>4920.12</v>
      </c>
    </row>
    <row r="15" spans="1:8" s="2" customFormat="1" ht="14.25" x14ac:dyDescent="0.25">
      <c r="A15" s="197" t="s">
        <v>6</v>
      </c>
      <c r="B15" s="197"/>
      <c r="C15" s="197"/>
      <c r="D15" s="197"/>
      <c r="E15" s="70">
        <f>E14*12</f>
        <v>96182.28</v>
      </c>
      <c r="F15" s="70">
        <f>F14*12</f>
        <v>142810.20000000001</v>
      </c>
      <c r="G15" s="70">
        <f>G14*12</f>
        <v>54205.680000000008</v>
      </c>
      <c r="H15" s="70">
        <f>H14*12</f>
        <v>59041.440000000002</v>
      </c>
    </row>
    <row r="16" spans="1:8" s="2" customFormat="1" ht="14.25" x14ac:dyDescent="0.25">
      <c r="A16" s="197" t="s">
        <v>7</v>
      </c>
      <c r="B16" s="197"/>
      <c r="C16" s="197"/>
      <c r="D16" s="197"/>
      <c r="E16" s="71" t="s">
        <v>8</v>
      </c>
      <c r="F16" s="71">
        <f>(F15-$E15)/$E15</f>
        <v>0.48478701066350283</v>
      </c>
      <c r="G16" s="71">
        <f>(G15-$E15)/$E15</f>
        <v>-0.4364275831265384</v>
      </c>
      <c r="H16" s="71">
        <f>(H15-$E15)/$E15</f>
        <v>-0.38615054664954912</v>
      </c>
    </row>
    <row r="17" spans="1:8" s="3" customFormat="1" ht="14.25" x14ac:dyDescent="0.25">
      <c r="A17" s="195" t="s">
        <v>9</v>
      </c>
      <c r="B17" s="195"/>
      <c r="C17" s="195"/>
      <c r="D17" s="195"/>
      <c r="E17" s="72" t="s">
        <v>8</v>
      </c>
      <c r="F17" s="70">
        <f>F15-$E15</f>
        <v>46627.920000000013</v>
      </c>
      <c r="G17" s="70">
        <f>G15-$E15</f>
        <v>-41976.599999999991</v>
      </c>
      <c r="H17" s="70">
        <f>H15-$E15</f>
        <v>-37140.839999999997</v>
      </c>
    </row>
    <row r="18" spans="1:8" s="3" customFormat="1" ht="14.25" x14ac:dyDescent="0.25">
      <c r="A18" s="195" t="s">
        <v>10</v>
      </c>
      <c r="B18" s="195"/>
      <c r="C18" s="195"/>
      <c r="D18" s="195"/>
      <c r="E18" s="72" t="s">
        <v>8</v>
      </c>
      <c r="F18" s="72">
        <f>F14-$E14</f>
        <v>3885.6600000000008</v>
      </c>
      <c r="G18" s="72">
        <f>G14-$E14</f>
        <v>-3498.0499999999993</v>
      </c>
      <c r="H18" s="72">
        <f>H14-$E14</f>
        <v>-3095.0699999999997</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270</v>
      </c>
      <c r="H21" s="73" t="s">
        <v>270</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248</v>
      </c>
      <c r="F23" s="77" t="s">
        <v>248</v>
      </c>
      <c r="G23" s="77" t="s">
        <v>271</v>
      </c>
      <c r="H23" s="77" t="s">
        <v>271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274</v>
      </c>
      <c r="H25" s="79" t="s">
        <v>274</v>
      </c>
    </row>
    <row r="26" spans="1:8" s="4" customFormat="1" ht="14.25" x14ac:dyDescent="0.25">
      <c r="A26" s="153" t="s">
        <v>16</v>
      </c>
      <c r="B26" s="154"/>
      <c r="C26" s="154"/>
      <c r="D26" s="155"/>
      <c r="E26" s="81" t="s">
        <v>253</v>
      </c>
      <c r="F26" s="82" t="s">
        <v>253</v>
      </c>
      <c r="G26" s="81" t="s">
        <v>275</v>
      </c>
      <c r="H26" s="81" t="s">
        <v>275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250</v>
      </c>
      <c r="F30" s="85" t="s">
        <v>262</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276</v>
      </c>
      <c r="H32" s="84" t="s">
        <v>276</v>
      </c>
    </row>
    <row r="33" spans="1:8" s="4" customFormat="1" ht="14.25" x14ac:dyDescent="0.25">
      <c r="A33" s="144" t="s">
        <v>23</v>
      </c>
      <c r="B33" s="145"/>
      <c r="C33" s="145"/>
      <c r="D33" s="146"/>
      <c r="E33" s="81" t="s">
        <v>245</v>
      </c>
      <c r="F33" s="88" t="s">
        <v>259</v>
      </c>
      <c r="G33" s="81" t="s">
        <v>268</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267</v>
      </c>
      <c r="H35" s="84" t="s">
        <v>267</v>
      </c>
    </row>
    <row r="36" spans="1:8" s="4" customFormat="1" ht="42.75" x14ac:dyDescent="0.25">
      <c r="A36" s="144" t="s">
        <v>26</v>
      </c>
      <c r="B36" s="145"/>
      <c r="C36" s="145"/>
      <c r="D36" s="146"/>
      <c r="E36" s="77" t="s">
        <v>246</v>
      </c>
      <c r="F36" s="92" t="s">
        <v>260</v>
      </c>
      <c r="G36" s="77" t="s">
        <v>269</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IF("$7"="","None","$7")</f>
        <v>$7</v>
      </c>
      <c r="H45" s="99" t="str">
        <f>IF("$7"="","None","$7")</f>
        <v>$7</v>
      </c>
    </row>
    <row r="46" spans="1:8" s="5" customFormat="1" ht="14.25" x14ac:dyDescent="0.25">
      <c r="A46" s="150" t="s">
        <v>72</v>
      </c>
      <c r="B46" s="151"/>
      <c r="C46" s="151"/>
      <c r="D46" s="152"/>
      <c r="E46" s="99" t="str">
        <f>IF("$60"="","None","$60")</f>
        <v>$60</v>
      </c>
      <c r="F46" s="99" t="str">
        <f>IF("$60"="","None","$60")</f>
        <v>$60</v>
      </c>
      <c r="G46" s="99" t="str">
        <f>IF("50% after deductible"="","None","50% after deductible")</f>
        <v>50% after deductible</v>
      </c>
      <c r="H46" s="99" t="str">
        <f>IF("50% after deductible"="","None","50% after deductible")</f>
        <v>50% after deductible</v>
      </c>
    </row>
    <row r="47" spans="1:8" s="5" customFormat="1" ht="14.25" x14ac:dyDescent="0.25">
      <c r="A47" s="150" t="s">
        <v>73</v>
      </c>
      <c r="B47" s="151"/>
      <c r="C47" s="151"/>
      <c r="D47" s="152"/>
      <c r="E47" s="99" t="str">
        <f>IF("$90"="","None","$90")</f>
        <v>$90</v>
      </c>
      <c r="F47" s="99" t="str">
        <f>IF("$90"="","None","$90")</f>
        <v>$90</v>
      </c>
      <c r="G47" s="99" t="str">
        <f>IF("50% after deductible"="","None","50% after deductible")</f>
        <v>50% after deductible</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257</v>
      </c>
      <c r="F49" s="99" t="s">
        <v>257</v>
      </c>
      <c r="G49" s="99" t="s">
        <v>267</v>
      </c>
      <c r="H49" s="99" t="s">
        <v>267</v>
      </c>
    </row>
    <row r="50" spans="1:8" s="2" customFormat="1" ht="28.5" x14ac:dyDescent="0.25">
      <c r="A50" s="147" t="s">
        <v>27</v>
      </c>
      <c r="B50" s="148"/>
      <c r="C50" s="148"/>
      <c r="D50" s="149"/>
      <c r="E50" s="99" t="s">
        <v>256</v>
      </c>
      <c r="F50" s="99" t="s">
        <v>256</v>
      </c>
      <c r="G50" s="99" t="s">
        <v>278</v>
      </c>
      <c r="H50" s="99" t="s">
        <v>278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200-000000000000}"/>
    <hyperlink ref="F8" r:id="rId2" xr:uid="{00000000-0004-0000-0200-000001000000}"/>
    <hyperlink ref="F19" r:id="rId3" xr:uid="{00000000-0004-0000-0200-000002000000}"/>
    <hyperlink ref="G8" r:id="rId4" xr:uid="{00000000-0004-0000-0200-000003000000}"/>
    <hyperlink ref="G19" r:id="rId5" xr:uid="{00000000-0004-0000-0200-000004000000}"/>
    <hyperlink ref="H8" r:id="rId6" xr:uid="{00000000-0004-0000-0200-000005000000}"/>
    <hyperlink ref="H19" r:id="rId7" xr:uid="{00000000-0004-0000-02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120E7-433D-4FED-A35D-6D253D2A31E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47</v>
      </c>
      <c r="H5" s="57" t="s">
        <v>48</v>
      </c>
    </row>
    <row r="6" spans="1:8" s="2" customFormat="1" ht="60" x14ac:dyDescent="0.25">
      <c r="A6" s="186" t="s">
        <v>67</v>
      </c>
      <c r="B6" s="187"/>
      <c r="C6" s="187"/>
      <c r="D6" s="127">
        <v>4</v>
      </c>
      <c r="E6" s="115" t="s">
        <v>241</v>
      </c>
      <c r="F6" s="115" t="s">
        <v>258</v>
      </c>
      <c r="G6" s="116" t="s">
        <v>280</v>
      </c>
      <c r="H6" s="116" t="s">
        <v>291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4956.03</v>
      </c>
      <c r="H14" s="69">
        <v>5174.4799999999996</v>
      </c>
    </row>
    <row r="15" spans="1:8" s="2" customFormat="1" ht="14.25" x14ac:dyDescent="0.25">
      <c r="A15" s="197" t="s">
        <v>6</v>
      </c>
      <c r="B15" s="197"/>
      <c r="C15" s="197"/>
      <c r="D15" s="197"/>
      <c r="E15" s="70">
        <f>E14*12</f>
        <v>96182.28</v>
      </c>
      <c r="F15" s="70">
        <f>F14*12</f>
        <v>142810.20000000001</v>
      </c>
      <c r="G15" s="70">
        <f>G14*12</f>
        <v>59472.36</v>
      </c>
      <c r="H15" s="70">
        <f>H14*12</f>
        <v>62093.759999999995</v>
      </c>
    </row>
    <row r="16" spans="1:8" s="2" customFormat="1" ht="14.25" x14ac:dyDescent="0.25">
      <c r="A16" s="197" t="s">
        <v>7</v>
      </c>
      <c r="B16" s="197"/>
      <c r="C16" s="197"/>
      <c r="D16" s="197"/>
      <c r="E16" s="71" t="s">
        <v>8</v>
      </c>
      <c r="F16" s="71">
        <f>(F15-$E15)/$E15</f>
        <v>0.48478701066350283</v>
      </c>
      <c r="G16" s="71">
        <f>(G15-$E15)/$E15</f>
        <v>-0.38167030351120806</v>
      </c>
      <c r="H16" s="71">
        <f>(H15-$E15)/$E15</f>
        <v>-0.35441580299406505</v>
      </c>
    </row>
    <row r="17" spans="1:8" s="3" customFormat="1" ht="14.25" x14ac:dyDescent="0.25">
      <c r="A17" s="195" t="s">
        <v>9</v>
      </c>
      <c r="B17" s="195"/>
      <c r="C17" s="195"/>
      <c r="D17" s="195"/>
      <c r="E17" s="72" t="s">
        <v>8</v>
      </c>
      <c r="F17" s="70">
        <f>F15-$E15</f>
        <v>46627.920000000013</v>
      </c>
      <c r="G17" s="70">
        <f>G15-$E15</f>
        <v>-36709.919999999998</v>
      </c>
      <c r="H17" s="70">
        <f>H15-$E15</f>
        <v>-34088.520000000004</v>
      </c>
    </row>
    <row r="18" spans="1:8" s="3" customFormat="1" ht="14.25" x14ac:dyDescent="0.25">
      <c r="A18" s="195" t="s">
        <v>10</v>
      </c>
      <c r="B18" s="195"/>
      <c r="C18" s="195"/>
      <c r="D18" s="195"/>
      <c r="E18" s="72" t="s">
        <v>8</v>
      </c>
      <c r="F18" s="72">
        <f>F14-$E14</f>
        <v>3885.6600000000008</v>
      </c>
      <c r="G18" s="72">
        <f>G14-$E14</f>
        <v>-3059.16</v>
      </c>
      <c r="H18" s="72">
        <f>H14-$E14</f>
        <v>-2840.71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248</v>
      </c>
      <c r="F23" s="77" t="s">
        <v>248</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253</v>
      </c>
      <c r="F25" s="80" t="s">
        <v>253</v>
      </c>
      <c r="G25" s="79" t="s">
        <v>286</v>
      </c>
      <c r="H25" s="79" t="s">
        <v>294</v>
      </c>
    </row>
    <row r="26" spans="1:8" s="4" customFormat="1" ht="28.5" x14ac:dyDescent="0.25">
      <c r="A26" s="153" t="s">
        <v>16</v>
      </c>
      <c r="B26" s="154"/>
      <c r="C26" s="154"/>
      <c r="D26" s="155"/>
      <c r="E26" s="81" t="s">
        <v>253</v>
      </c>
      <c r="F26" s="82" t="s">
        <v>253</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250</v>
      </c>
      <c r="F30" s="85" t="s">
        <v>262</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288</v>
      </c>
      <c r="H32" s="84" t="s">
        <v>267</v>
      </c>
    </row>
    <row r="33" spans="1:8" s="4" customFormat="1" ht="28.5" x14ac:dyDescent="0.25">
      <c r="A33" s="144" t="s">
        <v>23</v>
      </c>
      <c r="B33" s="145"/>
      <c r="C33" s="145"/>
      <c r="D33" s="146"/>
      <c r="E33" s="81" t="s">
        <v>245</v>
      </c>
      <c r="F33" s="88" t="s">
        <v>259</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282</v>
      </c>
      <c r="H35" s="84" t="s">
        <v>267</v>
      </c>
    </row>
    <row r="36" spans="1:8" s="4" customFormat="1" ht="42.75" x14ac:dyDescent="0.25">
      <c r="A36" s="144" t="s">
        <v>26</v>
      </c>
      <c r="B36" s="145"/>
      <c r="C36" s="145"/>
      <c r="D36" s="146"/>
      <c r="E36" s="77" t="s">
        <v>246</v>
      </c>
      <c r="F36" s="92" t="s">
        <v>260</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257</v>
      </c>
      <c r="F49" s="99" t="s">
        <v>257</v>
      </c>
      <c r="G49" s="99" t="s">
        <v>290</v>
      </c>
      <c r="H49" s="99" t="s">
        <v>297</v>
      </c>
    </row>
    <row r="50" spans="1:8" s="2" customFormat="1" ht="42.75" x14ac:dyDescent="0.25">
      <c r="A50" s="147" t="s">
        <v>27</v>
      </c>
      <c r="B50" s="148"/>
      <c r="C50" s="148"/>
      <c r="D50" s="149"/>
      <c r="E50" s="99" t="s">
        <v>256</v>
      </c>
      <c r="F50" s="99" t="s">
        <v>256</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300-000000000000}"/>
    <hyperlink ref="F8" r:id="rId2" xr:uid="{00000000-0004-0000-0300-000001000000}"/>
    <hyperlink ref="F19" r:id="rId3" xr:uid="{00000000-0004-0000-0300-000002000000}"/>
    <hyperlink ref="G8" r:id="rId4" xr:uid="{00000000-0004-0000-0300-000003000000}"/>
    <hyperlink ref="G19" r:id="rId5" xr:uid="{00000000-0004-0000-0300-000004000000}"/>
    <hyperlink ref="H8" r:id="rId6" xr:uid="{00000000-0004-0000-0300-000005000000}"/>
    <hyperlink ref="H19" r:id="rId7" xr:uid="{00000000-0004-0000-03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752B-C79A-4434-848D-A697533943AD}">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49</v>
      </c>
      <c r="H5" s="57" t="s">
        <v>50</v>
      </c>
    </row>
    <row r="6" spans="1:8" s="2" customFormat="1" ht="60" x14ac:dyDescent="0.25">
      <c r="A6" s="186" t="s">
        <v>67</v>
      </c>
      <c r="B6" s="187"/>
      <c r="C6" s="187"/>
      <c r="D6" s="127">
        <v>4</v>
      </c>
      <c r="E6" s="115" t="s">
        <v>241</v>
      </c>
      <c r="F6" s="115" t="s">
        <v>258</v>
      </c>
      <c r="G6" s="116" t="s">
        <v>298</v>
      </c>
      <c r="H6" s="116" t="s">
        <v>299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5472.26</v>
      </c>
      <c r="H14" s="69">
        <v>5638.13</v>
      </c>
    </row>
    <row r="15" spans="1:8" s="2" customFormat="1" ht="14.25" x14ac:dyDescent="0.25">
      <c r="A15" s="197" t="s">
        <v>6</v>
      </c>
      <c r="B15" s="197"/>
      <c r="C15" s="197"/>
      <c r="D15" s="197"/>
      <c r="E15" s="70">
        <f>E14*12</f>
        <v>96182.28</v>
      </c>
      <c r="F15" s="70">
        <f>F14*12</f>
        <v>142810.20000000001</v>
      </c>
      <c r="G15" s="70">
        <f>G14*12</f>
        <v>65667.12</v>
      </c>
      <c r="H15" s="70">
        <f>H14*12</f>
        <v>67657.56</v>
      </c>
    </row>
    <row r="16" spans="1:8" s="2" customFormat="1" ht="14.25" x14ac:dyDescent="0.25">
      <c r="A16" s="197" t="s">
        <v>7</v>
      </c>
      <c r="B16" s="197"/>
      <c r="C16" s="197"/>
      <c r="D16" s="197"/>
      <c r="E16" s="71" t="s">
        <v>8</v>
      </c>
      <c r="F16" s="71">
        <f>(F15-$E15)/$E15</f>
        <v>0.48478701066350283</v>
      </c>
      <c r="G16" s="71">
        <f>(G15-$E15)/$E15</f>
        <v>-0.31726384527378643</v>
      </c>
      <c r="H16" s="71">
        <f>(H15-$E15)/$E15</f>
        <v>-0.29656938887287765</v>
      </c>
    </row>
    <row r="17" spans="1:8" s="3" customFormat="1" ht="14.25" x14ac:dyDescent="0.25">
      <c r="A17" s="195" t="s">
        <v>9</v>
      </c>
      <c r="B17" s="195"/>
      <c r="C17" s="195"/>
      <c r="D17" s="195"/>
      <c r="E17" s="72" t="s">
        <v>8</v>
      </c>
      <c r="F17" s="70">
        <f>F15-$E15</f>
        <v>46627.920000000013</v>
      </c>
      <c r="G17" s="70">
        <f>G15-$E15</f>
        <v>-30515.160000000003</v>
      </c>
      <c r="H17" s="70">
        <f>H15-$E15</f>
        <v>-28524.720000000001</v>
      </c>
    </row>
    <row r="18" spans="1:8" s="3" customFormat="1" ht="14.25" x14ac:dyDescent="0.25">
      <c r="A18" s="195" t="s">
        <v>10</v>
      </c>
      <c r="B18" s="195"/>
      <c r="C18" s="195"/>
      <c r="D18" s="195"/>
      <c r="E18" s="72" t="s">
        <v>8</v>
      </c>
      <c r="F18" s="72">
        <f>F14-$E14</f>
        <v>3885.6600000000008</v>
      </c>
      <c r="G18" s="72">
        <f>G14-$E14</f>
        <v>-2542.9299999999994</v>
      </c>
      <c r="H18" s="72">
        <f>H14-$E14</f>
        <v>-2377.0599999999995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248</v>
      </c>
      <c r="F23" s="77" t="s">
        <v>248</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253</v>
      </c>
      <c r="F25" s="80" t="s">
        <v>253</v>
      </c>
      <c r="G25" s="79" t="s">
        <v>286</v>
      </c>
      <c r="H25" s="79" t="s">
        <v>294</v>
      </c>
    </row>
    <row r="26" spans="1:8" s="4" customFormat="1" ht="28.5" x14ac:dyDescent="0.25">
      <c r="A26" s="153" t="s">
        <v>16</v>
      </c>
      <c r="B26" s="154"/>
      <c r="C26" s="154"/>
      <c r="D26" s="155"/>
      <c r="E26" s="81" t="s">
        <v>253</v>
      </c>
      <c r="F26" s="82" t="s">
        <v>253</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250</v>
      </c>
      <c r="F30" s="85" t="s">
        <v>262</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288</v>
      </c>
      <c r="H32" s="84" t="s">
        <v>267</v>
      </c>
    </row>
    <row r="33" spans="1:8" s="4" customFormat="1" ht="28.5" x14ac:dyDescent="0.25">
      <c r="A33" s="144" t="s">
        <v>23</v>
      </c>
      <c r="B33" s="145"/>
      <c r="C33" s="145"/>
      <c r="D33" s="146"/>
      <c r="E33" s="81" t="s">
        <v>245</v>
      </c>
      <c r="F33" s="88" t="s">
        <v>259</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282</v>
      </c>
      <c r="H35" s="84" t="s">
        <v>267</v>
      </c>
    </row>
    <row r="36" spans="1:8" s="4" customFormat="1" ht="42.75" x14ac:dyDescent="0.25">
      <c r="A36" s="144" t="s">
        <v>26</v>
      </c>
      <c r="B36" s="145"/>
      <c r="C36" s="145"/>
      <c r="D36" s="146"/>
      <c r="E36" s="77" t="s">
        <v>246</v>
      </c>
      <c r="F36" s="92" t="s">
        <v>260</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257</v>
      </c>
      <c r="F49" s="99" t="s">
        <v>257</v>
      </c>
      <c r="G49" s="99" t="s">
        <v>290</v>
      </c>
      <c r="H49" s="99" t="s">
        <v>297</v>
      </c>
    </row>
    <row r="50" spans="1:8" s="2" customFormat="1" ht="42.75" x14ac:dyDescent="0.25">
      <c r="A50" s="147" t="s">
        <v>27</v>
      </c>
      <c r="B50" s="148"/>
      <c r="C50" s="148"/>
      <c r="D50" s="149"/>
      <c r="E50" s="99" t="s">
        <v>256</v>
      </c>
      <c r="F50" s="99" t="s">
        <v>256</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400-000000000000}"/>
    <hyperlink ref="F8" r:id="rId2" xr:uid="{00000000-0004-0000-0400-000001000000}"/>
    <hyperlink ref="F19" r:id="rId3" xr:uid="{00000000-0004-0000-0400-000002000000}"/>
    <hyperlink ref="G8" r:id="rId4" xr:uid="{00000000-0004-0000-0400-000003000000}"/>
    <hyperlink ref="G19" r:id="rId5" xr:uid="{00000000-0004-0000-0400-000004000000}"/>
    <hyperlink ref="H8" r:id="rId6" xr:uid="{00000000-0004-0000-0400-000005000000}"/>
    <hyperlink ref="H19" r:id="rId7" xr:uid="{00000000-0004-0000-04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3890-63DB-4521-A0CD-7C835677BD12}">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153</v>
      </c>
      <c r="H5" s="57" t="s">
        <v>155</v>
      </c>
    </row>
    <row r="6" spans="1:8" s="2" customFormat="1" ht="60" x14ac:dyDescent="0.25">
      <c r="A6" s="186" t="s">
        <v>67</v>
      </c>
      <c r="B6" s="187"/>
      <c r="C6" s="187"/>
      <c r="D6" s="127">
        <v>4</v>
      </c>
      <c r="E6" s="115" t="s">
        <v>241</v>
      </c>
      <c r="F6" s="115" t="s">
        <v>258</v>
      </c>
      <c r="G6" s="116" t="s">
        <v>300</v>
      </c>
      <c r="H6" s="116" t="s">
        <v>301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5713.26</v>
      </c>
      <c r="H14" s="69">
        <v>6224.94</v>
      </c>
    </row>
    <row r="15" spans="1:8" s="2" customFormat="1" ht="14.25" x14ac:dyDescent="0.25">
      <c r="A15" s="197" t="s">
        <v>6</v>
      </c>
      <c r="B15" s="197"/>
      <c r="C15" s="197"/>
      <c r="D15" s="197"/>
      <c r="E15" s="70">
        <f>E14*12</f>
        <v>96182.28</v>
      </c>
      <c r="F15" s="70">
        <f>F14*12</f>
        <v>142810.20000000001</v>
      </c>
      <c r="G15" s="70">
        <f>G14*12</f>
        <v>68559.12</v>
      </c>
      <c r="H15" s="70">
        <f>H14*12</f>
        <v>74699.28</v>
      </c>
    </row>
    <row r="16" spans="1:8" s="2" customFormat="1" ht="14.25" x14ac:dyDescent="0.25">
      <c r="A16" s="197" t="s">
        <v>7</v>
      </c>
      <c r="B16" s="197"/>
      <c r="C16" s="197"/>
      <c r="D16" s="197"/>
      <c r="E16" s="71" t="s">
        <v>8</v>
      </c>
      <c r="F16" s="71">
        <f>(F15-$E15)/$E15</f>
        <v>0.48478701066350283</v>
      </c>
      <c r="G16" s="71">
        <f>(G15-$E15)/$E15</f>
        <v>-0.28719593671516214</v>
      </c>
      <c r="H16" s="71">
        <f>(H15-$E15)/$E15</f>
        <v>-0.22335715061027875</v>
      </c>
    </row>
    <row r="17" spans="1:8" s="3" customFormat="1" ht="14.25" x14ac:dyDescent="0.25">
      <c r="A17" s="195" t="s">
        <v>9</v>
      </c>
      <c r="B17" s="195"/>
      <c r="C17" s="195"/>
      <c r="D17" s="195"/>
      <c r="E17" s="72" t="s">
        <v>8</v>
      </c>
      <c r="F17" s="70">
        <f>F15-$E15</f>
        <v>46627.920000000013</v>
      </c>
      <c r="G17" s="70">
        <f>G15-$E15</f>
        <v>-27623.160000000003</v>
      </c>
      <c r="H17" s="70">
        <f>H15-$E15</f>
        <v>-21483</v>
      </c>
    </row>
    <row r="18" spans="1:8" s="3" customFormat="1" ht="14.25" x14ac:dyDescent="0.25">
      <c r="A18" s="195" t="s">
        <v>10</v>
      </c>
      <c r="B18" s="195"/>
      <c r="C18" s="195"/>
      <c r="D18" s="195"/>
      <c r="E18" s="72" t="s">
        <v>8</v>
      </c>
      <c r="F18" s="72">
        <f>F14-$E14</f>
        <v>3885.6600000000008</v>
      </c>
      <c r="G18" s="72">
        <f>G14-$E14</f>
        <v>-2301.9299999999994</v>
      </c>
      <c r="H18" s="72">
        <f>H14-$E14</f>
        <v>-1790.25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248</v>
      </c>
      <c r="F23" s="77" t="s">
        <v>248</v>
      </c>
      <c r="G23" s="77" t="s">
        <v>285</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267</v>
      </c>
      <c r="H25" s="79" t="s">
        <v>267</v>
      </c>
    </row>
    <row r="26" spans="1:8" s="4" customFormat="1" ht="14.25" x14ac:dyDescent="0.25">
      <c r="A26" s="153" t="s">
        <v>16</v>
      </c>
      <c r="B26" s="154"/>
      <c r="C26" s="154"/>
      <c r="D26" s="155"/>
      <c r="E26" s="81" t="s">
        <v>253</v>
      </c>
      <c r="F26" s="82" t="s">
        <v>253</v>
      </c>
      <c r="G26" s="81" t="s">
        <v>267</v>
      </c>
      <c r="H26" s="81" t="s">
        <v>267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250</v>
      </c>
      <c r="F30" s="85" t="s">
        <v>262</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267</v>
      </c>
      <c r="H32" s="84" t="s">
        <v>267</v>
      </c>
    </row>
    <row r="33" spans="1:8" s="4" customFormat="1" ht="14.25" x14ac:dyDescent="0.25">
      <c r="A33" s="144" t="s">
        <v>23</v>
      </c>
      <c r="B33" s="145"/>
      <c r="C33" s="145"/>
      <c r="D33" s="146"/>
      <c r="E33" s="81" t="s">
        <v>245</v>
      </c>
      <c r="F33" s="88" t="s">
        <v>259</v>
      </c>
      <c r="G33" s="81" t="s">
        <v>267</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267</v>
      </c>
      <c r="H35" s="84" t="s">
        <v>267</v>
      </c>
    </row>
    <row r="36" spans="1:8" s="4" customFormat="1" ht="28.5" x14ac:dyDescent="0.25">
      <c r="A36" s="144" t="s">
        <v>26</v>
      </c>
      <c r="B36" s="145"/>
      <c r="C36" s="145"/>
      <c r="D36" s="146"/>
      <c r="E36" s="77" t="s">
        <v>246</v>
      </c>
      <c r="F36" s="92" t="s">
        <v>260</v>
      </c>
      <c r="G36" s="77" t="s">
        <v>272</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 t="shared" ref="G45:H48" si="0">IF("50% after deductible - $125 max"="","None","50% after deductible - $125 max")</f>
        <v>50% after deductible - $125 max</v>
      </c>
      <c r="H45" s="99" t="str">
        <f t="shared" si="0"/>
        <v>50% after deductible - $125 max</v>
      </c>
    </row>
    <row r="46" spans="1:8" s="5" customFormat="1" ht="14.25" x14ac:dyDescent="0.25">
      <c r="A46" s="150" t="s">
        <v>72</v>
      </c>
      <c r="B46" s="151"/>
      <c r="C46" s="151"/>
      <c r="D46" s="152"/>
      <c r="E46" s="99" t="str">
        <f>IF("$60"="","None","$60")</f>
        <v>$60</v>
      </c>
      <c r="F46" s="99" t="str">
        <f>IF("$60"="","None","$60")</f>
        <v>$60</v>
      </c>
      <c r="G46" s="99" t="str">
        <f t="shared" si="0"/>
        <v>50% after deductible - $125 max</v>
      </c>
      <c r="H46" s="99" t="str">
        <f t="shared" si="0"/>
        <v>50% after deductible - $125 max</v>
      </c>
    </row>
    <row r="47" spans="1:8" s="5" customFormat="1" ht="14.25" x14ac:dyDescent="0.25">
      <c r="A47" s="150" t="s">
        <v>73</v>
      </c>
      <c r="B47" s="151"/>
      <c r="C47" s="151"/>
      <c r="D47" s="152"/>
      <c r="E47" s="99" t="str">
        <f>IF("$90"="","None","$90")</f>
        <v>$90</v>
      </c>
      <c r="F47" s="99" t="str">
        <f>IF("$90"="","None","$90")</f>
        <v>$90</v>
      </c>
      <c r="G47" s="99" t="str">
        <f t="shared" si="0"/>
        <v>50% after deductible - $125 max</v>
      </c>
      <c r="H47" s="99" t="str">
        <f t="shared" si="0"/>
        <v>50% after deductible - $125 max</v>
      </c>
    </row>
    <row r="48" spans="1:8" s="5" customFormat="1" ht="14.25" x14ac:dyDescent="0.25">
      <c r="A48" s="150" t="s">
        <v>74</v>
      </c>
      <c r="B48" s="151"/>
      <c r="C48" s="151"/>
      <c r="D48" s="152"/>
      <c r="E48" s="99" t="str">
        <f>IF("None"="","None","None")</f>
        <v>None</v>
      </c>
      <c r="F48" s="99" t="str">
        <f>IF("None"="","None","None")</f>
        <v>None</v>
      </c>
      <c r="G48" s="99" t="str">
        <f t="shared" si="0"/>
        <v>50% after deductible - $125 max</v>
      </c>
      <c r="H48" s="99" t="str">
        <f t="shared" si="0"/>
        <v>50% after deductible - $125 max</v>
      </c>
    </row>
    <row r="49" spans="1:8" s="5" customFormat="1" ht="28.5" x14ac:dyDescent="0.25">
      <c r="A49" s="147" t="s">
        <v>75</v>
      </c>
      <c r="B49" s="148"/>
      <c r="C49" s="148"/>
      <c r="D49" s="149"/>
      <c r="E49" s="99" t="s">
        <v>257</v>
      </c>
      <c r="F49" s="99" t="s">
        <v>257</v>
      </c>
      <c r="G49" s="99" t="s">
        <v>290</v>
      </c>
      <c r="H49" s="99" t="s">
        <v>290</v>
      </c>
    </row>
    <row r="50" spans="1:8" s="2" customFormat="1" ht="14.25" x14ac:dyDescent="0.25">
      <c r="A50" s="147" t="s">
        <v>27</v>
      </c>
      <c r="B50" s="148"/>
      <c r="C50" s="148"/>
      <c r="D50" s="149"/>
      <c r="E50" s="99" t="s">
        <v>256</v>
      </c>
      <c r="F50" s="99" t="s">
        <v>256</v>
      </c>
      <c r="G50" s="99" t="s">
        <v>289</v>
      </c>
      <c r="H50" s="99" t="s">
        <v>289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500-000000000000}"/>
    <hyperlink ref="F8" r:id="rId2" xr:uid="{00000000-0004-0000-0500-000001000000}"/>
    <hyperlink ref="F19" r:id="rId3" xr:uid="{00000000-0004-0000-0500-000002000000}"/>
    <hyperlink ref="G8" r:id="rId4" xr:uid="{00000000-0004-0000-0500-000003000000}"/>
    <hyperlink ref="G19" r:id="rId5" xr:uid="{00000000-0004-0000-0500-000004000000}"/>
    <hyperlink ref="H8" r:id="rId6" xr:uid="{00000000-0004-0000-0500-000005000000}"/>
    <hyperlink ref="H19" r:id="rId7" xr:uid="{00000000-0004-0000-05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9575-AC15-4A19-AEDE-5998E8857FB6}">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157</v>
      </c>
      <c r="H5" s="57" t="s">
        <v>159</v>
      </c>
    </row>
    <row r="6" spans="1:8" s="2" customFormat="1" ht="45" x14ac:dyDescent="0.25">
      <c r="A6" s="186" t="s">
        <v>67</v>
      </c>
      <c r="B6" s="187"/>
      <c r="C6" s="187"/>
      <c r="D6" s="127">
        <v>4</v>
      </c>
      <c r="E6" s="115" t="s">
        <v>241</v>
      </c>
      <c r="F6" s="115" t="s">
        <v>258</v>
      </c>
      <c r="G6" s="116" t="s">
        <v>302</v>
      </c>
      <c r="H6" s="116" t="s">
        <v>309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7011.06</v>
      </c>
      <c r="H14" s="69">
        <v>7257.31</v>
      </c>
    </row>
    <row r="15" spans="1:8" s="2" customFormat="1" ht="14.25" x14ac:dyDescent="0.25">
      <c r="A15" s="197" t="s">
        <v>6</v>
      </c>
      <c r="B15" s="197"/>
      <c r="C15" s="197"/>
      <c r="D15" s="197"/>
      <c r="E15" s="70">
        <f>E14*12</f>
        <v>96182.28</v>
      </c>
      <c r="F15" s="70">
        <f>F14*12</f>
        <v>142810.20000000001</v>
      </c>
      <c r="G15" s="70">
        <f>G14*12</f>
        <v>84132.72</v>
      </c>
      <c r="H15" s="70">
        <f>H14*12</f>
        <v>87087.72</v>
      </c>
    </row>
    <row r="16" spans="1:8" s="2" customFormat="1" ht="14.25" x14ac:dyDescent="0.25">
      <c r="A16" s="197" t="s">
        <v>7</v>
      </c>
      <c r="B16" s="197"/>
      <c r="C16" s="197"/>
      <c r="D16" s="197"/>
      <c r="E16" s="71" t="s">
        <v>8</v>
      </c>
      <c r="F16" s="71">
        <f>(F15-$E15)/$E15</f>
        <v>0.48478701066350283</v>
      </c>
      <c r="G16" s="71">
        <f>(G15-$E15)/$E15</f>
        <v>-0.12527837768037936</v>
      </c>
      <c r="H16" s="71">
        <f>(H15-$E15)/$E15</f>
        <v>-9.4555462814980035E-2</v>
      </c>
    </row>
    <row r="17" spans="1:8" s="3" customFormat="1" ht="14.25" x14ac:dyDescent="0.25">
      <c r="A17" s="195" t="s">
        <v>9</v>
      </c>
      <c r="B17" s="195"/>
      <c r="C17" s="195"/>
      <c r="D17" s="195"/>
      <c r="E17" s="72" t="s">
        <v>8</v>
      </c>
      <c r="F17" s="70">
        <f>F15-$E15</f>
        <v>46627.920000000013</v>
      </c>
      <c r="G17" s="70">
        <f>G15-$E15</f>
        <v>-12049.559999999998</v>
      </c>
      <c r="H17" s="70">
        <f>H15-$E15</f>
        <v>-9094.5599999999977</v>
      </c>
    </row>
    <row r="18" spans="1:8" s="3" customFormat="1" ht="14.25" x14ac:dyDescent="0.25">
      <c r="A18" s="195" t="s">
        <v>10</v>
      </c>
      <c r="B18" s="195"/>
      <c r="C18" s="195"/>
      <c r="D18" s="195"/>
      <c r="E18" s="72" t="s">
        <v>8</v>
      </c>
      <c r="F18" s="72">
        <f>F14-$E14</f>
        <v>3885.6600000000008</v>
      </c>
      <c r="G18" s="72">
        <f>G14-$E14</f>
        <v>-1004.1299999999992</v>
      </c>
      <c r="H18" s="72">
        <f>H14-$E14</f>
        <v>-757.8799999999992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243</v>
      </c>
    </row>
    <row r="23" spans="1:8" s="4" customFormat="1" ht="14.25" x14ac:dyDescent="0.25">
      <c r="A23" s="153" t="s">
        <v>13</v>
      </c>
      <c r="B23" s="154"/>
      <c r="C23" s="154"/>
      <c r="D23" s="155"/>
      <c r="E23" s="76" t="s">
        <v>248</v>
      </c>
      <c r="F23" s="77" t="s">
        <v>248</v>
      </c>
      <c r="G23" s="77" t="s">
        <v>303</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274</v>
      </c>
      <c r="H25" s="79" t="s">
        <v>273</v>
      </c>
    </row>
    <row r="26" spans="1:8" s="4" customFormat="1" ht="14.25" x14ac:dyDescent="0.25">
      <c r="A26" s="153" t="s">
        <v>16</v>
      </c>
      <c r="B26" s="154"/>
      <c r="C26" s="154"/>
      <c r="D26" s="155"/>
      <c r="E26" s="81" t="s">
        <v>253</v>
      </c>
      <c r="F26" s="82" t="s">
        <v>253</v>
      </c>
      <c r="G26" s="81" t="s">
        <v>307</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306</v>
      </c>
      <c r="H29" s="84" t="s">
        <v>273</v>
      </c>
    </row>
    <row r="30" spans="1:8" s="4" customFormat="1" ht="28.5" x14ac:dyDescent="0.25">
      <c r="A30" s="153" t="s">
        <v>20</v>
      </c>
      <c r="B30" s="154"/>
      <c r="C30" s="154"/>
      <c r="D30" s="155"/>
      <c r="E30" s="77" t="s">
        <v>250</v>
      </c>
      <c r="F30" s="85" t="s">
        <v>262</v>
      </c>
      <c r="G30" s="81" t="s">
        <v>304</v>
      </c>
      <c r="H30" s="81" t="s">
        <v>311</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275</v>
      </c>
      <c r="H32" s="84" t="s">
        <v>273</v>
      </c>
    </row>
    <row r="33" spans="1:8" s="4" customFormat="1" ht="14.25" x14ac:dyDescent="0.25">
      <c r="A33" s="144" t="s">
        <v>23</v>
      </c>
      <c r="B33" s="145"/>
      <c r="C33" s="145"/>
      <c r="D33" s="146"/>
      <c r="E33" s="81" t="s">
        <v>245</v>
      </c>
      <c r="F33" s="88" t="s">
        <v>259</v>
      </c>
      <c r="G33" s="81" t="s">
        <v>268</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305</v>
      </c>
      <c r="H35" s="84" t="s">
        <v>312</v>
      </c>
    </row>
    <row r="36" spans="1:8" s="4" customFormat="1" ht="42.75" x14ac:dyDescent="0.25">
      <c r="A36" s="144" t="s">
        <v>26</v>
      </c>
      <c r="B36" s="145"/>
      <c r="C36" s="145"/>
      <c r="D36" s="146"/>
      <c r="E36" s="77" t="s">
        <v>246</v>
      </c>
      <c r="F36" s="92" t="s">
        <v>260</v>
      </c>
      <c r="G36" s="77" t="s">
        <v>272</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IF("$10"="","None","$10")</f>
        <v>$10</v>
      </c>
      <c r="H45" s="99" t="str">
        <f>IF("$25 after deductible"="","None","$25 after deductible")</f>
        <v>$25 after deductible</v>
      </c>
    </row>
    <row r="46" spans="1:8" s="5" customFormat="1" ht="14.25" x14ac:dyDescent="0.25">
      <c r="A46" s="150" t="s">
        <v>72</v>
      </c>
      <c r="B46" s="151"/>
      <c r="C46" s="151"/>
      <c r="D46" s="152"/>
      <c r="E46" s="99" t="str">
        <f>IF("$60"="","None","$60")</f>
        <v>$60</v>
      </c>
      <c r="F46" s="99" t="str">
        <f>IF("$60"="","None","$60")</f>
        <v>$60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IF("50%"="","None","50%")</f>
        <v>50%</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266</v>
      </c>
      <c r="H49" s="99" t="s">
        <v>290</v>
      </c>
    </row>
    <row r="50" spans="1:8" s="2" customFormat="1" ht="28.5" x14ac:dyDescent="0.25">
      <c r="A50" s="147" t="s">
        <v>27</v>
      </c>
      <c r="B50" s="148"/>
      <c r="C50" s="148"/>
      <c r="D50" s="149"/>
      <c r="E50" s="99" t="s">
        <v>256</v>
      </c>
      <c r="F50" s="99" t="s">
        <v>256</v>
      </c>
      <c r="G50" s="99" t="s">
        <v>308</v>
      </c>
      <c r="H50" s="99" t="s">
        <v>313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600-000000000000}"/>
    <hyperlink ref="F8" r:id="rId2" xr:uid="{00000000-0004-0000-0600-000001000000}"/>
    <hyperlink ref="F19" r:id="rId3" xr:uid="{00000000-0004-0000-0600-000002000000}"/>
    <hyperlink ref="G8" r:id="rId4" xr:uid="{00000000-0004-0000-0600-000003000000}"/>
    <hyperlink ref="G19" r:id="rId5" xr:uid="{00000000-0004-0000-0600-000004000000}"/>
    <hyperlink ref="H8" r:id="rId6" xr:uid="{00000000-0004-0000-0600-000005000000}"/>
    <hyperlink ref="H19" r:id="rId7" xr:uid="{00000000-0004-0000-06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EB73-E2FF-4F6D-9F31-4EC1F7134420}">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161</v>
      </c>
      <c r="H5" s="57" t="s">
        <v>163</v>
      </c>
    </row>
    <row r="6" spans="1:8" s="2" customFormat="1" ht="60" x14ac:dyDescent="0.25">
      <c r="A6" s="186" t="s">
        <v>67</v>
      </c>
      <c r="B6" s="187"/>
      <c r="C6" s="187"/>
      <c r="D6" s="127">
        <v>4</v>
      </c>
      <c r="E6" s="115" t="s">
        <v>241</v>
      </c>
      <c r="F6" s="115" t="s">
        <v>258</v>
      </c>
      <c r="G6" s="116" t="s">
        <v>314</v>
      </c>
      <c r="H6" s="116" t="s">
        <v>323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7524.14</v>
      </c>
      <c r="H14" s="69">
        <v>7639.38</v>
      </c>
    </row>
    <row r="15" spans="1:8" s="2" customFormat="1" ht="14.25" x14ac:dyDescent="0.25">
      <c r="A15" s="197" t="s">
        <v>6</v>
      </c>
      <c r="B15" s="197"/>
      <c r="C15" s="197"/>
      <c r="D15" s="197"/>
      <c r="E15" s="70">
        <f>E14*12</f>
        <v>96182.28</v>
      </c>
      <c r="F15" s="70">
        <f>F14*12</f>
        <v>142810.20000000001</v>
      </c>
      <c r="G15" s="70">
        <f>G14*12</f>
        <v>90289.680000000008</v>
      </c>
      <c r="H15" s="70">
        <f>H14*12</f>
        <v>91672.56</v>
      </c>
    </row>
    <row r="16" spans="1:8" s="2" customFormat="1" ht="14.25" x14ac:dyDescent="0.25">
      <c r="A16" s="197" t="s">
        <v>7</v>
      </c>
      <c r="B16" s="197"/>
      <c r="C16" s="197"/>
      <c r="D16" s="197"/>
      <c r="E16" s="71" t="s">
        <v>8</v>
      </c>
      <c r="F16" s="71">
        <f>(F15-$E15)/$E15</f>
        <v>0.48478701066350283</v>
      </c>
      <c r="G16" s="71">
        <f>(G15-$E15)/$E15</f>
        <v>-6.1264923227022601E-2</v>
      </c>
      <c r="H16" s="71">
        <f>(H15-$E15)/$E15</f>
        <v>-4.688722288554608E-2</v>
      </c>
    </row>
    <row r="17" spans="1:8" s="3" customFormat="1" ht="14.25" x14ac:dyDescent="0.25">
      <c r="A17" s="195" t="s">
        <v>9</v>
      </c>
      <c r="B17" s="195"/>
      <c r="C17" s="195"/>
      <c r="D17" s="195"/>
      <c r="E17" s="72" t="s">
        <v>8</v>
      </c>
      <c r="F17" s="70">
        <f>F15-$E15</f>
        <v>46627.920000000013</v>
      </c>
      <c r="G17" s="70">
        <f>G15-$E15</f>
        <v>-5892.5999999999913</v>
      </c>
      <c r="H17" s="70">
        <f>H15-$E15</f>
        <v>-4509.7200000000012</v>
      </c>
    </row>
    <row r="18" spans="1:8" s="3" customFormat="1" ht="14.25" x14ac:dyDescent="0.25">
      <c r="A18" s="195" t="s">
        <v>10</v>
      </c>
      <c r="B18" s="195"/>
      <c r="C18" s="195"/>
      <c r="D18" s="195"/>
      <c r="E18" s="72" t="s">
        <v>8</v>
      </c>
      <c r="F18" s="72">
        <f>F14-$E14</f>
        <v>3885.6600000000008</v>
      </c>
      <c r="G18" s="72">
        <f>G14-$E14</f>
        <v>-491.04999999999927</v>
      </c>
      <c r="H18" s="72">
        <f>H14-$E14</f>
        <v>-375.80999999999949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318</v>
      </c>
      <c r="H21" s="73" t="s">
        <v>284</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248</v>
      </c>
      <c r="F23" s="77" t="s">
        <v>248</v>
      </c>
      <c r="G23" s="77" t="s">
        <v>319</v>
      </c>
      <c r="H23" s="77" t="s">
        <v>303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321</v>
      </c>
      <c r="H25" s="79" t="s">
        <v>274</v>
      </c>
    </row>
    <row r="26" spans="1:8" s="4" customFormat="1" ht="14.25" x14ac:dyDescent="0.25">
      <c r="A26" s="153" t="s">
        <v>16</v>
      </c>
      <c r="B26" s="154"/>
      <c r="C26" s="154"/>
      <c r="D26" s="155"/>
      <c r="E26" s="81" t="s">
        <v>253</v>
      </c>
      <c r="F26" s="82" t="s">
        <v>253</v>
      </c>
      <c r="G26" s="81" t="s">
        <v>307</v>
      </c>
      <c r="H26" s="81" t="s">
        <v>307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251</v>
      </c>
    </row>
    <row r="29" spans="1:8" s="4" customFormat="1" ht="14.25" x14ac:dyDescent="0.25">
      <c r="A29" s="144" t="s">
        <v>19</v>
      </c>
      <c r="B29" s="145"/>
      <c r="C29" s="145"/>
      <c r="D29" s="146"/>
      <c r="E29" s="84" t="s">
        <v>251</v>
      </c>
      <c r="F29" s="80" t="s">
        <v>251</v>
      </c>
      <c r="G29" s="84" t="s">
        <v>267</v>
      </c>
      <c r="H29" s="84" t="s">
        <v>306</v>
      </c>
    </row>
    <row r="30" spans="1:8" s="4" customFormat="1" ht="28.5" x14ac:dyDescent="0.25">
      <c r="A30" s="153" t="s">
        <v>20</v>
      </c>
      <c r="B30" s="154"/>
      <c r="C30" s="154"/>
      <c r="D30" s="155"/>
      <c r="E30" s="77" t="s">
        <v>250</v>
      </c>
      <c r="F30" s="85" t="s">
        <v>262</v>
      </c>
      <c r="G30" s="81" t="s">
        <v>272</v>
      </c>
      <c r="H30" s="81" t="s">
        <v>304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275</v>
      </c>
      <c r="H32" s="84" t="s">
        <v>275</v>
      </c>
    </row>
    <row r="33" spans="1:8" s="4" customFormat="1" ht="28.5" x14ac:dyDescent="0.25">
      <c r="A33" s="144" t="s">
        <v>23</v>
      </c>
      <c r="B33" s="145"/>
      <c r="C33" s="145"/>
      <c r="D33" s="146"/>
      <c r="E33" s="81" t="s">
        <v>245</v>
      </c>
      <c r="F33" s="88" t="s">
        <v>259</v>
      </c>
      <c r="G33" s="81" t="s">
        <v>316</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320</v>
      </c>
      <c r="H35" s="84" t="s">
        <v>305</v>
      </c>
    </row>
    <row r="36" spans="1:8" s="4" customFormat="1" ht="42.75" x14ac:dyDescent="0.25">
      <c r="A36" s="144" t="s">
        <v>26</v>
      </c>
      <c r="B36" s="145"/>
      <c r="C36" s="145"/>
      <c r="D36" s="146"/>
      <c r="E36" s="77" t="s">
        <v>246</v>
      </c>
      <c r="F36" s="92" t="s">
        <v>260</v>
      </c>
      <c r="G36" s="77" t="s">
        <v>317</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255</v>
      </c>
    </row>
    <row r="45" spans="1:8" s="5" customFormat="1" ht="14.25" x14ac:dyDescent="0.25">
      <c r="A45" s="150" t="s">
        <v>71</v>
      </c>
      <c r="B45" s="151"/>
      <c r="C45" s="151"/>
      <c r="D45" s="152"/>
      <c r="E45" s="99" t="str">
        <f>IF("$10"="","None","$10")</f>
        <v>$10</v>
      </c>
      <c r="F45" s="99" t="str">
        <f>IF("$10"="","None","$10")</f>
        <v>$10</v>
      </c>
      <c r="G45" s="99" t="str">
        <f>IF("$20"="","None","$20")</f>
        <v>$20</v>
      </c>
      <c r="H45" s="99" t="str">
        <f>IF("$10"="","None","$10")</f>
        <v>$10</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IF("50%"="","None","50%")</f>
        <v>50%</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290</v>
      </c>
      <c r="H49" s="99" t="s">
        <v>266</v>
      </c>
    </row>
    <row r="50" spans="1:8" s="2" customFormat="1" ht="42.75" x14ac:dyDescent="0.25">
      <c r="A50" s="147" t="s">
        <v>27</v>
      </c>
      <c r="B50" s="148"/>
      <c r="C50" s="148"/>
      <c r="D50" s="149"/>
      <c r="E50" s="99" t="s">
        <v>256</v>
      </c>
      <c r="F50" s="99" t="s">
        <v>256</v>
      </c>
      <c r="G50" s="99" t="s">
        <v>322</v>
      </c>
      <c r="H50" s="99" t="s">
        <v>308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700-000000000000}"/>
    <hyperlink ref="F8" r:id="rId2" xr:uid="{00000000-0004-0000-0700-000001000000}"/>
    <hyperlink ref="F19" r:id="rId3" xr:uid="{00000000-0004-0000-0700-000002000000}"/>
    <hyperlink ref="G8" r:id="rId4" xr:uid="{00000000-0004-0000-0700-000003000000}"/>
    <hyperlink ref="G19" r:id="rId5" xr:uid="{00000000-0004-0000-0700-000004000000}"/>
    <hyperlink ref="H8" r:id="rId6" xr:uid="{00000000-0004-0000-0700-000005000000}"/>
    <hyperlink ref="H19" r:id="rId7" xr:uid="{00000000-0004-0000-07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D44-D87F-40BE-A41F-56F00FC34DC0}">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165</v>
      </c>
      <c r="H5" s="57" t="s">
        <v>168</v>
      </c>
    </row>
    <row r="6" spans="1:8" s="2" customFormat="1" ht="60" x14ac:dyDescent="0.25">
      <c r="A6" s="186" t="s">
        <v>67</v>
      </c>
      <c r="B6" s="187"/>
      <c r="C6" s="187"/>
      <c r="D6" s="127">
        <v>4</v>
      </c>
      <c r="E6" s="115" t="s">
        <v>241</v>
      </c>
      <c r="F6" s="115" t="s">
        <v>258</v>
      </c>
      <c r="G6" s="116" t="s">
        <v>324</v>
      </c>
      <c r="H6" s="116" t="s">
        <v>325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7907.45</v>
      </c>
      <c r="H14" s="69">
        <v>9047.09</v>
      </c>
    </row>
    <row r="15" spans="1:8" s="2" customFormat="1" ht="14.25" x14ac:dyDescent="0.25">
      <c r="A15" s="197" t="s">
        <v>6</v>
      </c>
      <c r="B15" s="197"/>
      <c r="C15" s="197"/>
      <c r="D15" s="197"/>
      <c r="E15" s="70">
        <f>E14*12</f>
        <v>96182.28</v>
      </c>
      <c r="F15" s="70">
        <f>F14*12</f>
        <v>142810.20000000001</v>
      </c>
      <c r="G15" s="70">
        <f>G14*12</f>
        <v>94889.4</v>
      </c>
      <c r="H15" s="70">
        <f>H14*12</f>
        <v>108565.08</v>
      </c>
    </row>
    <row r="16" spans="1:8" s="2" customFormat="1" ht="14.25" x14ac:dyDescent="0.25">
      <c r="A16" s="197" t="s">
        <v>7</v>
      </c>
      <c r="B16" s="197"/>
      <c r="C16" s="197"/>
      <c r="D16" s="197"/>
      <c r="E16" s="71" t="s">
        <v>8</v>
      </c>
      <c r="F16" s="71">
        <f>(F15-$E15)/$E15</f>
        <v>0.48478701066350283</v>
      </c>
      <c r="G16" s="71">
        <f>(G15-$E15)/$E15</f>
        <v>-1.3441977046083797E-2</v>
      </c>
      <c r="H16" s="71">
        <f>(H15-$E15)/$E15</f>
        <v>0.12874304913545409</v>
      </c>
    </row>
    <row r="17" spans="1:8" s="3" customFormat="1" ht="14.25" x14ac:dyDescent="0.25">
      <c r="A17" s="195" t="s">
        <v>9</v>
      </c>
      <c r="B17" s="195"/>
      <c r="C17" s="195"/>
      <c r="D17" s="195"/>
      <c r="E17" s="72" t="s">
        <v>8</v>
      </c>
      <c r="F17" s="70">
        <f>F15-$E15</f>
        <v>46627.920000000013</v>
      </c>
      <c r="G17" s="70">
        <f>G15-$E15</f>
        <v>-1292.8800000000047</v>
      </c>
      <c r="H17" s="70">
        <f>H15-$E15</f>
        <v>12382.800000000003</v>
      </c>
    </row>
    <row r="18" spans="1:8" s="3" customFormat="1" ht="14.25" x14ac:dyDescent="0.25">
      <c r="A18" s="195" t="s">
        <v>10</v>
      </c>
      <c r="B18" s="195"/>
      <c r="C18" s="195"/>
      <c r="D18" s="195"/>
      <c r="E18" s="72" t="s">
        <v>8</v>
      </c>
      <c r="F18" s="72">
        <f>F14-$E14</f>
        <v>3885.6600000000008</v>
      </c>
      <c r="G18" s="72">
        <f>G14-$E14</f>
        <v>-107.73999999999978</v>
      </c>
      <c r="H18" s="72">
        <f>H14-$E14</f>
        <v>1031.9000000000005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284</v>
      </c>
      <c r="H21" s="73" t="s">
        <v>328</v>
      </c>
    </row>
    <row r="22" spans="1:8" s="4" customFormat="1" ht="14.25" x14ac:dyDescent="0.25">
      <c r="A22" s="144" t="s">
        <v>12</v>
      </c>
      <c r="B22" s="145"/>
      <c r="C22" s="145"/>
      <c r="D22" s="146"/>
      <c r="E22" s="74" t="s">
        <v>243</v>
      </c>
      <c r="F22" s="75" t="s">
        <v>243</v>
      </c>
      <c r="G22" s="75" t="s">
        <v>243</v>
      </c>
      <c r="H22" s="75" t="s">
        <v>266</v>
      </c>
    </row>
    <row r="23" spans="1:8" s="4" customFormat="1" ht="14.25" x14ac:dyDescent="0.25">
      <c r="A23" s="153" t="s">
        <v>13</v>
      </c>
      <c r="B23" s="154"/>
      <c r="C23" s="154"/>
      <c r="D23" s="155"/>
      <c r="E23" s="76" t="s">
        <v>248</v>
      </c>
      <c r="F23" s="77" t="s">
        <v>248</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253</v>
      </c>
      <c r="F25" s="80" t="s">
        <v>253</v>
      </c>
      <c r="G25" s="79" t="s">
        <v>273</v>
      </c>
      <c r="H25" s="79" t="s">
        <v>331</v>
      </c>
    </row>
    <row r="26" spans="1:8" s="4" customFormat="1" ht="28.5" x14ac:dyDescent="0.25">
      <c r="A26" s="153" t="s">
        <v>16</v>
      </c>
      <c r="B26" s="154"/>
      <c r="C26" s="154"/>
      <c r="D26" s="155"/>
      <c r="E26" s="81" t="s">
        <v>253</v>
      </c>
      <c r="F26" s="82" t="s">
        <v>253</v>
      </c>
      <c r="G26" s="81" t="s">
        <v>273</v>
      </c>
      <c r="H26" s="81" t="s">
        <v>332</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273</v>
      </c>
      <c r="H28" s="84" t="s">
        <v>329</v>
      </c>
    </row>
    <row r="29" spans="1:8" s="4" customFormat="1" ht="28.5" x14ac:dyDescent="0.25">
      <c r="A29" s="144" t="s">
        <v>19</v>
      </c>
      <c r="B29" s="145"/>
      <c r="C29" s="145"/>
      <c r="D29" s="146"/>
      <c r="E29" s="84" t="s">
        <v>251</v>
      </c>
      <c r="F29" s="80" t="s">
        <v>251</v>
      </c>
      <c r="G29" s="84" t="s">
        <v>273</v>
      </c>
      <c r="H29" s="84" t="s">
        <v>329</v>
      </c>
    </row>
    <row r="30" spans="1:8" s="4" customFormat="1" ht="28.5" x14ac:dyDescent="0.25">
      <c r="A30" s="153" t="s">
        <v>20</v>
      </c>
      <c r="B30" s="154"/>
      <c r="C30" s="154"/>
      <c r="D30" s="155"/>
      <c r="E30" s="77" t="s">
        <v>250</v>
      </c>
      <c r="F30" s="85" t="s">
        <v>262</v>
      </c>
      <c r="G30" s="81" t="s">
        <v>311</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254</v>
      </c>
      <c r="F32" s="87" t="s">
        <v>254</v>
      </c>
      <c r="G32" s="84" t="s">
        <v>273</v>
      </c>
      <c r="H32" s="84" t="s">
        <v>332</v>
      </c>
    </row>
    <row r="33" spans="1:8" s="4" customFormat="1" ht="28.5" x14ac:dyDescent="0.25">
      <c r="A33" s="144" t="s">
        <v>23</v>
      </c>
      <c r="B33" s="145"/>
      <c r="C33" s="145"/>
      <c r="D33" s="146"/>
      <c r="E33" s="81" t="s">
        <v>245</v>
      </c>
      <c r="F33" s="88" t="s">
        <v>259</v>
      </c>
      <c r="G33" s="81" t="s">
        <v>267</v>
      </c>
      <c r="H33" s="81" t="s">
        <v>326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252</v>
      </c>
      <c r="F35" s="91" t="s">
        <v>263</v>
      </c>
      <c r="G35" s="84" t="s">
        <v>312</v>
      </c>
      <c r="H35" s="84" t="s">
        <v>330</v>
      </c>
    </row>
    <row r="36" spans="1:8" s="4" customFormat="1" ht="42.75" x14ac:dyDescent="0.25">
      <c r="A36" s="144" t="s">
        <v>26</v>
      </c>
      <c r="B36" s="145"/>
      <c r="C36" s="145"/>
      <c r="D36" s="146"/>
      <c r="E36" s="77" t="s">
        <v>246</v>
      </c>
      <c r="F36" s="92" t="s">
        <v>260</v>
      </c>
      <c r="G36" s="77" t="s">
        <v>310</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273</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IF("$25 after deductible"="","None","$25 after deductible")</f>
        <v>$25 after deductible</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deductible"="","None","50% after deductible")</f>
        <v>50% after deductible</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290</v>
      </c>
      <c r="H49" s="99" t="s">
        <v>334</v>
      </c>
    </row>
    <row r="50" spans="1:8" s="2" customFormat="1" ht="28.5" x14ac:dyDescent="0.25">
      <c r="A50" s="147" t="s">
        <v>27</v>
      </c>
      <c r="B50" s="148"/>
      <c r="C50" s="148"/>
      <c r="D50" s="149"/>
      <c r="E50" s="99" t="s">
        <v>256</v>
      </c>
      <c r="F50" s="99" t="s">
        <v>256</v>
      </c>
      <c r="G50" s="99" t="s">
        <v>313</v>
      </c>
      <c r="H50" s="99" t="s">
        <v>333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800-000000000000}"/>
    <hyperlink ref="F8" r:id="rId2" xr:uid="{00000000-0004-0000-0800-000001000000}"/>
    <hyperlink ref="F19" r:id="rId3" xr:uid="{00000000-0004-0000-0800-000002000000}"/>
    <hyperlink ref="G8" r:id="rId4" xr:uid="{00000000-0004-0000-0800-000003000000}"/>
    <hyperlink ref="G19" r:id="rId5" xr:uid="{00000000-0004-0000-0800-000004000000}"/>
    <hyperlink ref="H8" r:id="rId6" xr:uid="{00000000-0004-0000-0800-000005000000}"/>
    <hyperlink ref="H19" r:id="rId7" xr:uid="{00000000-0004-0000-08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2FD8-A829-48CE-985D-F72F8FF3D144}">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170</v>
      </c>
      <c r="H5" s="57" t="s">
        <v>173</v>
      </c>
    </row>
    <row r="6" spans="1:8" s="2" customFormat="1" ht="60" x14ac:dyDescent="0.25">
      <c r="A6" s="186" t="s">
        <v>67</v>
      </c>
      <c r="B6" s="187"/>
      <c r="C6" s="187"/>
      <c r="D6" s="127">
        <v>4</v>
      </c>
      <c r="E6" s="115" t="s">
        <v>241</v>
      </c>
      <c r="F6" s="115" t="s">
        <v>258</v>
      </c>
      <c r="G6" s="116" t="s">
        <v>335</v>
      </c>
      <c r="H6" s="116" t="s">
        <v>345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9649.5400000000009</v>
      </c>
      <c r="H14" s="69">
        <v>10277.219999999999</v>
      </c>
    </row>
    <row r="15" spans="1:8" s="2" customFormat="1" ht="14.25" x14ac:dyDescent="0.25">
      <c r="A15" s="197" t="s">
        <v>6</v>
      </c>
      <c r="B15" s="197"/>
      <c r="C15" s="197"/>
      <c r="D15" s="197"/>
      <c r="E15" s="70">
        <f>E14*12</f>
        <v>96182.28</v>
      </c>
      <c r="F15" s="70">
        <f>F14*12</f>
        <v>142810.20000000001</v>
      </c>
      <c r="G15" s="70">
        <f>G14*12</f>
        <v>115794.48000000001</v>
      </c>
      <c r="H15" s="70">
        <f>H14*12</f>
        <v>123326.63999999998</v>
      </c>
    </row>
    <row r="16" spans="1:8" s="2" customFormat="1" ht="14.25" x14ac:dyDescent="0.25">
      <c r="A16" s="197" t="s">
        <v>7</v>
      </c>
      <c r="B16" s="197"/>
      <c r="C16" s="197"/>
      <c r="D16" s="197"/>
      <c r="E16" s="71" t="s">
        <v>8</v>
      </c>
      <c r="F16" s="71">
        <f>(F15-$E15)/$E15</f>
        <v>0.48478701066350283</v>
      </c>
      <c r="G16" s="71">
        <f>(G15-$E15)/$E15</f>
        <v>0.20390658237671233</v>
      </c>
      <c r="H16" s="71">
        <f>(H15-$E15)/$E15</f>
        <v>0.28221788878367188</v>
      </c>
    </row>
    <row r="17" spans="1:8" s="3" customFormat="1" ht="14.25" x14ac:dyDescent="0.25">
      <c r="A17" s="195" t="s">
        <v>9</v>
      </c>
      <c r="B17" s="195"/>
      <c r="C17" s="195"/>
      <c r="D17" s="195"/>
      <c r="E17" s="72" t="s">
        <v>8</v>
      </c>
      <c r="F17" s="70">
        <f>F15-$E15</f>
        <v>46627.920000000013</v>
      </c>
      <c r="G17" s="70">
        <f>G15-$E15</f>
        <v>19612.200000000012</v>
      </c>
      <c r="H17" s="70">
        <f>H15-$E15</f>
        <v>27144.359999999986</v>
      </c>
    </row>
    <row r="18" spans="1:8" s="3" customFormat="1" ht="14.25" x14ac:dyDescent="0.25">
      <c r="A18" s="195" t="s">
        <v>10</v>
      </c>
      <c r="B18" s="195"/>
      <c r="C18" s="195"/>
      <c r="D18" s="195"/>
      <c r="E18" s="72" t="s">
        <v>8</v>
      </c>
      <c r="F18" s="72">
        <f>F14-$E14</f>
        <v>3885.6600000000008</v>
      </c>
      <c r="G18" s="72">
        <f>G14-$E14</f>
        <v>1634.3500000000013</v>
      </c>
      <c r="H18" s="72">
        <f>H14-$E14</f>
        <v>2262.0299999999997</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318</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248</v>
      </c>
      <c r="F23" s="77" t="s">
        <v>248</v>
      </c>
      <c r="G23" s="77" t="s">
        <v>338</v>
      </c>
      <c r="H23" s="77" t="s">
        <v>319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341</v>
      </c>
      <c r="H25" s="79" t="s">
        <v>321</v>
      </c>
    </row>
    <row r="26" spans="1:8" s="4" customFormat="1" ht="14.25" x14ac:dyDescent="0.25">
      <c r="A26" s="153" t="s">
        <v>16</v>
      </c>
      <c r="B26" s="154"/>
      <c r="C26" s="154"/>
      <c r="D26" s="155"/>
      <c r="E26" s="81" t="s">
        <v>253</v>
      </c>
      <c r="F26" s="82" t="s">
        <v>253</v>
      </c>
      <c r="G26" s="81" t="s">
        <v>342</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348</v>
      </c>
    </row>
    <row r="29" spans="1:8" s="4" customFormat="1" ht="14.25" x14ac:dyDescent="0.25">
      <c r="A29" s="144" t="s">
        <v>19</v>
      </c>
      <c r="B29" s="145"/>
      <c r="C29" s="145"/>
      <c r="D29" s="146"/>
      <c r="E29" s="84" t="s">
        <v>251</v>
      </c>
      <c r="F29" s="80" t="s">
        <v>251</v>
      </c>
      <c r="G29" s="84" t="s">
        <v>340</v>
      </c>
      <c r="H29" s="84" t="s">
        <v>267</v>
      </c>
    </row>
    <row r="30" spans="1:8" s="4" customFormat="1" ht="28.5" x14ac:dyDescent="0.25">
      <c r="A30" s="153" t="s">
        <v>20</v>
      </c>
      <c r="B30" s="154"/>
      <c r="C30" s="154"/>
      <c r="D30" s="155"/>
      <c r="E30" s="77" t="s">
        <v>250</v>
      </c>
      <c r="F30" s="85" t="s">
        <v>262</v>
      </c>
      <c r="G30" s="81" t="s">
        <v>339</v>
      </c>
      <c r="H30" s="81" t="s">
        <v>347</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307</v>
      </c>
    </row>
    <row r="33" spans="1:8" s="4" customFormat="1" ht="28.5" x14ac:dyDescent="0.25">
      <c r="A33" s="144" t="s">
        <v>23</v>
      </c>
      <c r="B33" s="145"/>
      <c r="C33" s="145"/>
      <c r="D33" s="146"/>
      <c r="E33" s="81" t="s">
        <v>245</v>
      </c>
      <c r="F33" s="88" t="s">
        <v>259</v>
      </c>
      <c r="G33" s="81" t="s">
        <v>336</v>
      </c>
      <c r="H33" s="81" t="s">
        <v>346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252</v>
      </c>
      <c r="F35" s="91" t="s">
        <v>263</v>
      </c>
      <c r="G35" s="84" t="s">
        <v>320</v>
      </c>
      <c r="H35" s="84" t="s">
        <v>349</v>
      </c>
    </row>
    <row r="36" spans="1:8" s="4" customFormat="1" ht="42.75" x14ac:dyDescent="0.25">
      <c r="A36" s="144" t="s">
        <v>26</v>
      </c>
      <c r="B36" s="145"/>
      <c r="C36" s="145"/>
      <c r="D36" s="146"/>
      <c r="E36" s="77" t="s">
        <v>246</v>
      </c>
      <c r="F36" s="92" t="s">
        <v>260</v>
      </c>
      <c r="G36" s="77" t="s">
        <v>317</v>
      </c>
      <c r="H36" s="77" t="s">
        <v>267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350</v>
      </c>
    </row>
    <row r="45" spans="1:8" s="5" customFormat="1" ht="14.25" x14ac:dyDescent="0.25">
      <c r="A45" s="150" t="s">
        <v>71</v>
      </c>
      <c r="B45" s="151"/>
      <c r="C45" s="151"/>
      <c r="D45" s="152"/>
      <c r="E45" s="99" t="str">
        <f>IF("$10"="","None","$10")</f>
        <v>$10</v>
      </c>
      <c r="F45" s="99" t="str">
        <f>IF("$10"="","None","$10")</f>
        <v>$10</v>
      </c>
      <c r="G45" s="99" t="str">
        <f>IF("$20"="","None","$20")</f>
        <v>$20</v>
      </c>
      <c r="H45" s="99" t="str">
        <f>IF("$15"="","None","$15")</f>
        <v>$15</v>
      </c>
    </row>
    <row r="46" spans="1:8" s="5" customFormat="1" ht="14.25" x14ac:dyDescent="0.25">
      <c r="A46" s="150" t="s">
        <v>72</v>
      </c>
      <c r="B46" s="151"/>
      <c r="C46" s="151"/>
      <c r="D46" s="152"/>
      <c r="E46" s="99" t="str">
        <f>IF("$60"="","None","$60")</f>
        <v>$60</v>
      </c>
      <c r="F46" s="99" t="str">
        <f>IF("$60"="","None","$60")</f>
        <v>$60</v>
      </c>
      <c r="G46" s="99" t="str">
        <f>IF("$40"="","None","$40")</f>
        <v>$40</v>
      </c>
      <c r="H46" s="99" t="str">
        <f>IF("$50 after Rx deductible"="","None","$50 after Rx deductible")</f>
        <v>$50 after Rx deductible</v>
      </c>
    </row>
    <row r="47" spans="1:8" s="5" customFormat="1" ht="14.25" x14ac:dyDescent="0.25">
      <c r="A47" s="150" t="s">
        <v>73</v>
      </c>
      <c r="B47" s="151"/>
      <c r="C47" s="151"/>
      <c r="D47" s="152"/>
      <c r="E47" s="99" t="str">
        <f>IF("$90"="","None","$90")</f>
        <v>$90</v>
      </c>
      <c r="F47" s="99" t="str">
        <f>IF("$90"="","None","$90")</f>
        <v>$90</v>
      </c>
      <c r="G47" s="99" t="str">
        <f>IF("$75"="","None","$75")</f>
        <v>$75</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257</v>
      </c>
      <c r="F49" s="99" t="s">
        <v>257</v>
      </c>
      <c r="G49" s="99" t="s">
        <v>344</v>
      </c>
      <c r="H49" s="99" t="s">
        <v>352</v>
      </c>
    </row>
    <row r="50" spans="1:8" s="2" customFormat="1" ht="28.5" x14ac:dyDescent="0.25">
      <c r="A50" s="147" t="s">
        <v>27</v>
      </c>
      <c r="B50" s="148"/>
      <c r="C50" s="148"/>
      <c r="D50" s="149"/>
      <c r="E50" s="99" t="s">
        <v>256</v>
      </c>
      <c r="F50" s="99" t="s">
        <v>256</v>
      </c>
      <c r="G50" s="99" t="s">
        <v>343</v>
      </c>
      <c r="H50" s="99" t="s">
        <v>351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900-000000000000}"/>
    <hyperlink ref="F8" r:id="rId2" xr:uid="{00000000-0004-0000-0900-000001000000}"/>
    <hyperlink ref="F19" r:id="rId3" xr:uid="{00000000-0004-0000-0900-000002000000}"/>
    <hyperlink ref="G8" r:id="rId4" xr:uid="{00000000-0004-0000-0900-000003000000}"/>
    <hyperlink ref="G19" r:id="rId5" xr:uid="{00000000-0004-0000-0900-000004000000}"/>
    <hyperlink ref="H8" r:id="rId6" xr:uid="{00000000-0004-0000-0900-000005000000}"/>
    <hyperlink ref="H19" r:id="rId7" xr:uid="{00000000-0004-0000-09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86D9-92FA-4EC6-B037-21EFA0B1FF3C}">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175</v>
      </c>
      <c r="H5" s="57" t="s">
        <v>177</v>
      </c>
    </row>
    <row r="6" spans="1:8" s="2" customFormat="1" ht="45" x14ac:dyDescent="0.25">
      <c r="A6" s="186" t="s">
        <v>67</v>
      </c>
      <c r="B6" s="187"/>
      <c r="C6" s="187"/>
      <c r="D6" s="127">
        <v>4</v>
      </c>
      <c r="E6" s="115" t="s">
        <v>241</v>
      </c>
      <c r="F6" s="115" t="s">
        <v>258</v>
      </c>
      <c r="G6" s="116" t="s">
        <v>353</v>
      </c>
      <c r="H6" s="116" t="s">
        <v>354</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10378.32</v>
      </c>
      <c r="H14" s="69">
        <v>10518.33</v>
      </c>
    </row>
    <row r="15" spans="1:8" s="2" customFormat="1" ht="14.25" x14ac:dyDescent="0.25">
      <c r="A15" s="197" t="s">
        <v>6</v>
      </c>
      <c r="B15" s="197"/>
      <c r="C15" s="197"/>
      <c r="D15" s="197"/>
      <c r="E15" s="70">
        <f>E14*12</f>
        <v>96182.28</v>
      </c>
      <c r="F15" s="70">
        <f>F14*12</f>
        <v>142810.20000000001</v>
      </c>
      <c r="G15" s="70">
        <f>G14*12</f>
        <v>124539.84</v>
      </c>
      <c r="H15" s="70">
        <f>H14*12</f>
        <v>126219.95999999999</v>
      </c>
    </row>
    <row r="16" spans="1:8" s="2" customFormat="1" ht="14.25" x14ac:dyDescent="0.25">
      <c r="A16" s="197" t="s">
        <v>7</v>
      </c>
      <c r="B16" s="197"/>
      <c r="C16" s="197"/>
      <c r="D16" s="197"/>
      <c r="E16" s="71" t="s">
        <v>8</v>
      </c>
      <c r="F16" s="71">
        <f>(F15-$E15)/$E15</f>
        <v>0.48478701066350283</v>
      </c>
      <c r="G16" s="71">
        <f>(G15-$E15)/$E15</f>
        <v>0.29483143880556789</v>
      </c>
      <c r="H16" s="71">
        <f>(H15-$E15)/$E15</f>
        <v>0.31229952128396199</v>
      </c>
    </row>
    <row r="17" spans="1:8" s="3" customFormat="1" ht="14.25" x14ac:dyDescent="0.25">
      <c r="A17" s="195" t="s">
        <v>9</v>
      </c>
      <c r="B17" s="195"/>
      <c r="C17" s="195"/>
      <c r="D17" s="195"/>
      <c r="E17" s="72" t="s">
        <v>8</v>
      </c>
      <c r="F17" s="70">
        <f>F15-$E15</f>
        <v>46627.920000000013</v>
      </c>
      <c r="G17" s="70">
        <f>G15-$E15</f>
        <v>28357.559999999998</v>
      </c>
      <c r="H17" s="70">
        <f>H15-$E15</f>
        <v>30037.679999999993</v>
      </c>
    </row>
    <row r="18" spans="1:8" s="3" customFormat="1" ht="14.25" x14ac:dyDescent="0.25">
      <c r="A18" s="195" t="s">
        <v>10</v>
      </c>
      <c r="B18" s="195"/>
      <c r="C18" s="195"/>
      <c r="D18" s="195"/>
      <c r="E18" s="72" t="s">
        <v>8</v>
      </c>
      <c r="F18" s="72">
        <f>F14-$E14</f>
        <v>3885.6600000000008</v>
      </c>
      <c r="G18" s="72">
        <f>G14-$E14</f>
        <v>2363.13</v>
      </c>
      <c r="H18" s="72">
        <f>H14-$E14</f>
        <v>2503.1400000000003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248</v>
      </c>
      <c r="F23" s="77" t="s">
        <v>248</v>
      </c>
      <c r="G23" s="77" t="s">
        <v>284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273</v>
      </c>
      <c r="H25" s="79" t="s">
        <v>340</v>
      </c>
    </row>
    <row r="26" spans="1:8" s="4" customFormat="1" ht="14.25" x14ac:dyDescent="0.25">
      <c r="A26" s="153" t="s">
        <v>16</v>
      </c>
      <c r="B26" s="154"/>
      <c r="C26" s="154"/>
      <c r="D26" s="155"/>
      <c r="E26" s="81" t="s">
        <v>253</v>
      </c>
      <c r="F26" s="82" t="s">
        <v>253</v>
      </c>
      <c r="G26" s="81" t="s">
        <v>273</v>
      </c>
      <c r="H26" s="81" t="s">
        <v>340</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273</v>
      </c>
      <c r="H29" s="84" t="s">
        <v>340</v>
      </c>
    </row>
    <row r="30" spans="1:8" s="4" customFormat="1" ht="28.5" x14ac:dyDescent="0.25">
      <c r="A30" s="153" t="s">
        <v>20</v>
      </c>
      <c r="B30" s="154"/>
      <c r="C30" s="154"/>
      <c r="D30" s="155"/>
      <c r="E30" s="77" t="s">
        <v>250</v>
      </c>
      <c r="F30" s="85" t="s">
        <v>262</v>
      </c>
      <c r="G30" s="81" t="s">
        <v>311</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273</v>
      </c>
      <c r="H32" s="84" t="s">
        <v>340</v>
      </c>
    </row>
    <row r="33" spans="1:8" s="4" customFormat="1" ht="14.25" x14ac:dyDescent="0.25">
      <c r="A33" s="144" t="s">
        <v>23</v>
      </c>
      <c r="B33" s="145"/>
      <c r="C33" s="145"/>
      <c r="D33" s="146"/>
      <c r="E33" s="81" t="s">
        <v>245</v>
      </c>
      <c r="F33" s="88" t="s">
        <v>259</v>
      </c>
      <c r="G33" s="81" t="s">
        <v>273</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312</v>
      </c>
      <c r="H35" s="84" t="s">
        <v>340</v>
      </c>
    </row>
    <row r="36" spans="1:8" s="4" customFormat="1" ht="42.75" x14ac:dyDescent="0.25">
      <c r="A36" s="144" t="s">
        <v>26</v>
      </c>
      <c r="B36" s="145"/>
      <c r="C36" s="145"/>
      <c r="D36" s="146"/>
      <c r="E36" s="77" t="s">
        <v>246</v>
      </c>
      <c r="F36" s="92" t="s">
        <v>260</v>
      </c>
      <c r="G36" s="77" t="s">
        <v>310</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IF("$0 after deductible"="","None","$0 after deductible")</f>
        <v>$0 after deductible</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IF("$0 after deductible"="","None","$0 after deductible")</f>
        <v>$0 after deductible</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IF("$0 after deductible"="","None","$0 after deductible")</f>
        <v>$0 after deductible</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IF("$0 after deductible"="","None","$0 after deductible")</f>
        <v>$0 after deductible</v>
      </c>
      <c r="H48" s="99" t="str">
        <f>IF("None"="","None","None")</f>
        <v>None</v>
      </c>
    </row>
    <row r="49" spans="1:8" s="5" customFormat="1" ht="28.5" x14ac:dyDescent="0.25">
      <c r="A49" s="147" t="s">
        <v>75</v>
      </c>
      <c r="B49" s="148"/>
      <c r="C49" s="148"/>
      <c r="D49" s="149"/>
      <c r="E49" s="99" t="s">
        <v>257</v>
      </c>
      <c r="F49" s="99" t="s">
        <v>257</v>
      </c>
      <c r="G49" s="99" t="s">
        <v>273</v>
      </c>
      <c r="H49" s="99" t="s">
        <v>290</v>
      </c>
    </row>
    <row r="50" spans="1:8" s="2" customFormat="1" ht="28.5" x14ac:dyDescent="0.25">
      <c r="A50" s="147" t="s">
        <v>27</v>
      </c>
      <c r="B50" s="148"/>
      <c r="C50" s="148"/>
      <c r="D50" s="149"/>
      <c r="E50" s="99" t="s">
        <v>256</v>
      </c>
      <c r="F50" s="99" t="s">
        <v>256</v>
      </c>
      <c r="G50" s="99" t="s">
        <v>273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A00-000000000000}"/>
    <hyperlink ref="F8" r:id="rId2" xr:uid="{00000000-0004-0000-0A00-000001000000}"/>
    <hyperlink ref="F19" r:id="rId3" xr:uid="{00000000-0004-0000-0A00-000002000000}"/>
    <hyperlink ref="G8" r:id="rId4" xr:uid="{00000000-0004-0000-0A00-000003000000}"/>
    <hyperlink ref="G19" r:id="rId5" xr:uid="{00000000-0004-0000-0A00-000004000000}"/>
    <hyperlink ref="H8" r:id="rId6" xr:uid="{00000000-0004-0000-0A00-000005000000}"/>
    <hyperlink ref="H19" r:id="rId7" xr:uid="{00000000-0004-0000-0A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9C86-F11D-4024-A7E4-DA85CB47F33F}">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179</v>
      </c>
      <c r="H5" s="57" t="s">
        <v>181</v>
      </c>
    </row>
    <row r="6" spans="1:8" s="2" customFormat="1" ht="60" x14ac:dyDescent="0.25">
      <c r="A6" s="186" t="s">
        <v>67</v>
      </c>
      <c r="B6" s="187"/>
      <c r="C6" s="187"/>
      <c r="D6" s="127">
        <v>4</v>
      </c>
      <c r="E6" s="115" t="s">
        <v>241</v>
      </c>
      <c r="F6" s="115" t="s">
        <v>258</v>
      </c>
      <c r="G6" s="116" t="s">
        <v>357</v>
      </c>
      <c r="H6" s="116" t="s">
        <v>358</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10617.74</v>
      </c>
      <c r="H14" s="69">
        <v>11059.95</v>
      </c>
    </row>
    <row r="15" spans="1:8" s="2" customFormat="1" ht="14.25" x14ac:dyDescent="0.25">
      <c r="A15" s="197" t="s">
        <v>6</v>
      </c>
      <c r="B15" s="197"/>
      <c r="C15" s="197"/>
      <c r="D15" s="197"/>
      <c r="E15" s="70">
        <f>E14*12</f>
        <v>96182.28</v>
      </c>
      <c r="F15" s="70">
        <f>F14*12</f>
        <v>142810.20000000001</v>
      </c>
      <c r="G15" s="70">
        <f>G14*12</f>
        <v>127412.88</v>
      </c>
      <c r="H15" s="70">
        <f>H14*12</f>
        <v>132719.40000000002</v>
      </c>
    </row>
    <row r="16" spans="1:8" s="2" customFormat="1" ht="14.25" x14ac:dyDescent="0.25">
      <c r="A16" s="197" t="s">
        <v>7</v>
      </c>
      <c r="B16" s="197"/>
      <c r="C16" s="197"/>
      <c r="D16" s="197"/>
      <c r="E16" s="71" t="s">
        <v>8</v>
      </c>
      <c r="F16" s="71">
        <f>(F15-$E15)/$E15</f>
        <v>0.48478701066350283</v>
      </c>
      <c r="G16" s="71">
        <f>(G15-$E15)/$E15</f>
        <v>0.32470222165662954</v>
      </c>
      <c r="H16" s="71">
        <f>(H15-$E15)/$E15</f>
        <v>0.37987371478405402</v>
      </c>
    </row>
    <row r="17" spans="1:8" s="3" customFormat="1" ht="14.25" x14ac:dyDescent="0.25">
      <c r="A17" s="195" t="s">
        <v>9</v>
      </c>
      <c r="B17" s="195"/>
      <c r="C17" s="195"/>
      <c r="D17" s="195"/>
      <c r="E17" s="72" t="s">
        <v>8</v>
      </c>
      <c r="F17" s="70">
        <f>F15-$E15</f>
        <v>46627.920000000013</v>
      </c>
      <c r="G17" s="70">
        <f>G15-$E15</f>
        <v>31230.600000000006</v>
      </c>
      <c r="H17" s="70">
        <f>H15-$E15</f>
        <v>36537.120000000024</v>
      </c>
    </row>
    <row r="18" spans="1:8" s="3" customFormat="1" ht="14.25" x14ac:dyDescent="0.25">
      <c r="A18" s="195" t="s">
        <v>10</v>
      </c>
      <c r="B18" s="195"/>
      <c r="C18" s="195"/>
      <c r="D18" s="195"/>
      <c r="E18" s="72" t="s">
        <v>8</v>
      </c>
      <c r="F18" s="72">
        <f>F14-$E14</f>
        <v>3885.6600000000008</v>
      </c>
      <c r="G18" s="72">
        <f>G14-$E14</f>
        <v>2602.5500000000002</v>
      </c>
      <c r="H18" s="72">
        <f>H14-$E14</f>
        <v>3044.7600000000011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360</v>
      </c>
    </row>
    <row r="22" spans="1:8" s="4" customFormat="1" ht="14.25" x14ac:dyDescent="0.25">
      <c r="A22" s="144" t="s">
        <v>12</v>
      </c>
      <c r="B22" s="145"/>
      <c r="C22" s="145"/>
      <c r="D22" s="146"/>
      <c r="E22" s="74" t="s">
        <v>243</v>
      </c>
      <c r="F22" s="75" t="s">
        <v>243</v>
      </c>
      <c r="G22" s="75" t="s">
        <v>315</v>
      </c>
      <c r="H22" s="75" t="s">
        <v>355</v>
      </c>
    </row>
    <row r="23" spans="1:8" s="4" customFormat="1" ht="14.25" x14ac:dyDescent="0.25">
      <c r="A23" s="153" t="s">
        <v>13</v>
      </c>
      <c r="B23" s="154"/>
      <c r="C23" s="154"/>
      <c r="D23" s="155"/>
      <c r="E23" s="76" t="s">
        <v>248</v>
      </c>
      <c r="F23" s="77" t="s">
        <v>248</v>
      </c>
      <c r="G23" s="77" t="s">
        <v>338</v>
      </c>
      <c r="H23" s="77" t="s">
        <v>361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341</v>
      </c>
      <c r="H25" s="79" t="s">
        <v>362</v>
      </c>
    </row>
    <row r="26" spans="1:8" s="4" customFormat="1" ht="14.25" x14ac:dyDescent="0.25">
      <c r="A26" s="153" t="s">
        <v>16</v>
      </c>
      <c r="B26" s="154"/>
      <c r="C26" s="154"/>
      <c r="D26" s="155"/>
      <c r="E26" s="81" t="s">
        <v>253</v>
      </c>
      <c r="F26" s="82" t="s">
        <v>253</v>
      </c>
      <c r="G26" s="81" t="s">
        <v>342</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251</v>
      </c>
    </row>
    <row r="29" spans="1:8" s="4" customFormat="1" ht="14.25" x14ac:dyDescent="0.25">
      <c r="A29" s="144" t="s">
        <v>19</v>
      </c>
      <c r="B29" s="145"/>
      <c r="C29" s="145"/>
      <c r="D29" s="146"/>
      <c r="E29" s="84" t="s">
        <v>251</v>
      </c>
      <c r="F29" s="80" t="s">
        <v>251</v>
      </c>
      <c r="G29" s="84" t="s">
        <v>340</v>
      </c>
      <c r="H29" s="84" t="s">
        <v>340</v>
      </c>
    </row>
    <row r="30" spans="1:8" s="4" customFormat="1" ht="28.5" x14ac:dyDescent="0.25">
      <c r="A30" s="153" t="s">
        <v>20</v>
      </c>
      <c r="B30" s="154"/>
      <c r="C30" s="154"/>
      <c r="D30" s="155"/>
      <c r="E30" s="77" t="s">
        <v>250</v>
      </c>
      <c r="F30" s="85" t="s">
        <v>262</v>
      </c>
      <c r="G30" s="81" t="s">
        <v>339</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307</v>
      </c>
    </row>
    <row r="33" spans="1:8" s="4" customFormat="1" ht="14.25" x14ac:dyDescent="0.25">
      <c r="A33" s="144" t="s">
        <v>23</v>
      </c>
      <c r="B33" s="145"/>
      <c r="C33" s="145"/>
      <c r="D33" s="146"/>
      <c r="E33" s="81" t="s">
        <v>245</v>
      </c>
      <c r="F33" s="88" t="s">
        <v>259</v>
      </c>
      <c r="G33" s="81" t="s">
        <v>336</v>
      </c>
      <c r="H33" s="81" t="s">
        <v>359</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320</v>
      </c>
      <c r="H35" s="84" t="s">
        <v>340</v>
      </c>
    </row>
    <row r="36" spans="1:8" s="4" customFormat="1" ht="42.75" x14ac:dyDescent="0.25">
      <c r="A36" s="144" t="s">
        <v>26</v>
      </c>
      <c r="B36" s="145"/>
      <c r="C36" s="145"/>
      <c r="D36" s="146"/>
      <c r="E36" s="77" t="s">
        <v>246</v>
      </c>
      <c r="F36" s="92" t="s">
        <v>260</v>
      </c>
      <c r="G36" s="77" t="s">
        <v>317</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IF("$20"="","None","$20")</f>
        <v>$20</v>
      </c>
      <c r="H45" s="99" t="str">
        <f>IF("$10"="","None","$10")</f>
        <v>$10</v>
      </c>
    </row>
    <row r="46" spans="1:8" s="5" customFormat="1" ht="14.25" x14ac:dyDescent="0.25">
      <c r="A46" s="150" t="s">
        <v>72</v>
      </c>
      <c r="B46" s="151"/>
      <c r="C46" s="151"/>
      <c r="D46" s="152"/>
      <c r="E46" s="99" t="str">
        <f>IF("$60"="","None","$60")</f>
        <v>$60</v>
      </c>
      <c r="F46" s="99" t="str">
        <f>IF("$60"="","None","$60")</f>
        <v>$60</v>
      </c>
      <c r="G46" s="99" t="str">
        <f>IF("$40"="","None","$40")</f>
        <v>$40</v>
      </c>
      <c r="H46" s="99" t="str">
        <f>IF("50% - $125 max"="","None","50% - $125 max")</f>
        <v>50% - $125 max</v>
      </c>
    </row>
    <row r="47" spans="1:8" s="5" customFormat="1" ht="14.25" x14ac:dyDescent="0.25">
      <c r="A47" s="150" t="s">
        <v>73</v>
      </c>
      <c r="B47" s="151"/>
      <c r="C47" s="151"/>
      <c r="D47" s="152"/>
      <c r="E47" s="99" t="str">
        <f>IF("$90"="","None","$90")</f>
        <v>$90</v>
      </c>
      <c r="F47" s="99" t="str">
        <f>IF("$90"="","None","$90")</f>
        <v>$90</v>
      </c>
      <c r="G47" s="99" t="str">
        <f>IF("$75"="","None","$75")</f>
        <v>$75</v>
      </c>
      <c r="H47" s="99" t="str">
        <f>IF("50% - $125 max"="","None","50% - $125 max")</f>
        <v>50%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257</v>
      </c>
      <c r="F49" s="99" t="s">
        <v>257</v>
      </c>
      <c r="G49" s="99" t="s">
        <v>344</v>
      </c>
      <c r="H49" s="99" t="s">
        <v>364</v>
      </c>
    </row>
    <row r="50" spans="1:8" s="2" customFormat="1" ht="28.5" x14ac:dyDescent="0.25">
      <c r="A50" s="147" t="s">
        <v>27</v>
      </c>
      <c r="B50" s="148"/>
      <c r="C50" s="148"/>
      <c r="D50" s="149"/>
      <c r="E50" s="99" t="s">
        <v>256</v>
      </c>
      <c r="F50" s="99" t="s">
        <v>256</v>
      </c>
      <c r="G50" s="99" t="s">
        <v>343</v>
      </c>
      <c r="H50" s="99" t="s">
        <v>363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B00-000000000000}"/>
    <hyperlink ref="F8" r:id="rId2" xr:uid="{00000000-0004-0000-0B00-000001000000}"/>
    <hyperlink ref="F19" r:id="rId3" xr:uid="{00000000-0004-0000-0B00-000002000000}"/>
    <hyperlink ref="G8" r:id="rId4" xr:uid="{00000000-0004-0000-0B00-000003000000}"/>
    <hyperlink ref="G19" r:id="rId5" xr:uid="{00000000-0004-0000-0B00-000004000000}"/>
    <hyperlink ref="H8" r:id="rId6" xr:uid="{00000000-0004-0000-0B00-000005000000}"/>
    <hyperlink ref="H19" r:id="rId7" xr:uid="{00000000-0004-0000-0B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E1772-556E-41C4-9398-32B69261BF3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183</v>
      </c>
      <c r="H5" s="57" t="s">
        <v>185</v>
      </c>
    </row>
    <row r="6" spans="1:8" s="2" customFormat="1" ht="30" x14ac:dyDescent="0.25">
      <c r="A6" s="186" t="s">
        <v>67</v>
      </c>
      <c r="B6" s="187"/>
      <c r="C6" s="187"/>
      <c r="D6" s="127">
        <v>4</v>
      </c>
      <c r="E6" s="115" t="s">
        <v>241</v>
      </c>
      <c r="F6" s="115" t="s">
        <v>258</v>
      </c>
      <c r="G6" s="116" t="s">
        <v>365</v>
      </c>
      <c r="H6" s="116" t="s">
        <v>377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11358.65</v>
      </c>
      <c r="H14" s="69">
        <v>11362.29</v>
      </c>
    </row>
    <row r="15" spans="1:8" s="2" customFormat="1" ht="14.25" x14ac:dyDescent="0.25">
      <c r="A15" s="197" t="s">
        <v>6</v>
      </c>
      <c r="B15" s="197"/>
      <c r="C15" s="197"/>
      <c r="D15" s="197"/>
      <c r="E15" s="70">
        <f>E14*12</f>
        <v>96182.28</v>
      </c>
      <c r="F15" s="70">
        <f>F14*12</f>
        <v>142810.20000000001</v>
      </c>
      <c r="G15" s="70">
        <f>G14*12</f>
        <v>136303.79999999999</v>
      </c>
      <c r="H15" s="70">
        <f>H14*12</f>
        <v>136347.48000000001</v>
      </c>
    </row>
    <row r="16" spans="1:8" s="2" customFormat="1" ht="14.25" x14ac:dyDescent="0.25">
      <c r="A16" s="197" t="s">
        <v>7</v>
      </c>
      <c r="B16" s="197"/>
      <c r="C16" s="197"/>
      <c r="D16" s="197"/>
      <c r="E16" s="71" t="s">
        <v>8</v>
      </c>
      <c r="F16" s="71">
        <f>(F15-$E15)/$E15</f>
        <v>0.48478701066350283</v>
      </c>
      <c r="G16" s="71">
        <f>(G15-$E15)/$E15</f>
        <v>0.41714045456190046</v>
      </c>
      <c r="H16" s="71">
        <f>(H15-$E15)/$E15</f>
        <v>0.41759459226793139</v>
      </c>
    </row>
    <row r="17" spans="1:8" s="3" customFormat="1" ht="14.25" x14ac:dyDescent="0.25">
      <c r="A17" s="195" t="s">
        <v>9</v>
      </c>
      <c r="B17" s="195"/>
      <c r="C17" s="195"/>
      <c r="D17" s="195"/>
      <c r="E17" s="72" t="s">
        <v>8</v>
      </c>
      <c r="F17" s="70">
        <f>F15-$E15</f>
        <v>46627.920000000013</v>
      </c>
      <c r="G17" s="70">
        <f>G15-$E15</f>
        <v>40121.51999999999</v>
      </c>
      <c r="H17" s="70">
        <f>H15-$E15</f>
        <v>40165.200000000012</v>
      </c>
    </row>
    <row r="18" spans="1:8" s="3" customFormat="1" ht="14.25" x14ac:dyDescent="0.25">
      <c r="A18" s="195" t="s">
        <v>10</v>
      </c>
      <c r="B18" s="195"/>
      <c r="C18" s="195"/>
      <c r="D18" s="195"/>
      <c r="E18" s="72" t="s">
        <v>8</v>
      </c>
      <c r="F18" s="72">
        <f>F14-$E14</f>
        <v>3885.6600000000008</v>
      </c>
      <c r="G18" s="72">
        <f>G14-$E14</f>
        <v>3343.46</v>
      </c>
      <c r="H18" s="72">
        <f>H14-$E14</f>
        <v>3347.1000000000013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369</v>
      </c>
      <c r="H21" s="73" t="s">
        <v>381</v>
      </c>
    </row>
    <row r="22" spans="1:8" s="4" customFormat="1" ht="14.25" x14ac:dyDescent="0.25">
      <c r="A22" s="144" t="s">
        <v>12</v>
      </c>
      <c r="B22" s="145"/>
      <c r="C22" s="145"/>
      <c r="D22" s="146"/>
      <c r="E22" s="74" t="s">
        <v>243</v>
      </c>
      <c r="F22" s="75" t="s">
        <v>243</v>
      </c>
      <c r="G22" s="75" t="s">
        <v>366</v>
      </c>
      <c r="H22" s="75" t="s">
        <v>378</v>
      </c>
    </row>
    <row r="23" spans="1:8" s="4" customFormat="1" ht="28.5" x14ac:dyDescent="0.25">
      <c r="A23" s="153" t="s">
        <v>13</v>
      </c>
      <c r="B23" s="154"/>
      <c r="C23" s="154"/>
      <c r="D23" s="155"/>
      <c r="E23" s="76" t="s">
        <v>248</v>
      </c>
      <c r="F23" s="77" t="s">
        <v>248</v>
      </c>
      <c r="G23" s="77" t="s">
        <v>293</v>
      </c>
      <c r="H23" s="77" t="s">
        <v>382</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253</v>
      </c>
      <c r="F25" s="80" t="s">
        <v>253</v>
      </c>
      <c r="G25" s="79" t="s">
        <v>373</v>
      </c>
      <c r="H25" s="79" t="s">
        <v>386</v>
      </c>
    </row>
    <row r="26" spans="1:8" s="4" customFormat="1" ht="28.5" x14ac:dyDescent="0.25">
      <c r="A26" s="153" t="s">
        <v>16</v>
      </c>
      <c r="B26" s="154"/>
      <c r="C26" s="154"/>
      <c r="D26" s="155"/>
      <c r="E26" s="81" t="s">
        <v>253</v>
      </c>
      <c r="F26" s="82" t="s">
        <v>253</v>
      </c>
      <c r="G26" s="81" t="s">
        <v>374</v>
      </c>
      <c r="H26" s="81" t="s">
        <v>387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371</v>
      </c>
      <c r="H28" s="84" t="s">
        <v>384</v>
      </c>
    </row>
    <row r="29" spans="1:8" s="4" customFormat="1" ht="57" x14ac:dyDescent="0.25">
      <c r="A29" s="144" t="s">
        <v>19</v>
      </c>
      <c r="B29" s="145"/>
      <c r="C29" s="145"/>
      <c r="D29" s="146"/>
      <c r="E29" s="84" t="s">
        <v>251</v>
      </c>
      <c r="F29" s="80" t="s">
        <v>251</v>
      </c>
      <c r="G29" s="84" t="s">
        <v>371</v>
      </c>
      <c r="H29" s="84" t="s">
        <v>384</v>
      </c>
    </row>
    <row r="30" spans="1:8" s="4" customFormat="1" ht="42.75" x14ac:dyDescent="0.25">
      <c r="A30" s="153" t="s">
        <v>20</v>
      </c>
      <c r="B30" s="154"/>
      <c r="C30" s="154"/>
      <c r="D30" s="155"/>
      <c r="E30" s="77" t="s">
        <v>250</v>
      </c>
      <c r="F30" s="85" t="s">
        <v>262</v>
      </c>
      <c r="G30" s="81" t="s">
        <v>370</v>
      </c>
      <c r="H30" s="81" t="s">
        <v>383</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254</v>
      </c>
      <c r="F32" s="87" t="s">
        <v>254</v>
      </c>
      <c r="G32" s="84" t="s">
        <v>307</v>
      </c>
      <c r="H32" s="84" t="s">
        <v>388</v>
      </c>
    </row>
    <row r="33" spans="1:8" s="4" customFormat="1" ht="28.5" x14ac:dyDescent="0.25">
      <c r="A33" s="144" t="s">
        <v>23</v>
      </c>
      <c r="B33" s="145"/>
      <c r="C33" s="145"/>
      <c r="D33" s="146"/>
      <c r="E33" s="81" t="s">
        <v>245</v>
      </c>
      <c r="F33" s="88" t="s">
        <v>259</v>
      </c>
      <c r="G33" s="81" t="s">
        <v>367</v>
      </c>
      <c r="H33" s="81" t="s">
        <v>379</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252</v>
      </c>
      <c r="F35" s="91" t="s">
        <v>263</v>
      </c>
      <c r="G35" s="84" t="s">
        <v>372</v>
      </c>
      <c r="H35" s="84" t="s">
        <v>385</v>
      </c>
    </row>
    <row r="36" spans="1:8" s="4" customFormat="1" ht="99.75" x14ac:dyDescent="0.25">
      <c r="A36" s="144" t="s">
        <v>26</v>
      </c>
      <c r="B36" s="145"/>
      <c r="C36" s="145"/>
      <c r="D36" s="146"/>
      <c r="E36" s="77" t="s">
        <v>246</v>
      </c>
      <c r="F36" s="92" t="s">
        <v>260</v>
      </c>
      <c r="G36" s="77" t="s">
        <v>368</v>
      </c>
      <c r="H36" s="77" t="s">
        <v>380</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375</v>
      </c>
    </row>
    <row r="45" spans="1:8" s="5" customFormat="1" ht="14.25" x14ac:dyDescent="0.25">
      <c r="A45" s="150" t="s">
        <v>71</v>
      </c>
      <c r="B45" s="151"/>
      <c r="C45" s="151"/>
      <c r="D45" s="152"/>
      <c r="E45" s="99" t="str">
        <f>IF("$10"="","None","$10")</f>
        <v>$10</v>
      </c>
      <c r="F45" s="99" t="str">
        <f>IF("$10"="","None","$10")</f>
        <v>$10</v>
      </c>
      <c r="G45" s="99" t="str">
        <f>IF("$25 after Rx deductible"="","None","$25 after Rx deductible")</f>
        <v>$25 after Rx deductible</v>
      </c>
      <c r="H45" s="99" t="str">
        <f>IF("$25"="","None","$25")</f>
        <v>$25</v>
      </c>
    </row>
    <row r="46" spans="1:8" s="5" customFormat="1" ht="14.25" x14ac:dyDescent="0.25">
      <c r="A46" s="150" t="s">
        <v>72</v>
      </c>
      <c r="B46" s="151"/>
      <c r="C46" s="151"/>
      <c r="D46" s="152"/>
      <c r="E46" s="99" t="str">
        <f>IF("$60"="","None","$60")</f>
        <v>$60</v>
      </c>
      <c r="F46" s="99" t="str">
        <f>IF("$60"="","None","$60")</f>
        <v>$60</v>
      </c>
      <c r="G46" s="99" t="str">
        <f>IF("50% after Rx deductible"="","None","50% after Rx deductible")</f>
        <v>50% after Rx deductible</v>
      </c>
      <c r="H46" s="99" t="str">
        <f>IF("50% after Rx deductible"="","None","50% after Rx deductible")</f>
        <v>50% after Rx deductible</v>
      </c>
    </row>
    <row r="47" spans="1:8" s="5" customFormat="1" ht="14.25" x14ac:dyDescent="0.25">
      <c r="A47" s="150" t="s">
        <v>73</v>
      </c>
      <c r="B47" s="151"/>
      <c r="C47" s="151"/>
      <c r="D47" s="152"/>
      <c r="E47" s="99" t="str">
        <f>IF("$90"="","None","$90")</f>
        <v>$90</v>
      </c>
      <c r="F47" s="99" t="str">
        <f>IF("$90"="","None","$90")</f>
        <v>$90</v>
      </c>
      <c r="G47" s="99" t="str">
        <f>IF("50% after Rx deductible"="","None","50% after Rx deductible")</f>
        <v>50% after Rx deductible</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28.5" x14ac:dyDescent="0.25">
      <c r="A50" s="147" t="s">
        <v>27</v>
      </c>
      <c r="B50" s="148"/>
      <c r="C50" s="148"/>
      <c r="D50" s="149"/>
      <c r="E50" s="99" t="s">
        <v>256</v>
      </c>
      <c r="F50" s="99" t="s">
        <v>256</v>
      </c>
      <c r="G50" s="99" t="s">
        <v>376</v>
      </c>
      <c r="H50" s="99" t="s">
        <v>389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C00-000000000000}"/>
    <hyperlink ref="F8" r:id="rId2" xr:uid="{00000000-0004-0000-0C00-000001000000}"/>
    <hyperlink ref="F19" r:id="rId3" xr:uid="{00000000-0004-0000-0C00-000002000000}"/>
    <hyperlink ref="G8" r:id="rId4" xr:uid="{00000000-0004-0000-0C00-000003000000}"/>
    <hyperlink ref="G19" r:id="rId5" xr:uid="{00000000-0004-0000-0C00-000004000000}"/>
    <hyperlink ref="H8" r:id="rId6" xr:uid="{00000000-0004-0000-0C00-000005000000}"/>
    <hyperlink ref="H19" r:id="rId7" xr:uid="{00000000-0004-0000-0C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AF30-ABF1-46BE-835B-C99C7BCB526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187</v>
      </c>
      <c r="H5" s="57" t="s">
        <v>189</v>
      </c>
    </row>
    <row r="6" spans="1:8" s="2" customFormat="1" ht="60" x14ac:dyDescent="0.25">
      <c r="A6" s="186" t="s">
        <v>67</v>
      </c>
      <c r="B6" s="187"/>
      <c r="C6" s="187"/>
      <c r="D6" s="127">
        <v>4</v>
      </c>
      <c r="E6" s="115" t="s">
        <v>241</v>
      </c>
      <c r="F6" s="115" t="s">
        <v>258</v>
      </c>
      <c r="G6" s="116" t="s">
        <v>390</v>
      </c>
      <c r="H6" s="116" t="s">
        <v>401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11431.82</v>
      </c>
      <c r="H14" s="69">
        <v>11460.47</v>
      </c>
    </row>
    <row r="15" spans="1:8" s="2" customFormat="1" ht="14.25" x14ac:dyDescent="0.25">
      <c r="A15" s="197" t="s">
        <v>6</v>
      </c>
      <c r="B15" s="197"/>
      <c r="C15" s="197"/>
      <c r="D15" s="197"/>
      <c r="E15" s="70">
        <f>E14*12</f>
        <v>96182.28</v>
      </c>
      <c r="F15" s="70">
        <f>F14*12</f>
        <v>142810.20000000001</v>
      </c>
      <c r="G15" s="70">
        <f>G14*12</f>
        <v>137181.84</v>
      </c>
      <c r="H15" s="70">
        <f>H14*12</f>
        <v>137525.63999999998</v>
      </c>
    </row>
    <row r="16" spans="1:8" s="2" customFormat="1" ht="14.25" x14ac:dyDescent="0.25">
      <c r="A16" s="197" t="s">
        <v>7</v>
      </c>
      <c r="B16" s="197"/>
      <c r="C16" s="197"/>
      <c r="D16" s="197"/>
      <c r="E16" s="71" t="s">
        <v>8</v>
      </c>
      <c r="F16" s="71">
        <f>(F15-$E15)/$E15</f>
        <v>0.48478701066350283</v>
      </c>
      <c r="G16" s="71">
        <f>(G15-$E15)/$E15</f>
        <v>0.42626937103175344</v>
      </c>
      <c r="H16" s="71">
        <f>(H15-$E15)/$E15</f>
        <v>0.42984383402015408</v>
      </c>
    </row>
    <row r="17" spans="1:8" s="3" customFormat="1" ht="14.25" x14ac:dyDescent="0.25">
      <c r="A17" s="195" t="s">
        <v>9</v>
      </c>
      <c r="B17" s="195"/>
      <c r="C17" s="195"/>
      <c r="D17" s="195"/>
      <c r="E17" s="72" t="s">
        <v>8</v>
      </c>
      <c r="F17" s="70">
        <f>F15-$E15</f>
        <v>46627.920000000013</v>
      </c>
      <c r="G17" s="70">
        <f>G15-$E15</f>
        <v>40999.56</v>
      </c>
      <c r="H17" s="70">
        <f>H15-$E15</f>
        <v>41343.359999999986</v>
      </c>
    </row>
    <row r="18" spans="1:8" s="3" customFormat="1" ht="14.25" x14ac:dyDescent="0.25">
      <c r="A18" s="195" t="s">
        <v>10</v>
      </c>
      <c r="B18" s="195"/>
      <c r="C18" s="195"/>
      <c r="D18" s="195"/>
      <c r="E18" s="72" t="s">
        <v>8</v>
      </c>
      <c r="F18" s="72">
        <f>F14-$E14</f>
        <v>3885.6600000000008</v>
      </c>
      <c r="G18" s="72">
        <f>G14-$E14</f>
        <v>3416.63</v>
      </c>
      <c r="H18" s="72">
        <f>H14-$E14</f>
        <v>3445.2799999999997</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393</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248</v>
      </c>
      <c r="F23" s="77" t="s">
        <v>248</v>
      </c>
      <c r="G23" s="77" t="s">
        <v>394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362</v>
      </c>
      <c r="H25" s="79" t="s">
        <v>340</v>
      </c>
    </row>
    <row r="26" spans="1:8" s="4" customFormat="1" ht="14.25" x14ac:dyDescent="0.25">
      <c r="A26" s="153" t="s">
        <v>16</v>
      </c>
      <c r="B26" s="154"/>
      <c r="C26" s="154"/>
      <c r="D26" s="155"/>
      <c r="E26" s="81" t="s">
        <v>253</v>
      </c>
      <c r="F26" s="82" t="s">
        <v>253</v>
      </c>
      <c r="G26" s="81" t="s">
        <v>254</v>
      </c>
      <c r="H26" s="81" t="s">
        <v>340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396</v>
      </c>
      <c r="H28" s="84" t="s">
        <v>273</v>
      </c>
    </row>
    <row r="29" spans="1:8" s="4" customFormat="1" ht="28.5" x14ac:dyDescent="0.25">
      <c r="A29" s="144" t="s">
        <v>19</v>
      </c>
      <c r="B29" s="145"/>
      <c r="C29" s="145"/>
      <c r="D29" s="146"/>
      <c r="E29" s="84" t="s">
        <v>251</v>
      </c>
      <c r="F29" s="80" t="s">
        <v>251</v>
      </c>
      <c r="G29" s="84" t="s">
        <v>398</v>
      </c>
      <c r="H29" s="84" t="s">
        <v>340</v>
      </c>
    </row>
    <row r="30" spans="1:8" s="4" customFormat="1" ht="28.5" x14ac:dyDescent="0.25">
      <c r="A30" s="153" t="s">
        <v>20</v>
      </c>
      <c r="B30" s="154"/>
      <c r="C30" s="154"/>
      <c r="D30" s="155"/>
      <c r="E30" s="77" t="s">
        <v>250</v>
      </c>
      <c r="F30" s="85" t="s">
        <v>262</v>
      </c>
      <c r="G30" s="81" t="s">
        <v>395</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340</v>
      </c>
    </row>
    <row r="33" spans="1:8" s="4" customFormat="1" ht="14.25" x14ac:dyDescent="0.25">
      <c r="A33" s="144" t="s">
        <v>23</v>
      </c>
      <c r="B33" s="145"/>
      <c r="C33" s="145"/>
      <c r="D33" s="146"/>
      <c r="E33" s="81" t="s">
        <v>245</v>
      </c>
      <c r="F33" s="88" t="s">
        <v>259</v>
      </c>
      <c r="G33" s="81" t="s">
        <v>391</v>
      </c>
      <c r="H33" s="81" t="s">
        <v>267</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252</v>
      </c>
      <c r="F35" s="91" t="s">
        <v>263</v>
      </c>
      <c r="G35" s="84" t="s">
        <v>397</v>
      </c>
      <c r="H35" s="84" t="s">
        <v>340</v>
      </c>
    </row>
    <row r="36" spans="1:8" s="4" customFormat="1" ht="42.75" x14ac:dyDescent="0.25">
      <c r="A36" s="144" t="s">
        <v>26</v>
      </c>
      <c r="B36" s="145"/>
      <c r="C36" s="145"/>
      <c r="D36" s="146"/>
      <c r="E36" s="77" t="s">
        <v>246</v>
      </c>
      <c r="F36" s="92" t="s">
        <v>260</v>
      </c>
      <c r="G36" s="77" t="s">
        <v>392</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IF("$15"="","None","$15")</f>
        <v>$15</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 - $150 max"="","None","50% - $150 max")</f>
        <v>50% - $150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400</v>
      </c>
      <c r="H49" s="99" t="s">
        <v>290</v>
      </c>
    </row>
    <row r="50" spans="1:8" s="2" customFormat="1" ht="28.5" x14ac:dyDescent="0.25">
      <c r="A50" s="147" t="s">
        <v>27</v>
      </c>
      <c r="B50" s="148"/>
      <c r="C50" s="148"/>
      <c r="D50" s="149"/>
      <c r="E50" s="99" t="s">
        <v>256</v>
      </c>
      <c r="F50" s="99" t="s">
        <v>256</v>
      </c>
      <c r="G50" s="99" t="s">
        <v>399</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D00-000000000000}"/>
    <hyperlink ref="F8" r:id="rId2" xr:uid="{00000000-0004-0000-0D00-000001000000}"/>
    <hyperlink ref="F19" r:id="rId3" xr:uid="{00000000-0004-0000-0D00-000002000000}"/>
    <hyperlink ref="G8" r:id="rId4" xr:uid="{00000000-0004-0000-0D00-000003000000}"/>
    <hyperlink ref="G19" r:id="rId5" xr:uid="{00000000-0004-0000-0D00-000004000000}"/>
    <hyperlink ref="H8" r:id="rId6" xr:uid="{00000000-0004-0000-0D00-000005000000}"/>
    <hyperlink ref="H19" r:id="rId7" xr:uid="{00000000-0004-0000-0D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79B5-0B82-4EC3-964C-F9B725489848}">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191</v>
      </c>
      <c r="H5" s="57" t="s">
        <v>193</v>
      </c>
    </row>
    <row r="6" spans="1:8" s="2" customFormat="1" ht="45" x14ac:dyDescent="0.25">
      <c r="A6" s="186" t="s">
        <v>67</v>
      </c>
      <c r="B6" s="187"/>
      <c r="C6" s="187"/>
      <c r="D6" s="127">
        <v>4</v>
      </c>
      <c r="E6" s="115" t="s">
        <v>241</v>
      </c>
      <c r="F6" s="115" t="s">
        <v>258</v>
      </c>
      <c r="G6" s="116" t="s">
        <v>402</v>
      </c>
      <c r="H6" s="116" t="s">
        <v>403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12051.13</v>
      </c>
      <c r="H14" s="69">
        <v>12136.62</v>
      </c>
    </row>
    <row r="15" spans="1:8" s="2" customFormat="1" ht="14.25" x14ac:dyDescent="0.25">
      <c r="A15" s="197" t="s">
        <v>6</v>
      </c>
      <c r="B15" s="197"/>
      <c r="C15" s="197"/>
      <c r="D15" s="197"/>
      <c r="E15" s="70">
        <f>E14*12</f>
        <v>96182.28</v>
      </c>
      <c r="F15" s="70">
        <f>F14*12</f>
        <v>142810.20000000001</v>
      </c>
      <c r="G15" s="70">
        <f>G14*12</f>
        <v>144613.56</v>
      </c>
      <c r="H15" s="70">
        <f>H14*12</f>
        <v>145639.44</v>
      </c>
    </row>
    <row r="16" spans="1:8" s="2" customFormat="1" ht="14.25" x14ac:dyDescent="0.25">
      <c r="A16" s="197" t="s">
        <v>7</v>
      </c>
      <c r="B16" s="197"/>
      <c r="C16" s="197"/>
      <c r="D16" s="197"/>
      <c r="E16" s="71" t="s">
        <v>8</v>
      </c>
      <c r="F16" s="71">
        <f>(F15-$E15)/$E15</f>
        <v>0.48478701066350283</v>
      </c>
      <c r="G16" s="71">
        <f>(G15-$E15)/$E15</f>
        <v>0.50353641024105478</v>
      </c>
      <c r="H16" s="71">
        <f>(H15-$E15)/$E15</f>
        <v>0.51420240817747309</v>
      </c>
    </row>
    <row r="17" spans="1:8" s="3" customFormat="1" ht="14.25" x14ac:dyDescent="0.25">
      <c r="A17" s="195" t="s">
        <v>9</v>
      </c>
      <c r="B17" s="195"/>
      <c r="C17" s="195"/>
      <c r="D17" s="195"/>
      <c r="E17" s="72" t="s">
        <v>8</v>
      </c>
      <c r="F17" s="70">
        <f>F15-$E15</f>
        <v>46627.920000000013</v>
      </c>
      <c r="G17" s="70">
        <f>G15-$E15</f>
        <v>48431.28</v>
      </c>
      <c r="H17" s="70">
        <f>H15-$E15</f>
        <v>49457.16</v>
      </c>
    </row>
    <row r="18" spans="1:8" s="3" customFormat="1" ht="14.25" x14ac:dyDescent="0.25">
      <c r="A18" s="195" t="s">
        <v>10</v>
      </c>
      <c r="B18" s="195"/>
      <c r="C18" s="195"/>
      <c r="D18" s="195"/>
      <c r="E18" s="72" t="s">
        <v>8</v>
      </c>
      <c r="F18" s="72">
        <f>F14-$E14</f>
        <v>3885.6600000000008</v>
      </c>
      <c r="G18" s="72">
        <f>G14-$E14</f>
        <v>4035.9399999999996</v>
      </c>
      <c r="H18" s="72">
        <f>H14-$E14</f>
        <v>4121.4300000000012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360</v>
      </c>
      <c r="H21" s="73" t="s">
        <v>404</v>
      </c>
    </row>
    <row r="22" spans="1:8" s="4" customFormat="1" ht="14.25" x14ac:dyDescent="0.25">
      <c r="A22" s="144" t="s">
        <v>12</v>
      </c>
      <c r="B22" s="145"/>
      <c r="C22" s="145"/>
      <c r="D22" s="146"/>
      <c r="E22" s="74" t="s">
        <v>243</v>
      </c>
      <c r="F22" s="75" t="s">
        <v>243</v>
      </c>
      <c r="G22" s="75" t="s">
        <v>355</v>
      </c>
      <c r="H22" s="75" t="s">
        <v>243</v>
      </c>
    </row>
    <row r="23" spans="1:8" s="4" customFormat="1" ht="14.25" x14ac:dyDescent="0.25">
      <c r="A23" s="153" t="s">
        <v>13</v>
      </c>
      <c r="B23" s="154"/>
      <c r="C23" s="154"/>
      <c r="D23" s="155"/>
      <c r="E23" s="76" t="s">
        <v>248</v>
      </c>
      <c r="F23" s="77" t="s">
        <v>248</v>
      </c>
      <c r="G23" s="77" t="s">
        <v>361</v>
      </c>
      <c r="H23" s="77" t="s">
        <v>405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362</v>
      </c>
      <c r="H25" s="79" t="s">
        <v>273</v>
      </c>
    </row>
    <row r="26" spans="1:8" s="4" customFormat="1" ht="14.25" x14ac:dyDescent="0.25">
      <c r="A26" s="153" t="s">
        <v>16</v>
      </c>
      <c r="B26" s="154"/>
      <c r="C26" s="154"/>
      <c r="D26" s="155"/>
      <c r="E26" s="81" t="s">
        <v>253</v>
      </c>
      <c r="F26" s="82" t="s">
        <v>253</v>
      </c>
      <c r="G26" s="81" t="s">
        <v>254</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340</v>
      </c>
      <c r="H29" s="84" t="s">
        <v>288</v>
      </c>
    </row>
    <row r="30" spans="1:8" s="4" customFormat="1" ht="28.5" x14ac:dyDescent="0.25">
      <c r="A30" s="153" t="s">
        <v>20</v>
      </c>
      <c r="B30" s="154"/>
      <c r="C30" s="154"/>
      <c r="D30" s="155"/>
      <c r="E30" s="77" t="s">
        <v>250</v>
      </c>
      <c r="F30" s="85" t="s">
        <v>262</v>
      </c>
      <c r="G30" s="81" t="s">
        <v>339</v>
      </c>
      <c r="H30" s="81" t="s">
        <v>406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273</v>
      </c>
    </row>
    <row r="33" spans="1:8" s="4" customFormat="1" ht="14.25" x14ac:dyDescent="0.25">
      <c r="A33" s="144" t="s">
        <v>23</v>
      </c>
      <c r="B33" s="145"/>
      <c r="C33" s="145"/>
      <c r="D33" s="146"/>
      <c r="E33" s="81" t="s">
        <v>245</v>
      </c>
      <c r="F33" s="88" t="s">
        <v>259</v>
      </c>
      <c r="G33" s="81" t="s">
        <v>359</v>
      </c>
      <c r="H33" s="81" t="s">
        <v>288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340</v>
      </c>
      <c r="H35" s="84" t="s">
        <v>288</v>
      </c>
    </row>
    <row r="36" spans="1:8" s="4" customFormat="1" ht="42.75" x14ac:dyDescent="0.25">
      <c r="A36" s="144" t="s">
        <v>26</v>
      </c>
      <c r="B36" s="145"/>
      <c r="C36" s="145"/>
      <c r="D36" s="146"/>
      <c r="E36" s="77" t="s">
        <v>246</v>
      </c>
      <c r="F36" s="92" t="s">
        <v>260</v>
      </c>
      <c r="G36" s="77" t="s">
        <v>339</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IF("$10"="","None","$10")</f>
        <v>$10</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IF("50% - $125 max"="","None","50% - $125 max")</f>
        <v>50% - $125 max</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 - $125 max"="","None","50% - $125 max")</f>
        <v>50% - $125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364</v>
      </c>
      <c r="H49" s="99" t="s">
        <v>290</v>
      </c>
    </row>
    <row r="50" spans="1:8" s="2" customFormat="1" ht="28.5" x14ac:dyDescent="0.25">
      <c r="A50" s="147" t="s">
        <v>27</v>
      </c>
      <c r="B50" s="148"/>
      <c r="C50" s="148"/>
      <c r="D50" s="149"/>
      <c r="E50" s="99" t="s">
        <v>256</v>
      </c>
      <c r="F50" s="99" t="s">
        <v>256</v>
      </c>
      <c r="G50" s="99" t="s">
        <v>363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E00-000000000000}"/>
    <hyperlink ref="F8" r:id="rId2" xr:uid="{00000000-0004-0000-0E00-000001000000}"/>
    <hyperlink ref="F19" r:id="rId3" xr:uid="{00000000-0004-0000-0E00-000002000000}"/>
    <hyperlink ref="G8" r:id="rId4" xr:uid="{00000000-0004-0000-0E00-000003000000}"/>
    <hyperlink ref="G19" r:id="rId5" xr:uid="{00000000-0004-0000-0E00-000004000000}"/>
    <hyperlink ref="H8" r:id="rId6" xr:uid="{00000000-0004-0000-0E00-000005000000}"/>
    <hyperlink ref="H19" r:id="rId7" xr:uid="{00000000-0004-0000-0E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9E77-5390-4C54-8087-FA1B0E481A05}">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195</v>
      </c>
      <c r="H5" s="57" t="s">
        <v>197</v>
      </c>
    </row>
    <row r="6" spans="1:8" s="2" customFormat="1" ht="45" x14ac:dyDescent="0.25">
      <c r="A6" s="186" t="s">
        <v>67</v>
      </c>
      <c r="B6" s="187"/>
      <c r="C6" s="187"/>
      <c r="D6" s="127">
        <v>4</v>
      </c>
      <c r="E6" s="115" t="s">
        <v>241</v>
      </c>
      <c r="F6" s="115" t="s">
        <v>258</v>
      </c>
      <c r="G6" s="116" t="s">
        <v>407</v>
      </c>
      <c r="H6" s="116" t="s">
        <v>413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12369.72</v>
      </c>
      <c r="H14" s="69">
        <v>12621.64</v>
      </c>
    </row>
    <row r="15" spans="1:8" s="2" customFormat="1" ht="14.25" x14ac:dyDescent="0.25">
      <c r="A15" s="197" t="s">
        <v>6</v>
      </c>
      <c r="B15" s="197"/>
      <c r="C15" s="197"/>
      <c r="D15" s="197"/>
      <c r="E15" s="70">
        <f>E14*12</f>
        <v>96182.28</v>
      </c>
      <c r="F15" s="70">
        <f>F14*12</f>
        <v>142810.20000000001</v>
      </c>
      <c r="G15" s="70">
        <f>G14*12</f>
        <v>148436.63999999998</v>
      </c>
      <c r="H15" s="70">
        <f>H14*12</f>
        <v>151459.68</v>
      </c>
    </row>
    <row r="16" spans="1:8" s="2" customFormat="1" ht="14.25" x14ac:dyDescent="0.25">
      <c r="A16" s="197" t="s">
        <v>7</v>
      </c>
      <c r="B16" s="197"/>
      <c r="C16" s="197"/>
      <c r="D16" s="197"/>
      <c r="E16" s="71" t="s">
        <v>8</v>
      </c>
      <c r="F16" s="71">
        <f>(F15-$E15)/$E15</f>
        <v>0.48478701066350283</v>
      </c>
      <c r="G16" s="71">
        <f>(G15-$E15)/$E15</f>
        <v>0.54328468819828335</v>
      </c>
      <c r="H16" s="71">
        <f>(H15-$E15)/$E15</f>
        <v>0.57471500987499979</v>
      </c>
    </row>
    <row r="17" spans="1:8" s="3" customFormat="1" ht="14.25" x14ac:dyDescent="0.25">
      <c r="A17" s="195" t="s">
        <v>9</v>
      </c>
      <c r="B17" s="195"/>
      <c r="C17" s="195"/>
      <c r="D17" s="195"/>
      <c r="E17" s="72" t="s">
        <v>8</v>
      </c>
      <c r="F17" s="70">
        <f>F15-$E15</f>
        <v>46627.920000000013</v>
      </c>
      <c r="G17" s="70">
        <f>G15-$E15</f>
        <v>52254.359999999986</v>
      </c>
      <c r="H17" s="70">
        <f>H15-$E15</f>
        <v>55277.399999999994</v>
      </c>
    </row>
    <row r="18" spans="1:8" s="3" customFormat="1" ht="14.25" x14ac:dyDescent="0.25">
      <c r="A18" s="195" t="s">
        <v>10</v>
      </c>
      <c r="B18" s="195"/>
      <c r="C18" s="195"/>
      <c r="D18" s="195"/>
      <c r="E18" s="72" t="s">
        <v>8</v>
      </c>
      <c r="F18" s="72">
        <f>F14-$E14</f>
        <v>3885.6600000000008</v>
      </c>
      <c r="G18" s="72">
        <f>G14-$E14</f>
        <v>4354.53</v>
      </c>
      <c r="H18" s="72">
        <f>H14-$E14</f>
        <v>4606.45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408</v>
      </c>
      <c r="H21" s="73" t="s">
        <v>318</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248</v>
      </c>
      <c r="F23" s="77" t="s">
        <v>248</v>
      </c>
      <c r="G23" s="77" t="s">
        <v>409</v>
      </c>
      <c r="H23" s="77" t="s">
        <v>249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411</v>
      </c>
      <c r="H25" s="79" t="s">
        <v>321</v>
      </c>
    </row>
    <row r="26" spans="1:8" s="4" customFormat="1" ht="14.25" x14ac:dyDescent="0.25">
      <c r="A26" s="153" t="s">
        <v>16</v>
      </c>
      <c r="B26" s="154"/>
      <c r="C26" s="154"/>
      <c r="D26" s="155"/>
      <c r="E26" s="81" t="s">
        <v>253</v>
      </c>
      <c r="F26" s="82" t="s">
        <v>253</v>
      </c>
      <c r="G26" s="81" t="s">
        <v>321</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348</v>
      </c>
      <c r="H28" s="84" t="s">
        <v>414</v>
      </c>
    </row>
    <row r="29" spans="1:8" s="4" customFormat="1" ht="28.5" x14ac:dyDescent="0.25">
      <c r="A29" s="144" t="s">
        <v>19</v>
      </c>
      <c r="B29" s="145"/>
      <c r="C29" s="145"/>
      <c r="D29" s="146"/>
      <c r="E29" s="84" t="s">
        <v>251</v>
      </c>
      <c r="F29" s="80" t="s">
        <v>251</v>
      </c>
      <c r="G29" s="84" t="s">
        <v>267</v>
      </c>
      <c r="H29" s="84" t="s">
        <v>414</v>
      </c>
    </row>
    <row r="30" spans="1:8" s="4" customFormat="1" ht="28.5" x14ac:dyDescent="0.25">
      <c r="A30" s="153" t="s">
        <v>20</v>
      </c>
      <c r="B30" s="154"/>
      <c r="C30" s="154"/>
      <c r="D30" s="155"/>
      <c r="E30" s="77" t="s">
        <v>250</v>
      </c>
      <c r="F30" s="85" t="s">
        <v>262</v>
      </c>
      <c r="G30" s="81" t="s">
        <v>336</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307</v>
      </c>
    </row>
    <row r="33" spans="1:8" s="4" customFormat="1" ht="28.5" x14ac:dyDescent="0.25">
      <c r="A33" s="144" t="s">
        <v>23</v>
      </c>
      <c r="B33" s="145"/>
      <c r="C33" s="145"/>
      <c r="D33" s="146"/>
      <c r="E33" s="81" t="s">
        <v>245</v>
      </c>
      <c r="F33" s="88" t="s">
        <v>259</v>
      </c>
      <c r="G33" s="81" t="s">
        <v>346</v>
      </c>
      <c r="H33" s="81" t="s">
        <v>326</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252</v>
      </c>
      <c r="F35" s="91" t="s">
        <v>263</v>
      </c>
      <c r="G35" s="84" t="s">
        <v>410</v>
      </c>
      <c r="H35" s="84" t="s">
        <v>415</v>
      </c>
    </row>
    <row r="36" spans="1:8" s="4" customFormat="1" ht="42.75" x14ac:dyDescent="0.25">
      <c r="A36" s="144" t="s">
        <v>26</v>
      </c>
      <c r="B36" s="145"/>
      <c r="C36" s="145"/>
      <c r="D36" s="146"/>
      <c r="E36" s="77" t="s">
        <v>246</v>
      </c>
      <c r="F36" s="92" t="s">
        <v>260</v>
      </c>
      <c r="G36" s="77" t="s">
        <v>267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251</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IF("$15"="","None","$15")</f>
        <v>$15</v>
      </c>
      <c r="H45" s="99" t="str">
        <f>IF("$25"="","None","$25")</f>
        <v>$25</v>
      </c>
    </row>
    <row r="46" spans="1:8" s="5" customFormat="1" ht="14.25" x14ac:dyDescent="0.25">
      <c r="A46" s="150" t="s">
        <v>72</v>
      </c>
      <c r="B46" s="151"/>
      <c r="C46" s="151"/>
      <c r="D46" s="152"/>
      <c r="E46" s="99" t="str">
        <f>IF("$60"="","None","$60")</f>
        <v>$60</v>
      </c>
      <c r="F46" s="99" t="str">
        <f>IF("$60"="","None","$60")</f>
        <v>$60</v>
      </c>
      <c r="G46" s="99" t="str">
        <f>IF("$35"="","None","$35")</f>
        <v>$35</v>
      </c>
      <c r="H46" s="99" t="str">
        <f>IF("$50"="","None","$50")</f>
        <v>$50</v>
      </c>
    </row>
    <row r="47" spans="1:8" s="5" customFormat="1" ht="14.25" x14ac:dyDescent="0.25">
      <c r="A47" s="150" t="s">
        <v>73</v>
      </c>
      <c r="B47" s="151"/>
      <c r="C47" s="151"/>
      <c r="D47" s="152"/>
      <c r="E47" s="99" t="str">
        <f>IF("$90"="","None","$90")</f>
        <v>$90</v>
      </c>
      <c r="F47" s="99" t="str">
        <f>IF("$90"="","None","$90")</f>
        <v>$90</v>
      </c>
      <c r="G47" s="99" t="str">
        <f>IF("$75"="","None","$75")</f>
        <v>$75</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400</v>
      </c>
      <c r="H49" s="99" t="s">
        <v>334</v>
      </c>
    </row>
    <row r="50" spans="1:8" s="2" customFormat="1" ht="14.25" x14ac:dyDescent="0.25">
      <c r="A50" s="147" t="s">
        <v>27</v>
      </c>
      <c r="B50" s="148"/>
      <c r="C50" s="148"/>
      <c r="D50" s="149"/>
      <c r="E50" s="99" t="s">
        <v>256</v>
      </c>
      <c r="F50" s="99" t="s">
        <v>256</v>
      </c>
      <c r="G50" s="99" t="s">
        <v>412</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0F00-000000000000}"/>
    <hyperlink ref="F8" r:id="rId2" xr:uid="{00000000-0004-0000-0F00-000001000000}"/>
    <hyperlink ref="F19" r:id="rId3" xr:uid="{00000000-0004-0000-0F00-000002000000}"/>
    <hyperlink ref="G8" r:id="rId4" xr:uid="{00000000-0004-0000-0F00-000003000000}"/>
    <hyperlink ref="G19" r:id="rId5" xr:uid="{00000000-0004-0000-0F00-000004000000}"/>
    <hyperlink ref="H8" r:id="rId6" xr:uid="{00000000-0004-0000-0F00-000005000000}"/>
    <hyperlink ref="H19" r:id="rId7" xr:uid="{00000000-0004-0000-0F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C988-F0F0-4E31-8320-55FBBA827B48}">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199</v>
      </c>
      <c r="H5" s="57" t="s">
        <v>201</v>
      </c>
    </row>
    <row r="6" spans="1:8" s="2" customFormat="1" ht="45" x14ac:dyDescent="0.25">
      <c r="A6" s="186" t="s">
        <v>67</v>
      </c>
      <c r="B6" s="187"/>
      <c r="C6" s="187"/>
      <c r="D6" s="127">
        <v>4</v>
      </c>
      <c r="E6" s="115" t="s">
        <v>241</v>
      </c>
      <c r="F6" s="115" t="s">
        <v>258</v>
      </c>
      <c r="G6" s="116" t="s">
        <v>417</v>
      </c>
      <c r="H6" s="116" t="s">
        <v>426</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12830.71</v>
      </c>
      <c r="H14" s="69">
        <v>13291.82</v>
      </c>
    </row>
    <row r="15" spans="1:8" s="2" customFormat="1" ht="14.25" x14ac:dyDescent="0.25">
      <c r="A15" s="197" t="s">
        <v>6</v>
      </c>
      <c r="B15" s="197"/>
      <c r="C15" s="197"/>
      <c r="D15" s="197"/>
      <c r="E15" s="70">
        <f>E14*12</f>
        <v>96182.28</v>
      </c>
      <c r="F15" s="70">
        <f>F14*12</f>
        <v>142810.20000000001</v>
      </c>
      <c r="G15" s="70">
        <f>G14*12</f>
        <v>153968.51999999999</v>
      </c>
      <c r="H15" s="70">
        <f>H14*12</f>
        <v>159501.84</v>
      </c>
    </row>
    <row r="16" spans="1:8" s="2" customFormat="1" ht="14.25" x14ac:dyDescent="0.25">
      <c r="A16" s="197" t="s">
        <v>7</v>
      </c>
      <c r="B16" s="197"/>
      <c r="C16" s="197"/>
      <c r="D16" s="197"/>
      <c r="E16" s="71" t="s">
        <v>8</v>
      </c>
      <c r="F16" s="71">
        <f>(F15-$E15)/$E15</f>
        <v>0.48478701066350283</v>
      </c>
      <c r="G16" s="71">
        <f>(G15-$E15)/$E15</f>
        <v>0.60079923245737143</v>
      </c>
      <c r="H16" s="71">
        <f>(H15-$E15)/$E15</f>
        <v>0.65832874828918586</v>
      </c>
    </row>
    <row r="17" spans="1:8" s="3" customFormat="1" ht="14.25" x14ac:dyDescent="0.25">
      <c r="A17" s="195" t="s">
        <v>9</v>
      </c>
      <c r="B17" s="195"/>
      <c r="C17" s="195"/>
      <c r="D17" s="195"/>
      <c r="E17" s="72" t="s">
        <v>8</v>
      </c>
      <c r="F17" s="70">
        <f>F15-$E15</f>
        <v>46627.920000000013</v>
      </c>
      <c r="G17" s="70">
        <f>G15-$E15</f>
        <v>57786.239999999991</v>
      </c>
      <c r="H17" s="70">
        <f>H15-$E15</f>
        <v>63319.56</v>
      </c>
    </row>
    <row r="18" spans="1:8" s="3" customFormat="1" ht="14.25" x14ac:dyDescent="0.25">
      <c r="A18" s="195" t="s">
        <v>10</v>
      </c>
      <c r="B18" s="195"/>
      <c r="C18" s="195"/>
      <c r="D18" s="195"/>
      <c r="E18" s="72" t="s">
        <v>8</v>
      </c>
      <c r="F18" s="72">
        <f>F14-$E14</f>
        <v>3885.6600000000008</v>
      </c>
      <c r="G18" s="72">
        <f>G14-$E14</f>
        <v>4815.5199999999995</v>
      </c>
      <c r="H18" s="72">
        <f>H14-$E14</f>
        <v>5276.63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248</v>
      </c>
      <c r="F23" s="77" t="s">
        <v>248</v>
      </c>
      <c r="G23" s="77" t="s">
        <v>319</v>
      </c>
      <c r="H23" s="77" t="s">
        <v>428</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423</v>
      </c>
      <c r="H25" s="79" t="s">
        <v>321</v>
      </c>
    </row>
    <row r="26" spans="1:8" s="4" customFormat="1" ht="14.25" x14ac:dyDescent="0.25">
      <c r="A26" s="153" t="s">
        <v>16</v>
      </c>
      <c r="B26" s="154"/>
      <c r="C26" s="154"/>
      <c r="D26" s="155"/>
      <c r="E26" s="81" t="s">
        <v>253</v>
      </c>
      <c r="F26" s="82" t="s">
        <v>253</v>
      </c>
      <c r="G26" s="81" t="s">
        <v>274</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429</v>
      </c>
    </row>
    <row r="29" spans="1:8" s="4" customFormat="1" ht="14.25" x14ac:dyDescent="0.25">
      <c r="A29" s="144" t="s">
        <v>19</v>
      </c>
      <c r="B29" s="145"/>
      <c r="C29" s="145"/>
      <c r="D29" s="146"/>
      <c r="E29" s="84" t="s">
        <v>251</v>
      </c>
      <c r="F29" s="80" t="s">
        <v>251</v>
      </c>
      <c r="G29" s="84" t="s">
        <v>422</v>
      </c>
      <c r="H29" s="84" t="s">
        <v>321</v>
      </c>
    </row>
    <row r="30" spans="1:8" s="4" customFormat="1" ht="14.25" x14ac:dyDescent="0.25">
      <c r="A30" s="153" t="s">
        <v>20</v>
      </c>
      <c r="B30" s="154"/>
      <c r="C30" s="154"/>
      <c r="D30" s="155"/>
      <c r="E30" s="77" t="s">
        <v>250</v>
      </c>
      <c r="F30" s="85" t="s">
        <v>262</v>
      </c>
      <c r="G30" s="81" t="s">
        <v>420</v>
      </c>
      <c r="H30" s="81" t="s">
        <v>336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321</v>
      </c>
    </row>
    <row r="33" spans="1:8" s="4" customFormat="1" ht="14.25" x14ac:dyDescent="0.25">
      <c r="A33" s="144" t="s">
        <v>23</v>
      </c>
      <c r="B33" s="145"/>
      <c r="C33" s="145"/>
      <c r="D33" s="146"/>
      <c r="E33" s="81" t="s">
        <v>245</v>
      </c>
      <c r="F33" s="88" t="s">
        <v>259</v>
      </c>
      <c r="G33" s="81" t="s">
        <v>418</v>
      </c>
      <c r="H33" s="81" t="s">
        <v>336</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421</v>
      </c>
      <c r="H35" s="84" t="s">
        <v>430</v>
      </c>
    </row>
    <row r="36" spans="1:8" s="4" customFormat="1" ht="42.75" x14ac:dyDescent="0.25">
      <c r="A36" s="144" t="s">
        <v>26</v>
      </c>
      <c r="B36" s="145"/>
      <c r="C36" s="145"/>
      <c r="D36" s="146"/>
      <c r="E36" s="77" t="s">
        <v>246</v>
      </c>
      <c r="F36" s="92" t="s">
        <v>260</v>
      </c>
      <c r="G36" s="77" t="s">
        <v>419</v>
      </c>
      <c r="H36" s="77" t="s">
        <v>427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431</v>
      </c>
    </row>
    <row r="45" spans="1:8" s="5" customFormat="1" ht="14.25" x14ac:dyDescent="0.25">
      <c r="A45" s="150" t="s">
        <v>71</v>
      </c>
      <c r="B45" s="151"/>
      <c r="C45" s="151"/>
      <c r="D45" s="152"/>
      <c r="E45" s="99" t="str">
        <f>IF("$10"="","None","$10")</f>
        <v>$10</v>
      </c>
      <c r="F45" s="99" t="str">
        <f>IF("$10"="","None","$10")</f>
        <v>$10</v>
      </c>
      <c r="G45" s="99" t="str">
        <f>IF("$15"="","None","$15")</f>
        <v>$15</v>
      </c>
      <c r="H45" s="99" t="str">
        <f>IF("$7"="","None","$7")</f>
        <v>$7</v>
      </c>
    </row>
    <row r="46" spans="1:8" s="5" customFormat="1" ht="14.25" x14ac:dyDescent="0.25">
      <c r="A46" s="150" t="s">
        <v>72</v>
      </c>
      <c r="B46" s="151"/>
      <c r="C46" s="151"/>
      <c r="D46" s="152"/>
      <c r="E46" s="99" t="str">
        <f>IF("$60"="","None","$60")</f>
        <v>$60</v>
      </c>
      <c r="F46" s="99" t="str">
        <f>IF("$60"="","None","$60")</f>
        <v>$60</v>
      </c>
      <c r="G46" s="99" t="str">
        <f>IF("$50"="","None","$50")</f>
        <v>$50</v>
      </c>
      <c r="H46" s="99" t="str">
        <f>IF("$35 after Rx deductible"="","None","$35 after Rx deductible")</f>
        <v>$35 after Rx deductible</v>
      </c>
    </row>
    <row r="47" spans="1:8" s="5" customFormat="1" ht="14.25" x14ac:dyDescent="0.25">
      <c r="A47" s="150" t="s">
        <v>73</v>
      </c>
      <c r="B47" s="151"/>
      <c r="C47" s="151"/>
      <c r="D47" s="152"/>
      <c r="E47" s="99" t="str">
        <f>IF("$90"="","None","$90")</f>
        <v>$90</v>
      </c>
      <c r="F47" s="99" t="str">
        <f>IF("$90"="","None","$90")</f>
        <v>$90</v>
      </c>
      <c r="G47" s="99" t="str">
        <f>IF("$300"="","None","$300")</f>
        <v>$300</v>
      </c>
      <c r="H47" s="99" t="str">
        <f>IF("$75 after Rx deductible"="","None","$75 after Rx deductible")</f>
        <v>$75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257</v>
      </c>
      <c r="F49" s="99" t="s">
        <v>257</v>
      </c>
      <c r="G49" s="99" t="s">
        <v>425</v>
      </c>
      <c r="H49" s="99" t="s">
        <v>433</v>
      </c>
    </row>
    <row r="50" spans="1:8" s="2" customFormat="1" ht="28.5" x14ac:dyDescent="0.25">
      <c r="A50" s="147" t="s">
        <v>27</v>
      </c>
      <c r="B50" s="148"/>
      <c r="C50" s="148"/>
      <c r="D50" s="149"/>
      <c r="E50" s="99" t="s">
        <v>256</v>
      </c>
      <c r="F50" s="99" t="s">
        <v>256</v>
      </c>
      <c r="G50" s="99" t="s">
        <v>424</v>
      </c>
      <c r="H50" s="99" t="s">
        <v>432</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000-000000000000}"/>
    <hyperlink ref="F8" r:id="rId2" xr:uid="{00000000-0004-0000-1000-000001000000}"/>
    <hyperlink ref="F19" r:id="rId3" xr:uid="{00000000-0004-0000-1000-000002000000}"/>
    <hyperlink ref="G8" r:id="rId4" xr:uid="{00000000-0004-0000-1000-000003000000}"/>
    <hyperlink ref="G19" r:id="rId5" xr:uid="{00000000-0004-0000-1000-000004000000}"/>
    <hyperlink ref="H8" r:id="rId6" xr:uid="{00000000-0004-0000-1000-000005000000}"/>
    <hyperlink ref="H19" r:id="rId7" xr:uid="{00000000-0004-0000-10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6FF3-FF69-4D26-9D13-48FB376F208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203</v>
      </c>
      <c r="H5" s="57" t="s">
        <v>205</v>
      </c>
    </row>
    <row r="6" spans="1:8" s="2" customFormat="1" ht="45" x14ac:dyDescent="0.25">
      <c r="A6" s="186" t="s">
        <v>67</v>
      </c>
      <c r="B6" s="187"/>
      <c r="C6" s="187"/>
      <c r="D6" s="127">
        <v>4</v>
      </c>
      <c r="E6" s="115" t="s">
        <v>241</v>
      </c>
      <c r="F6" s="115" t="s">
        <v>258</v>
      </c>
      <c r="G6" s="116" t="s">
        <v>434</v>
      </c>
      <c r="H6" s="116" t="s">
        <v>447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13541.87</v>
      </c>
      <c r="H14" s="69">
        <v>13781.23</v>
      </c>
    </row>
    <row r="15" spans="1:8" s="2" customFormat="1" ht="14.25" x14ac:dyDescent="0.25">
      <c r="A15" s="197" t="s">
        <v>6</v>
      </c>
      <c r="B15" s="197"/>
      <c r="C15" s="197"/>
      <c r="D15" s="197"/>
      <c r="E15" s="70">
        <f>E14*12</f>
        <v>96182.28</v>
      </c>
      <c r="F15" s="70">
        <f>F14*12</f>
        <v>142810.20000000001</v>
      </c>
      <c r="G15" s="70">
        <f>G14*12</f>
        <v>162502.44</v>
      </c>
      <c r="H15" s="70">
        <f>H14*12</f>
        <v>165374.76</v>
      </c>
    </row>
    <row r="16" spans="1:8" s="2" customFormat="1" ht="14.25" x14ac:dyDescent="0.25">
      <c r="A16" s="197" t="s">
        <v>7</v>
      </c>
      <c r="B16" s="197"/>
      <c r="C16" s="197"/>
      <c r="D16" s="197"/>
      <c r="E16" s="71" t="s">
        <v>8</v>
      </c>
      <c r="F16" s="71">
        <f>(F15-$E15)/$E15</f>
        <v>0.48478701066350283</v>
      </c>
      <c r="G16" s="71">
        <f>(G15-$E15)/$E15</f>
        <v>0.68952576295758428</v>
      </c>
      <c r="H16" s="71">
        <f>(H15-$E15)/$E15</f>
        <v>0.71938906002228276</v>
      </c>
    </row>
    <row r="17" spans="1:8" s="3" customFormat="1" ht="14.25" x14ac:dyDescent="0.25">
      <c r="A17" s="195" t="s">
        <v>9</v>
      </c>
      <c r="B17" s="195"/>
      <c r="C17" s="195"/>
      <c r="D17" s="195"/>
      <c r="E17" s="72" t="s">
        <v>8</v>
      </c>
      <c r="F17" s="70">
        <f>F15-$E15</f>
        <v>46627.920000000013</v>
      </c>
      <c r="G17" s="70">
        <f>G15-$E15</f>
        <v>66320.160000000003</v>
      </c>
      <c r="H17" s="70">
        <f>H15-$E15</f>
        <v>69192.48000000001</v>
      </c>
    </row>
    <row r="18" spans="1:8" s="3" customFormat="1" ht="14.25" x14ac:dyDescent="0.25">
      <c r="A18" s="195" t="s">
        <v>10</v>
      </c>
      <c r="B18" s="195"/>
      <c r="C18" s="195"/>
      <c r="D18" s="195"/>
      <c r="E18" s="72" t="s">
        <v>8</v>
      </c>
      <c r="F18" s="72">
        <f>F14-$E14</f>
        <v>3885.6600000000008</v>
      </c>
      <c r="G18" s="72">
        <f>G14-$E14</f>
        <v>5526.6800000000012</v>
      </c>
      <c r="H18" s="72">
        <f>H14-$E14</f>
        <v>5766.04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438</v>
      </c>
      <c r="H21" s="73" t="s">
        <v>318</v>
      </c>
    </row>
    <row r="22" spans="1:8" s="4" customFormat="1" ht="14.25" x14ac:dyDescent="0.25">
      <c r="A22" s="144" t="s">
        <v>12</v>
      </c>
      <c r="B22" s="145"/>
      <c r="C22" s="145"/>
      <c r="D22" s="146"/>
      <c r="E22" s="74" t="s">
        <v>243</v>
      </c>
      <c r="F22" s="75" t="s">
        <v>243</v>
      </c>
      <c r="G22" s="75" t="s">
        <v>435</v>
      </c>
      <c r="H22" s="75" t="s">
        <v>266</v>
      </c>
    </row>
    <row r="23" spans="1:8" s="4" customFormat="1" ht="28.5" x14ac:dyDescent="0.25">
      <c r="A23" s="153" t="s">
        <v>13</v>
      </c>
      <c r="B23" s="154"/>
      <c r="C23" s="154"/>
      <c r="D23" s="155"/>
      <c r="E23" s="76" t="s">
        <v>248</v>
      </c>
      <c r="F23" s="77" t="s">
        <v>248</v>
      </c>
      <c r="G23" s="77" t="s">
        <v>439</v>
      </c>
      <c r="H23" s="77" t="s">
        <v>249</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253</v>
      </c>
      <c r="F25" s="80" t="s">
        <v>253</v>
      </c>
      <c r="G25" s="79" t="s">
        <v>443</v>
      </c>
      <c r="H25" s="79" t="s">
        <v>321</v>
      </c>
    </row>
    <row r="26" spans="1:8" s="4" customFormat="1" ht="28.5" x14ac:dyDescent="0.25">
      <c r="A26" s="153" t="s">
        <v>16</v>
      </c>
      <c r="B26" s="154"/>
      <c r="C26" s="154"/>
      <c r="D26" s="155"/>
      <c r="E26" s="81" t="s">
        <v>253</v>
      </c>
      <c r="F26" s="82" t="s">
        <v>253</v>
      </c>
      <c r="G26" s="81" t="s">
        <v>444</v>
      </c>
      <c r="H26" s="81" t="s">
        <v>307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441</v>
      </c>
      <c r="H28" s="84" t="s">
        <v>414</v>
      </c>
    </row>
    <row r="29" spans="1:8" s="4" customFormat="1" ht="57" x14ac:dyDescent="0.25">
      <c r="A29" s="144" t="s">
        <v>19</v>
      </c>
      <c r="B29" s="145"/>
      <c r="C29" s="145"/>
      <c r="D29" s="146"/>
      <c r="E29" s="84" t="s">
        <v>251</v>
      </c>
      <c r="F29" s="80" t="s">
        <v>251</v>
      </c>
      <c r="G29" s="84" t="s">
        <v>441</v>
      </c>
      <c r="H29" s="84" t="s">
        <v>414</v>
      </c>
    </row>
    <row r="30" spans="1:8" s="4" customFormat="1" ht="42.75" x14ac:dyDescent="0.25">
      <c r="A30" s="153" t="s">
        <v>20</v>
      </c>
      <c r="B30" s="154"/>
      <c r="C30" s="154"/>
      <c r="D30" s="155"/>
      <c r="E30" s="77" t="s">
        <v>250</v>
      </c>
      <c r="F30" s="85" t="s">
        <v>262</v>
      </c>
      <c r="G30" s="81" t="s">
        <v>440</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254</v>
      </c>
      <c r="F32" s="87" t="s">
        <v>254</v>
      </c>
      <c r="G32" s="84" t="s">
        <v>445</v>
      </c>
      <c r="H32" s="84" t="s">
        <v>307</v>
      </c>
    </row>
    <row r="33" spans="1:8" s="4" customFormat="1" ht="28.5" x14ac:dyDescent="0.25">
      <c r="A33" s="144" t="s">
        <v>23</v>
      </c>
      <c r="B33" s="145"/>
      <c r="C33" s="145"/>
      <c r="D33" s="146"/>
      <c r="E33" s="81" t="s">
        <v>245</v>
      </c>
      <c r="F33" s="88" t="s">
        <v>259</v>
      </c>
      <c r="G33" s="81" t="s">
        <v>436</v>
      </c>
      <c r="H33" s="81" t="s">
        <v>326</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252</v>
      </c>
      <c r="F35" s="91" t="s">
        <v>263</v>
      </c>
      <c r="G35" s="84" t="s">
        <v>442</v>
      </c>
      <c r="H35" s="84" t="s">
        <v>415</v>
      </c>
    </row>
    <row r="36" spans="1:8" s="4" customFormat="1" ht="99.75" x14ac:dyDescent="0.25">
      <c r="A36" s="144" t="s">
        <v>26</v>
      </c>
      <c r="B36" s="145"/>
      <c r="C36" s="145"/>
      <c r="D36" s="146"/>
      <c r="E36" s="77" t="s">
        <v>246</v>
      </c>
      <c r="F36" s="92" t="s">
        <v>260</v>
      </c>
      <c r="G36" s="77" t="s">
        <v>437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255</v>
      </c>
    </row>
    <row r="45" spans="1:8" s="5" customFormat="1" ht="14.25" x14ac:dyDescent="0.25">
      <c r="A45" s="150" t="s">
        <v>71</v>
      </c>
      <c r="B45" s="151"/>
      <c r="C45" s="151"/>
      <c r="D45" s="152"/>
      <c r="E45" s="99" t="str">
        <f>IF("$10"="","None","$10")</f>
        <v>$10</v>
      </c>
      <c r="F45" s="99" t="str">
        <f>IF("$10"="","None","$10")</f>
        <v>$10</v>
      </c>
      <c r="G45" s="99" t="str">
        <f>IF("$10 after Rx deductible"="","None","$10 after Rx deductible")</f>
        <v>$10 after Rx deductible</v>
      </c>
      <c r="H45" s="99" t="str">
        <f>IF("$25"="","None","$25")</f>
        <v>$25</v>
      </c>
    </row>
    <row r="46" spans="1:8" s="5" customFormat="1" ht="14.25" x14ac:dyDescent="0.25">
      <c r="A46" s="150" t="s">
        <v>72</v>
      </c>
      <c r="B46" s="151"/>
      <c r="C46" s="151"/>
      <c r="D46" s="152"/>
      <c r="E46" s="99" t="str">
        <f>IF("$60"="","None","$60")</f>
        <v>$60</v>
      </c>
      <c r="F46" s="99" t="str">
        <f>IF("$60"="","None","$60")</f>
        <v>$60</v>
      </c>
      <c r="G46" s="99" t="str">
        <f>IF("$40 after Rx deductible"="","None","$40 after Rx deductible")</f>
        <v>$40 after Rx deductible</v>
      </c>
      <c r="H46" s="99" t="str">
        <f>IF("$50"="","None","$50")</f>
        <v>$50</v>
      </c>
    </row>
    <row r="47" spans="1:8" s="5" customFormat="1" ht="14.25" x14ac:dyDescent="0.25">
      <c r="A47" s="150" t="s">
        <v>73</v>
      </c>
      <c r="B47" s="151"/>
      <c r="C47" s="151"/>
      <c r="D47" s="152"/>
      <c r="E47" s="99" t="str">
        <f>IF("$90"="","None","$90")</f>
        <v>$90</v>
      </c>
      <c r="F47" s="99" t="str">
        <f>IF("$90"="","None","$90")</f>
        <v>$90</v>
      </c>
      <c r="G47" s="99" t="str">
        <f>IF("$75 after Rx deductible"="","None","$75 after Rx deductible")</f>
        <v>$75 after Rx deductible</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14.25" x14ac:dyDescent="0.25">
      <c r="A50" s="147" t="s">
        <v>27</v>
      </c>
      <c r="B50" s="148"/>
      <c r="C50" s="148"/>
      <c r="D50" s="149"/>
      <c r="E50" s="99" t="s">
        <v>256</v>
      </c>
      <c r="F50" s="99" t="s">
        <v>256</v>
      </c>
      <c r="G50" s="99" t="s">
        <v>446</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100-000000000000}"/>
    <hyperlink ref="F8" r:id="rId2" xr:uid="{00000000-0004-0000-1100-000001000000}"/>
    <hyperlink ref="F19" r:id="rId3" xr:uid="{00000000-0004-0000-1100-000002000000}"/>
    <hyperlink ref="G8" r:id="rId4" xr:uid="{00000000-0004-0000-1100-000003000000}"/>
    <hyperlink ref="G19" r:id="rId5" xr:uid="{00000000-0004-0000-1100-000004000000}"/>
    <hyperlink ref="H8" r:id="rId6" xr:uid="{00000000-0004-0000-1100-000005000000}"/>
    <hyperlink ref="H19" r:id="rId7" xr:uid="{00000000-0004-0000-11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8C2A-A44F-460D-AEFD-B0AE2594D88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207</v>
      </c>
      <c r="H5" s="57" t="s">
        <v>209</v>
      </c>
    </row>
    <row r="6" spans="1:8" s="2" customFormat="1" ht="45" x14ac:dyDescent="0.25">
      <c r="A6" s="186" t="s">
        <v>67</v>
      </c>
      <c r="B6" s="187"/>
      <c r="C6" s="187"/>
      <c r="D6" s="127">
        <v>4</v>
      </c>
      <c r="E6" s="115" t="s">
        <v>241</v>
      </c>
      <c r="F6" s="115" t="s">
        <v>258</v>
      </c>
      <c r="G6" s="116" t="s">
        <v>448</v>
      </c>
      <c r="H6" s="116" t="s">
        <v>449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13980.95</v>
      </c>
      <c r="H14" s="69">
        <v>14113.77</v>
      </c>
    </row>
    <row r="15" spans="1:8" s="2" customFormat="1" ht="14.25" x14ac:dyDescent="0.25">
      <c r="A15" s="197" t="s">
        <v>6</v>
      </c>
      <c r="B15" s="197"/>
      <c r="C15" s="197"/>
      <c r="D15" s="197"/>
      <c r="E15" s="70">
        <f>E14*12</f>
        <v>96182.28</v>
      </c>
      <c r="F15" s="70">
        <f>F14*12</f>
        <v>142810.20000000001</v>
      </c>
      <c r="G15" s="70">
        <f>G14*12</f>
        <v>167771.40000000002</v>
      </c>
      <c r="H15" s="70">
        <f>H14*12</f>
        <v>169365.24</v>
      </c>
    </row>
    <row r="16" spans="1:8" s="2" customFormat="1" ht="14.25" x14ac:dyDescent="0.25">
      <c r="A16" s="197" t="s">
        <v>7</v>
      </c>
      <c r="B16" s="197"/>
      <c r="C16" s="197"/>
      <c r="D16" s="197"/>
      <c r="E16" s="71" t="s">
        <v>8</v>
      </c>
      <c r="F16" s="71">
        <f>(F15-$E15)/$E15</f>
        <v>0.48478701066350283</v>
      </c>
      <c r="G16" s="71">
        <f>(G15-$E15)/$E15</f>
        <v>0.74430674756306492</v>
      </c>
      <c r="H16" s="71">
        <f>(H15-$E15)/$E15</f>
        <v>0.76087778330894207</v>
      </c>
    </row>
    <row r="17" spans="1:8" s="3" customFormat="1" ht="14.25" x14ac:dyDescent="0.25">
      <c r="A17" s="195" t="s">
        <v>9</v>
      </c>
      <c r="B17" s="195"/>
      <c r="C17" s="195"/>
      <c r="D17" s="195"/>
      <c r="E17" s="72" t="s">
        <v>8</v>
      </c>
      <c r="F17" s="70">
        <f>F15-$E15</f>
        <v>46627.920000000013</v>
      </c>
      <c r="G17" s="70">
        <f>G15-$E15</f>
        <v>71589.120000000024</v>
      </c>
      <c r="H17" s="70">
        <f>H15-$E15</f>
        <v>73182.959999999992</v>
      </c>
    </row>
    <row r="18" spans="1:8" s="3" customFormat="1" ht="14.25" x14ac:dyDescent="0.25">
      <c r="A18" s="195" t="s">
        <v>10</v>
      </c>
      <c r="B18" s="195"/>
      <c r="C18" s="195"/>
      <c r="D18" s="195"/>
      <c r="E18" s="72" t="s">
        <v>8</v>
      </c>
      <c r="F18" s="72">
        <f>F14-$E14</f>
        <v>3885.6600000000008</v>
      </c>
      <c r="G18" s="72">
        <f>G14-$E14</f>
        <v>5965.7600000000011</v>
      </c>
      <c r="H18" s="72">
        <f>H14-$E14</f>
        <v>6098.5800000000008</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248</v>
      </c>
      <c r="F23" s="77" t="s">
        <v>248</v>
      </c>
      <c r="G23" s="77" t="s">
        <v>319</v>
      </c>
      <c r="H23" s="77" t="s">
        <v>453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423</v>
      </c>
      <c r="H25" s="79" t="s">
        <v>274</v>
      </c>
    </row>
    <row r="26" spans="1:8" s="4" customFormat="1" ht="14.25" x14ac:dyDescent="0.25">
      <c r="A26" s="153" t="s">
        <v>16</v>
      </c>
      <c r="B26" s="154"/>
      <c r="C26" s="154"/>
      <c r="D26" s="155"/>
      <c r="E26" s="81" t="s">
        <v>253</v>
      </c>
      <c r="F26" s="82" t="s">
        <v>253</v>
      </c>
      <c r="G26" s="81" t="s">
        <v>274</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455</v>
      </c>
    </row>
    <row r="29" spans="1:8" s="4" customFormat="1" ht="14.25" x14ac:dyDescent="0.25">
      <c r="A29" s="144" t="s">
        <v>19</v>
      </c>
      <c r="B29" s="145"/>
      <c r="C29" s="145"/>
      <c r="D29" s="146"/>
      <c r="E29" s="84" t="s">
        <v>251</v>
      </c>
      <c r="F29" s="80" t="s">
        <v>251</v>
      </c>
      <c r="G29" s="84" t="s">
        <v>422</v>
      </c>
      <c r="H29" s="84" t="s">
        <v>455</v>
      </c>
    </row>
    <row r="30" spans="1:8" s="4" customFormat="1" ht="14.25" x14ac:dyDescent="0.25">
      <c r="A30" s="153" t="s">
        <v>20</v>
      </c>
      <c r="B30" s="154"/>
      <c r="C30" s="154"/>
      <c r="D30" s="155"/>
      <c r="E30" s="77" t="s">
        <v>250</v>
      </c>
      <c r="F30" s="85" t="s">
        <v>262</v>
      </c>
      <c r="G30" s="81" t="s">
        <v>420</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307</v>
      </c>
      <c r="H32" s="84" t="s">
        <v>307</v>
      </c>
    </row>
    <row r="33" spans="1:8" s="4" customFormat="1" ht="14.25" x14ac:dyDescent="0.25">
      <c r="A33" s="144" t="s">
        <v>23</v>
      </c>
      <c r="B33" s="145"/>
      <c r="C33" s="145"/>
      <c r="D33" s="146"/>
      <c r="E33" s="81" t="s">
        <v>245</v>
      </c>
      <c r="F33" s="88" t="s">
        <v>259</v>
      </c>
      <c r="G33" s="81" t="s">
        <v>418</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421</v>
      </c>
      <c r="H35" s="84" t="s">
        <v>456</v>
      </c>
    </row>
    <row r="36" spans="1:8" s="4" customFormat="1" ht="42.75" x14ac:dyDescent="0.25">
      <c r="A36" s="144" t="s">
        <v>26</v>
      </c>
      <c r="B36" s="145"/>
      <c r="C36" s="145"/>
      <c r="D36" s="146"/>
      <c r="E36" s="77" t="s">
        <v>246</v>
      </c>
      <c r="F36" s="92" t="s">
        <v>260</v>
      </c>
      <c r="G36" s="77" t="s">
        <v>419</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IF("$15"="","None","$15")</f>
        <v>$15</v>
      </c>
      <c r="H45" s="99" t="str">
        <f>IF("$25"="","None","$25")</f>
        <v>$25</v>
      </c>
    </row>
    <row r="46" spans="1:8" s="5" customFormat="1" ht="14.25" x14ac:dyDescent="0.25">
      <c r="A46" s="150" t="s">
        <v>72</v>
      </c>
      <c r="B46" s="151"/>
      <c r="C46" s="151"/>
      <c r="D46" s="152"/>
      <c r="E46" s="99" t="str">
        <f>IF("$60"="","None","$60")</f>
        <v>$60</v>
      </c>
      <c r="F46" s="99" t="str">
        <f>IF("$60"="","None","$60")</f>
        <v>$60</v>
      </c>
      <c r="G46" s="99" t="str">
        <f>IF("$50"="","None","$50")</f>
        <v>$50</v>
      </c>
      <c r="H46" s="99" t="str">
        <f>IF("50%"="","None","50%")</f>
        <v>50%</v>
      </c>
    </row>
    <row r="47" spans="1:8" s="5" customFormat="1" ht="14.25" x14ac:dyDescent="0.25">
      <c r="A47" s="150" t="s">
        <v>73</v>
      </c>
      <c r="B47" s="151"/>
      <c r="C47" s="151"/>
      <c r="D47" s="152"/>
      <c r="E47" s="99" t="str">
        <f>IF("$90"="","None","$90")</f>
        <v>$90</v>
      </c>
      <c r="F47" s="99" t="str">
        <f>IF("$90"="","None","$90")</f>
        <v>$90</v>
      </c>
      <c r="G47" s="99" t="str">
        <f>IF("$300"="","None","$300")</f>
        <v>$300</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425</v>
      </c>
      <c r="H49" s="99" t="s">
        <v>334</v>
      </c>
    </row>
    <row r="50" spans="1:8" s="2" customFormat="1" ht="14.25" x14ac:dyDescent="0.25">
      <c r="A50" s="147" t="s">
        <v>27</v>
      </c>
      <c r="B50" s="148"/>
      <c r="C50" s="148"/>
      <c r="D50" s="149"/>
      <c r="E50" s="99" t="s">
        <v>256</v>
      </c>
      <c r="F50" s="99" t="s">
        <v>256</v>
      </c>
      <c r="G50" s="99" t="s">
        <v>424</v>
      </c>
      <c r="H50" s="99" t="s">
        <v>457</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200-000000000000}"/>
    <hyperlink ref="F8" r:id="rId2" xr:uid="{00000000-0004-0000-1200-000001000000}"/>
    <hyperlink ref="F19" r:id="rId3" xr:uid="{00000000-0004-0000-1200-000002000000}"/>
    <hyperlink ref="G8" r:id="rId4" xr:uid="{00000000-0004-0000-1200-000003000000}"/>
    <hyperlink ref="G19" r:id="rId5" xr:uid="{00000000-0004-0000-1200-000004000000}"/>
    <hyperlink ref="H8" r:id="rId6" xr:uid="{00000000-0004-0000-1200-000005000000}"/>
    <hyperlink ref="H19" r:id="rId7" xr:uid="{00000000-0004-0000-12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D7D8-B2EA-4C28-AFE3-C3103E52BC8F}">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211</v>
      </c>
      <c r="H5" s="57" t="s">
        <v>213</v>
      </c>
    </row>
    <row r="6" spans="1:8" s="2" customFormat="1" ht="45" x14ac:dyDescent="0.25">
      <c r="A6" s="186" t="s">
        <v>67</v>
      </c>
      <c r="B6" s="187"/>
      <c r="C6" s="187"/>
      <c r="D6" s="127">
        <v>4</v>
      </c>
      <c r="E6" s="115" t="s">
        <v>241</v>
      </c>
      <c r="F6" s="115" t="s">
        <v>258</v>
      </c>
      <c r="G6" s="116" t="s">
        <v>458</v>
      </c>
      <c r="H6" s="116" t="s">
        <v>469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15329.9</v>
      </c>
      <c r="H14" s="69">
        <v>15475.45</v>
      </c>
    </row>
    <row r="15" spans="1:8" s="2" customFormat="1" ht="14.25" x14ac:dyDescent="0.25">
      <c r="A15" s="197" t="s">
        <v>6</v>
      </c>
      <c r="B15" s="197"/>
      <c r="C15" s="197"/>
      <c r="D15" s="197"/>
      <c r="E15" s="70">
        <f>E14*12</f>
        <v>96182.28</v>
      </c>
      <c r="F15" s="70">
        <f>F14*12</f>
        <v>142810.20000000001</v>
      </c>
      <c r="G15" s="70">
        <f>G14*12</f>
        <v>183958.8</v>
      </c>
      <c r="H15" s="70">
        <f>H14*12</f>
        <v>185705.40000000002</v>
      </c>
    </row>
    <row r="16" spans="1:8" s="2" customFormat="1" ht="14.25" x14ac:dyDescent="0.25">
      <c r="A16" s="197" t="s">
        <v>7</v>
      </c>
      <c r="B16" s="197"/>
      <c r="C16" s="197"/>
      <c r="D16" s="197"/>
      <c r="E16" s="71" t="s">
        <v>8</v>
      </c>
      <c r="F16" s="71">
        <f>(F15-$E15)/$E15</f>
        <v>0.48478701066350283</v>
      </c>
      <c r="G16" s="71">
        <f>(G15-$E15)/$E15</f>
        <v>0.91260593947242663</v>
      </c>
      <c r="H16" s="71">
        <f>(H15-$E15)/$E15</f>
        <v>0.93076520955835129</v>
      </c>
    </row>
    <row r="17" spans="1:8" s="3" customFormat="1" ht="14.25" x14ac:dyDescent="0.25">
      <c r="A17" s="195" t="s">
        <v>9</v>
      </c>
      <c r="B17" s="195"/>
      <c r="C17" s="195"/>
      <c r="D17" s="195"/>
      <c r="E17" s="72" t="s">
        <v>8</v>
      </c>
      <c r="F17" s="70">
        <f>F15-$E15</f>
        <v>46627.920000000013</v>
      </c>
      <c r="G17" s="70">
        <f>G15-$E15</f>
        <v>87776.51999999999</v>
      </c>
      <c r="H17" s="70">
        <f>H15-$E15</f>
        <v>89523.120000000024</v>
      </c>
    </row>
    <row r="18" spans="1:8" s="3" customFormat="1" ht="14.25" x14ac:dyDescent="0.25">
      <c r="A18" s="195" t="s">
        <v>10</v>
      </c>
      <c r="B18" s="195"/>
      <c r="C18" s="195"/>
      <c r="D18" s="195"/>
      <c r="E18" s="72" t="s">
        <v>8</v>
      </c>
      <c r="F18" s="72">
        <f>F14-$E14</f>
        <v>3885.6600000000008</v>
      </c>
      <c r="G18" s="72">
        <f>G14-$E14</f>
        <v>7314.71</v>
      </c>
      <c r="H18" s="72">
        <f>H14-$E14</f>
        <v>7460.2600000000011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461</v>
      </c>
      <c r="H21" s="73" t="s">
        <v>247</v>
      </c>
    </row>
    <row r="22" spans="1:8" s="4" customFormat="1" ht="14.25" x14ac:dyDescent="0.25">
      <c r="A22" s="144" t="s">
        <v>12</v>
      </c>
      <c r="B22" s="145"/>
      <c r="C22" s="145"/>
      <c r="D22" s="146"/>
      <c r="E22" s="74" t="s">
        <v>243</v>
      </c>
      <c r="F22" s="75" t="s">
        <v>243</v>
      </c>
      <c r="G22" s="75" t="s">
        <v>435</v>
      </c>
      <c r="H22" s="75" t="s">
        <v>243</v>
      </c>
    </row>
    <row r="23" spans="1:8" s="4" customFormat="1" ht="28.5" x14ac:dyDescent="0.25">
      <c r="A23" s="153" t="s">
        <v>13</v>
      </c>
      <c r="B23" s="154"/>
      <c r="C23" s="154"/>
      <c r="D23" s="155"/>
      <c r="E23" s="76" t="s">
        <v>248</v>
      </c>
      <c r="F23" s="77" t="s">
        <v>248</v>
      </c>
      <c r="G23" s="77" t="s">
        <v>462</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466</v>
      </c>
      <c r="H25" s="79" t="s">
        <v>411</v>
      </c>
    </row>
    <row r="26" spans="1:8" s="4" customFormat="1" ht="14.25" x14ac:dyDescent="0.25">
      <c r="A26" s="153" t="s">
        <v>16</v>
      </c>
      <c r="B26" s="154"/>
      <c r="C26" s="154"/>
      <c r="D26" s="155"/>
      <c r="E26" s="81" t="s">
        <v>253</v>
      </c>
      <c r="F26" s="82" t="s">
        <v>253</v>
      </c>
      <c r="G26" s="81" t="s">
        <v>467</v>
      </c>
      <c r="H26" s="81" t="s">
        <v>470</v>
      </c>
    </row>
    <row r="27" spans="1:8" s="4" customFormat="1" ht="18" customHeight="1" x14ac:dyDescent="0.25">
      <c r="A27" s="161" t="s">
        <v>17</v>
      </c>
      <c r="B27" s="162"/>
      <c r="C27" s="162"/>
      <c r="D27" s="163"/>
      <c r="E27" s="83"/>
      <c r="F27" s="83"/>
      <c r="G27" s="83"/>
      <c r="H27" s="83"/>
    </row>
    <row r="28" spans="1:8" s="4" customFormat="1" ht="42.75" x14ac:dyDescent="0.25">
      <c r="A28" s="144" t="s">
        <v>18</v>
      </c>
      <c r="B28" s="145"/>
      <c r="C28" s="145"/>
      <c r="D28" s="146"/>
      <c r="E28" s="79" t="s">
        <v>251</v>
      </c>
      <c r="F28" s="80" t="s">
        <v>251</v>
      </c>
      <c r="G28" s="84" t="s">
        <v>464</v>
      </c>
      <c r="H28" s="84" t="s">
        <v>455</v>
      </c>
    </row>
    <row r="29" spans="1:8" s="4" customFormat="1" ht="42.75" x14ac:dyDescent="0.25">
      <c r="A29" s="144" t="s">
        <v>19</v>
      </c>
      <c r="B29" s="145"/>
      <c r="C29" s="145"/>
      <c r="D29" s="146"/>
      <c r="E29" s="84" t="s">
        <v>251</v>
      </c>
      <c r="F29" s="80" t="s">
        <v>251</v>
      </c>
      <c r="G29" s="84" t="s">
        <v>464</v>
      </c>
      <c r="H29" s="84" t="s">
        <v>455</v>
      </c>
    </row>
    <row r="30" spans="1:8" s="4" customFormat="1" ht="42.75" x14ac:dyDescent="0.25">
      <c r="A30" s="153" t="s">
        <v>20</v>
      </c>
      <c r="B30" s="154"/>
      <c r="C30" s="154"/>
      <c r="D30" s="155"/>
      <c r="E30" s="77" t="s">
        <v>250</v>
      </c>
      <c r="F30" s="85" t="s">
        <v>262</v>
      </c>
      <c r="G30" s="81" t="s">
        <v>463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374</v>
      </c>
      <c r="H32" s="84" t="s">
        <v>307</v>
      </c>
    </row>
    <row r="33" spans="1:8" s="4" customFormat="1" ht="14.25" x14ac:dyDescent="0.25">
      <c r="A33" s="144" t="s">
        <v>23</v>
      </c>
      <c r="B33" s="145"/>
      <c r="C33" s="145"/>
      <c r="D33" s="146"/>
      <c r="E33" s="81" t="s">
        <v>245</v>
      </c>
      <c r="F33" s="88" t="s">
        <v>259</v>
      </c>
      <c r="G33" s="81" t="s">
        <v>459</v>
      </c>
      <c r="H33" s="81" t="s">
        <v>451</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252</v>
      </c>
      <c r="F35" s="91" t="s">
        <v>263</v>
      </c>
      <c r="G35" s="84" t="s">
        <v>465</v>
      </c>
      <c r="H35" s="84" t="s">
        <v>456</v>
      </c>
    </row>
    <row r="36" spans="1:8" s="4" customFormat="1" ht="85.5" x14ac:dyDescent="0.25">
      <c r="A36" s="144" t="s">
        <v>26</v>
      </c>
      <c r="B36" s="145"/>
      <c r="C36" s="145"/>
      <c r="D36" s="146"/>
      <c r="E36" s="77" t="s">
        <v>246</v>
      </c>
      <c r="F36" s="92" t="s">
        <v>260</v>
      </c>
      <c r="G36" s="77" t="s">
        <v>460</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450</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249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IF("$5"="","None","$5")</f>
        <v>$5</v>
      </c>
      <c r="H45" s="99" t="str">
        <f>IF("$25"="","None","$25")</f>
        <v>$25</v>
      </c>
    </row>
    <row r="46" spans="1:8" s="5" customFormat="1" ht="14.25" x14ac:dyDescent="0.25">
      <c r="A46" s="150" t="s">
        <v>72</v>
      </c>
      <c r="B46" s="151"/>
      <c r="C46" s="151"/>
      <c r="D46" s="152"/>
      <c r="E46" s="99" t="str">
        <f>IF("$60"="","None","$60")</f>
        <v>$60</v>
      </c>
      <c r="F46" s="99" t="str">
        <f>IF("$60"="","None","$60")</f>
        <v>$60</v>
      </c>
      <c r="G46" s="99" t="str">
        <f>IF("$15"="","None","$15")</f>
        <v>$15</v>
      </c>
      <c r="H46" s="99" t="str">
        <f>IF("30%"="","None","30%")</f>
        <v>30%</v>
      </c>
    </row>
    <row r="47" spans="1:8" s="5" customFormat="1" ht="14.25" x14ac:dyDescent="0.25">
      <c r="A47" s="150" t="s">
        <v>73</v>
      </c>
      <c r="B47" s="151"/>
      <c r="C47" s="151"/>
      <c r="D47" s="152"/>
      <c r="E47" s="99" t="str">
        <f>IF("$90"="","None","$90")</f>
        <v>$90</v>
      </c>
      <c r="F47" s="99" t="str">
        <f>IF("$90"="","None","$90")</f>
        <v>$90</v>
      </c>
      <c r="G47" s="99" t="str">
        <f>IF("$30"="","None","$30")</f>
        <v>$30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14.25" x14ac:dyDescent="0.25">
      <c r="A50" s="147" t="s">
        <v>27</v>
      </c>
      <c r="B50" s="148"/>
      <c r="C50" s="148"/>
      <c r="D50" s="149"/>
      <c r="E50" s="99" t="s">
        <v>256</v>
      </c>
      <c r="F50" s="99" t="s">
        <v>256</v>
      </c>
      <c r="G50" s="99" t="s">
        <v>468</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300-000000000000}"/>
    <hyperlink ref="F8" r:id="rId2" xr:uid="{00000000-0004-0000-1300-000001000000}"/>
    <hyperlink ref="F19" r:id="rId3" xr:uid="{00000000-0004-0000-1300-000002000000}"/>
    <hyperlink ref="G8" r:id="rId4" xr:uid="{00000000-0004-0000-1300-000003000000}"/>
    <hyperlink ref="G19" r:id="rId5" xr:uid="{00000000-0004-0000-1300-000004000000}"/>
    <hyperlink ref="H8" r:id="rId6" xr:uid="{00000000-0004-0000-1300-000005000000}"/>
    <hyperlink ref="H19" r:id="rId7" xr:uid="{00000000-0004-0000-13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C7F0-91D7-464F-8329-8D3A9446FEF9}">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215</v>
      </c>
      <c r="H5" s="57" t="s">
        <v>217</v>
      </c>
    </row>
    <row r="6" spans="1:8" s="2" customFormat="1" ht="45" x14ac:dyDescent="0.25">
      <c r="A6" s="186" t="s">
        <v>67</v>
      </c>
      <c r="B6" s="187"/>
      <c r="C6" s="187"/>
      <c r="D6" s="127">
        <v>4</v>
      </c>
      <c r="E6" s="115" t="s">
        <v>241</v>
      </c>
      <c r="F6" s="115" t="s">
        <v>258</v>
      </c>
      <c r="G6" s="116" t="s">
        <v>472</v>
      </c>
      <c r="H6" s="116" t="s">
        <v>482</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1</v>
      </c>
      <c r="E10" s="60">
        <v>839.41</v>
      </c>
      <c r="F10" s="60">
        <v>1231.9100000000001</v>
      </c>
      <c r="G10" s="61"/>
      <c r="H10" s="61"/>
    </row>
    <row r="11" spans="1:8" s="2" customFormat="1" ht="14.25" x14ac:dyDescent="0.25">
      <c r="A11" s="62"/>
      <c r="B11" s="188" t="s">
        <v>4</v>
      </c>
      <c r="C11" s="189"/>
      <c r="D11" s="63">
        <v>1</v>
      </c>
      <c r="E11" s="64">
        <v>1865.64</v>
      </c>
      <c r="F11" s="64">
        <v>2768.38</v>
      </c>
      <c r="G11" s="64"/>
      <c r="H11" s="64"/>
    </row>
    <row r="12" spans="1:8" s="2" customFormat="1" ht="14.25" x14ac:dyDescent="0.25">
      <c r="A12" s="65"/>
      <c r="B12" s="188" t="s">
        <v>78</v>
      </c>
      <c r="C12" s="189"/>
      <c r="D12" s="63">
        <v>0</v>
      </c>
      <c r="E12" s="64">
        <v>1589.35</v>
      </c>
      <c r="F12" s="64">
        <v>2354.71</v>
      </c>
      <c r="G12" s="64"/>
      <c r="H12" s="64"/>
    </row>
    <row r="13" spans="1:8" s="2" customFormat="1" ht="14.25" x14ac:dyDescent="0.25">
      <c r="A13" s="66"/>
      <c r="B13" s="198" t="s">
        <v>79</v>
      </c>
      <c r="C13" s="199"/>
      <c r="D13" s="56">
        <v>2</v>
      </c>
      <c r="E13" s="67">
        <v>2655.07</v>
      </c>
      <c r="F13" s="67">
        <v>3950.28</v>
      </c>
      <c r="G13" s="68"/>
      <c r="H13" s="68"/>
    </row>
    <row r="14" spans="1:8" s="2" customFormat="1" ht="14.25" x14ac:dyDescent="0.25">
      <c r="A14" s="196" t="s">
        <v>5</v>
      </c>
      <c r="B14" s="196"/>
      <c r="C14" s="196"/>
      <c r="D14" s="196"/>
      <c r="E14" s="69">
        <v>8015.19</v>
      </c>
      <c r="F14" s="69">
        <v>11900.85</v>
      </c>
      <c r="G14" s="69">
        <v>15575.41</v>
      </c>
      <c r="H14" s="69">
        <v>16912.2</v>
      </c>
    </row>
    <row r="15" spans="1:8" s="2" customFormat="1" ht="14.25" x14ac:dyDescent="0.25">
      <c r="A15" s="197" t="s">
        <v>6</v>
      </c>
      <c r="B15" s="197"/>
      <c r="C15" s="197"/>
      <c r="D15" s="197"/>
      <c r="E15" s="70">
        <f>E14*12</f>
        <v>96182.28</v>
      </c>
      <c r="F15" s="70">
        <f>F14*12</f>
        <v>142810.20000000001</v>
      </c>
      <c r="G15" s="70">
        <f>G14*12</f>
        <v>186904.91999999998</v>
      </c>
      <c r="H15" s="70">
        <f>H14*12</f>
        <v>202946.40000000002</v>
      </c>
    </row>
    <row r="16" spans="1:8" s="2" customFormat="1" ht="14.25" x14ac:dyDescent="0.25">
      <c r="A16" s="197" t="s">
        <v>7</v>
      </c>
      <c r="B16" s="197"/>
      <c r="C16" s="197"/>
      <c r="D16" s="197"/>
      <c r="E16" s="71" t="s">
        <v>8</v>
      </c>
      <c r="F16" s="71">
        <f>(F15-$E15)/$E15</f>
        <v>0.48478701066350283</v>
      </c>
      <c r="G16" s="71">
        <f>(G15-$E15)/$E15</f>
        <v>0.94323652963934712</v>
      </c>
      <c r="H16" s="71">
        <f>(H15-$E15)/$E15</f>
        <v>1.1100186021791127</v>
      </c>
    </row>
    <row r="17" spans="1:8" s="3" customFormat="1" ht="14.25" x14ac:dyDescent="0.25">
      <c r="A17" s="195" t="s">
        <v>9</v>
      </c>
      <c r="B17" s="195"/>
      <c r="C17" s="195"/>
      <c r="D17" s="195"/>
      <c r="E17" s="72" t="s">
        <v>8</v>
      </c>
      <c r="F17" s="70">
        <f>F15-$E15</f>
        <v>46627.920000000013</v>
      </c>
      <c r="G17" s="70">
        <f>G15-$E15</f>
        <v>90722.639999999985</v>
      </c>
      <c r="H17" s="70">
        <f>H15-$E15</f>
        <v>106764.12000000002</v>
      </c>
    </row>
    <row r="18" spans="1:8" s="3" customFormat="1" ht="14.25" x14ac:dyDescent="0.25">
      <c r="A18" s="195" t="s">
        <v>10</v>
      </c>
      <c r="B18" s="195"/>
      <c r="C18" s="195"/>
      <c r="D18" s="195"/>
      <c r="E18" s="72" t="s">
        <v>8</v>
      </c>
      <c r="F18" s="72">
        <f>F14-$E14</f>
        <v>3885.6600000000008</v>
      </c>
      <c r="G18" s="72">
        <f>G14-$E14</f>
        <v>7560.22</v>
      </c>
      <c r="H18" s="72">
        <f>H14-$E14</f>
        <v>8897.010000000002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248</v>
      </c>
      <c r="F23" s="77" t="s">
        <v>248</v>
      </c>
      <c r="G23" s="77" t="s">
        <v>474</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253</v>
      </c>
      <c r="F25" s="80" t="s">
        <v>253</v>
      </c>
      <c r="G25" s="79" t="s">
        <v>479</v>
      </c>
      <c r="H25" s="79" t="s">
        <v>411</v>
      </c>
    </row>
    <row r="26" spans="1:8" s="4" customFormat="1" ht="14.25" x14ac:dyDescent="0.25">
      <c r="A26" s="153" t="s">
        <v>16</v>
      </c>
      <c r="B26" s="154"/>
      <c r="C26" s="154"/>
      <c r="D26" s="155"/>
      <c r="E26" s="81" t="s">
        <v>253</v>
      </c>
      <c r="F26" s="82" t="s">
        <v>253</v>
      </c>
      <c r="G26" s="81" t="s">
        <v>470</v>
      </c>
      <c r="H26" s="81" t="s">
        <v>470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429</v>
      </c>
      <c r="H28" s="84" t="s">
        <v>455</v>
      </c>
    </row>
    <row r="29" spans="1:8" s="4" customFormat="1" ht="14.25" x14ac:dyDescent="0.25">
      <c r="A29" s="144" t="s">
        <v>19</v>
      </c>
      <c r="B29" s="145"/>
      <c r="C29" s="145"/>
      <c r="D29" s="146"/>
      <c r="E29" s="84" t="s">
        <v>251</v>
      </c>
      <c r="F29" s="80" t="s">
        <v>251</v>
      </c>
      <c r="G29" s="84" t="s">
        <v>251</v>
      </c>
      <c r="H29" s="84" t="s">
        <v>455</v>
      </c>
    </row>
    <row r="30" spans="1:8" s="4" customFormat="1" ht="14.25" x14ac:dyDescent="0.25">
      <c r="A30" s="153" t="s">
        <v>20</v>
      </c>
      <c r="B30" s="154"/>
      <c r="C30" s="154"/>
      <c r="D30" s="155"/>
      <c r="E30" s="77" t="s">
        <v>250</v>
      </c>
      <c r="F30" s="85" t="s">
        <v>262</v>
      </c>
      <c r="G30" s="81" t="s">
        <v>423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254</v>
      </c>
      <c r="F32" s="87" t="s">
        <v>254</v>
      </c>
      <c r="G32" s="84" t="s">
        <v>321</v>
      </c>
      <c r="H32" s="84" t="s">
        <v>307</v>
      </c>
    </row>
    <row r="33" spans="1:8" s="4" customFormat="1" ht="14.25" x14ac:dyDescent="0.25">
      <c r="A33" s="144" t="s">
        <v>23</v>
      </c>
      <c r="B33" s="145"/>
      <c r="C33" s="145"/>
      <c r="D33" s="146"/>
      <c r="E33" s="81" t="s">
        <v>245</v>
      </c>
      <c r="F33" s="88" t="s">
        <v>259</v>
      </c>
      <c r="G33" s="81" t="s">
        <v>336</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252</v>
      </c>
      <c r="F35" s="91" t="s">
        <v>263</v>
      </c>
      <c r="G35" s="84" t="s">
        <v>478</v>
      </c>
      <c r="H35" s="84" t="s">
        <v>456</v>
      </c>
    </row>
    <row r="36" spans="1:8" s="4" customFormat="1" ht="42.75" x14ac:dyDescent="0.25">
      <c r="A36" s="144" t="s">
        <v>26</v>
      </c>
      <c r="B36" s="145"/>
      <c r="C36" s="145"/>
      <c r="D36" s="146"/>
      <c r="E36" s="77" t="s">
        <v>246</v>
      </c>
      <c r="F36" s="92" t="s">
        <v>260</v>
      </c>
      <c r="G36" s="77" t="s">
        <v>473</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476</v>
      </c>
      <c r="H40" s="94" t="s">
        <v>261</v>
      </c>
    </row>
    <row r="41" spans="1:8" s="4" customFormat="1" ht="14.25" x14ac:dyDescent="0.25">
      <c r="A41" s="144" t="s">
        <v>12</v>
      </c>
      <c r="B41" s="145"/>
      <c r="C41" s="145"/>
      <c r="D41" s="146"/>
      <c r="E41" s="74" t="s">
        <v>243</v>
      </c>
      <c r="F41" s="95" t="s">
        <v>8</v>
      </c>
      <c r="G41" s="96" t="s">
        <v>475</v>
      </c>
      <c r="H41" s="96" t="s">
        <v>8</v>
      </c>
    </row>
    <row r="42" spans="1:8" s="4" customFormat="1" ht="14.25" x14ac:dyDescent="0.25">
      <c r="A42" s="153" t="s">
        <v>13</v>
      </c>
      <c r="B42" s="154"/>
      <c r="C42" s="154"/>
      <c r="D42" s="155"/>
      <c r="E42" s="77" t="s">
        <v>249</v>
      </c>
      <c r="F42" s="76" t="s">
        <v>261</v>
      </c>
      <c r="G42" s="77" t="s">
        <v>477</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IF("$5"="","None","$5")</f>
        <v>$5</v>
      </c>
      <c r="H45" s="99" t="str">
        <f>IF("$25"="","None","$25")</f>
        <v>$25</v>
      </c>
    </row>
    <row r="46" spans="1:8" s="5" customFormat="1" ht="14.25" x14ac:dyDescent="0.25">
      <c r="A46" s="150" t="s">
        <v>72</v>
      </c>
      <c r="B46" s="151"/>
      <c r="C46" s="151"/>
      <c r="D46" s="152"/>
      <c r="E46" s="99" t="str">
        <f>IF("$60"="","None","$60")</f>
        <v>$60</v>
      </c>
      <c r="F46" s="99" t="str">
        <f>IF("$60"="","None","$60")</f>
        <v>$60</v>
      </c>
      <c r="G46" s="99" t="str">
        <f>IF("$25"="","None","$25")</f>
        <v>$25</v>
      </c>
      <c r="H46" s="99" t="str">
        <f>IF("30%"="","None","30%")</f>
        <v>30%</v>
      </c>
    </row>
    <row r="47" spans="1:8" s="5" customFormat="1" ht="14.25" x14ac:dyDescent="0.25">
      <c r="A47" s="150" t="s">
        <v>73</v>
      </c>
      <c r="B47" s="151"/>
      <c r="C47" s="151"/>
      <c r="D47" s="152"/>
      <c r="E47" s="99" t="str">
        <f>IF("$90"="","None","$90")</f>
        <v>$90</v>
      </c>
      <c r="F47" s="99" t="str">
        <f>IF("$90"="","None","$90")</f>
        <v>$90</v>
      </c>
      <c r="G47" s="99" t="str">
        <f>IF("$50"="","None","$50")</f>
        <v>$50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481</v>
      </c>
      <c r="H49" s="99" t="s">
        <v>334</v>
      </c>
    </row>
    <row r="50" spans="1:8" s="2" customFormat="1" ht="14.25" x14ac:dyDescent="0.25">
      <c r="A50" s="147" t="s">
        <v>27</v>
      </c>
      <c r="B50" s="148"/>
      <c r="C50" s="148"/>
      <c r="D50" s="149"/>
      <c r="E50" s="99" t="s">
        <v>256</v>
      </c>
      <c r="F50" s="99" t="s">
        <v>256</v>
      </c>
      <c r="G50" s="99" t="s">
        <v>480</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400-000000000000}"/>
    <hyperlink ref="F8" r:id="rId2" xr:uid="{00000000-0004-0000-1400-000001000000}"/>
    <hyperlink ref="F19" r:id="rId3" xr:uid="{00000000-0004-0000-1400-000002000000}"/>
    <hyperlink ref="G8" r:id="rId4" xr:uid="{00000000-0004-0000-1400-000003000000}"/>
    <hyperlink ref="G19" r:id="rId5" xr:uid="{00000000-0004-0000-1400-000004000000}"/>
    <hyperlink ref="H8" r:id="rId6" xr:uid="{00000000-0004-0000-1400-000005000000}"/>
    <hyperlink ref="H19" r:id="rId7" xr:uid="{00000000-0004-0000-14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65D69-856D-44DC-BAED-32FD56344D19}">
  <sheetPr>
    <pageSetUpPr fitToPage="1"/>
  </sheetPr>
  <dimension ref="A1:G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7" width="32.25" style="1" customWidth="1" collapsed="1"/>
    <col min="8" max="16384" width="9.25" style="1" collapsed="1"/>
  </cols>
  <sheetData>
    <row r="1" spans="1:7" ht="4.9000000000000004" customHeight="1" x14ac:dyDescent="0.25"/>
    <row r="2" spans="1:7" ht="31.15" customHeight="1" x14ac:dyDescent="0.25">
      <c r="A2" s="167" t="str">
        <f>group_name</f>
        <v>Tuckerton Lumber Company</v>
      </c>
      <c r="B2" s="168"/>
      <c r="C2" s="168"/>
      <c r="D2" s="168"/>
      <c r="E2" s="168"/>
      <c r="F2" s="168"/>
      <c r="G2" s="169"/>
    </row>
    <row r="3" spans="1:7" ht="31.15" customHeight="1" x14ac:dyDescent="0.25">
      <c r="A3" s="170" t="s">
        <v>34</v>
      </c>
      <c r="B3" s="171"/>
      <c r="C3" s="171"/>
      <c r="D3" s="171"/>
      <c r="E3" s="171"/>
      <c r="F3" s="171"/>
      <c r="G3" s="172"/>
    </row>
    <row r="4" spans="1:7" s="2" customFormat="1" ht="31.15" customHeight="1" x14ac:dyDescent="0.25">
      <c r="A4" s="173" t="str">
        <f>"Effective Date: "&amp;TEXT(effective_date,"MM/DD/YYYY")</f>
        <v>Effective Date: 06/01/2026</v>
      </c>
      <c r="B4" s="174"/>
      <c r="C4" s="174"/>
      <c r="D4" s="174"/>
      <c r="E4" s="174"/>
      <c r="F4" s="174"/>
      <c r="G4" s="175"/>
    </row>
    <row r="5" spans="1:7" s="2" customFormat="1" ht="14.25" x14ac:dyDescent="0.25">
      <c r="A5" s="180" t="s">
        <v>3</v>
      </c>
      <c r="B5" s="181"/>
      <c r="C5" s="182"/>
      <c r="D5" s="55" t="str">
        <f>TEXT(effective_date,"MM/DD/YYYY")</f>
        <v>06/01/2026</v>
      </c>
      <c r="E5" s="132" t="s">
        <v>1</v>
      </c>
      <c r="F5" s="132" t="s">
        <v>2</v>
      </c>
      <c r="G5" s="57" t="s">
        <v>219</v>
      </c>
    </row>
    <row r="6" spans="1:7" s="2" customFormat="1" ht="45" x14ac:dyDescent="0.25">
      <c r="A6" s="186" t="s">
        <v>67</v>
      </c>
      <c r="B6" s="187"/>
      <c r="C6" s="187"/>
      <c r="D6" s="127">
        <v>4</v>
      </c>
      <c r="E6" s="115" t="s">
        <v>241</v>
      </c>
      <c r="F6" s="115" t="s">
        <v>258</v>
      </c>
      <c r="G6" s="116" t="s">
        <v>483</v>
      </c>
    </row>
    <row r="7" spans="1:7" s="2" customFormat="1" ht="14.25" x14ac:dyDescent="0.25">
      <c r="A7" s="190"/>
      <c r="B7" s="191"/>
      <c r="C7" s="191"/>
      <c r="D7" s="192"/>
      <c r="E7" s="131" t="s">
        <v>242</v>
      </c>
      <c r="F7" s="131" t="s">
        <v>242</v>
      </c>
      <c r="G7" s="131" t="s">
        <v>265</v>
      </c>
    </row>
    <row r="8" spans="1:7" s="2" customFormat="1" x14ac:dyDescent="0.25">
      <c r="A8" s="183"/>
      <c r="B8" s="183"/>
      <c r="C8" s="183"/>
      <c r="D8" s="183"/>
      <c r="E8" s="113"/>
      <c r="F8" s="113" t="s">
        <v>58</v>
      </c>
      <c r="G8" s="113" t="s">
        <v>58</v>
      </c>
    </row>
    <row r="9" spans="1:7" s="2" customFormat="1" ht="14.25" x14ac:dyDescent="0.25">
      <c r="A9" s="184" t="s">
        <v>80</v>
      </c>
      <c r="B9" s="185"/>
      <c r="C9" s="185"/>
      <c r="D9" s="112" t="s">
        <v>76</v>
      </c>
      <c r="E9" s="112"/>
      <c r="F9" s="112"/>
      <c r="G9" s="112"/>
    </row>
    <row r="10" spans="1:7" s="2" customFormat="1" ht="14.25" x14ac:dyDescent="0.25">
      <c r="A10" s="58"/>
      <c r="B10" s="193" t="s">
        <v>77</v>
      </c>
      <c r="C10" s="194"/>
      <c r="D10" s="59">
        <v>1</v>
      </c>
      <c r="E10" s="60">
        <v>839.41</v>
      </c>
      <c r="F10" s="60">
        <v>1231.9100000000001</v>
      </c>
      <c r="G10" s="61"/>
    </row>
    <row r="11" spans="1:7" s="2" customFormat="1" ht="14.25" x14ac:dyDescent="0.25">
      <c r="A11" s="62"/>
      <c r="B11" s="188" t="s">
        <v>4</v>
      </c>
      <c r="C11" s="189"/>
      <c r="D11" s="63">
        <v>1</v>
      </c>
      <c r="E11" s="64">
        <v>1865.64</v>
      </c>
      <c r="F11" s="64">
        <v>2768.38</v>
      </c>
      <c r="G11" s="64"/>
    </row>
    <row r="12" spans="1:7" s="2" customFormat="1" ht="14.25" x14ac:dyDescent="0.25">
      <c r="A12" s="65"/>
      <c r="B12" s="188" t="s">
        <v>78</v>
      </c>
      <c r="C12" s="189"/>
      <c r="D12" s="63">
        <v>0</v>
      </c>
      <c r="E12" s="64">
        <v>1589.35</v>
      </c>
      <c r="F12" s="64">
        <v>2354.71</v>
      </c>
      <c r="G12" s="64"/>
    </row>
    <row r="13" spans="1:7" s="2" customFormat="1" ht="14.25" x14ac:dyDescent="0.25">
      <c r="A13" s="66"/>
      <c r="B13" s="198" t="s">
        <v>79</v>
      </c>
      <c r="C13" s="199"/>
      <c r="D13" s="56">
        <v>2</v>
      </c>
      <c r="E13" s="67">
        <v>2655.07</v>
      </c>
      <c r="F13" s="67">
        <v>3950.28</v>
      </c>
      <c r="G13" s="68"/>
    </row>
    <row r="14" spans="1:7" s="2" customFormat="1" ht="14.25" x14ac:dyDescent="0.25">
      <c r="A14" s="196" t="s">
        <v>5</v>
      </c>
      <c r="B14" s="196"/>
      <c r="C14" s="196"/>
      <c r="D14" s="196"/>
      <c r="E14" s="69">
        <v>8015.19</v>
      </c>
      <c r="F14" s="69">
        <v>11900.85</v>
      </c>
      <c r="G14" s="69">
        <v>16933.25</v>
      </c>
    </row>
    <row r="15" spans="1:7" s="2" customFormat="1" ht="14.25" x14ac:dyDescent="0.25">
      <c r="A15" s="197" t="s">
        <v>6</v>
      </c>
      <c r="B15" s="197"/>
      <c r="C15" s="197"/>
      <c r="D15" s="197"/>
      <c r="E15" s="70">
        <f>E14*12</f>
        <v>96182.28</v>
      </c>
      <c r="F15" s="70">
        <f>F14*12</f>
        <v>142810.20000000001</v>
      </c>
      <c r="G15" s="70">
        <f>G14*12</f>
        <v>203199</v>
      </c>
    </row>
    <row r="16" spans="1:7" s="2" customFormat="1" ht="14.25" x14ac:dyDescent="0.25">
      <c r="A16" s="197" t="s">
        <v>7</v>
      </c>
      <c r="B16" s="197"/>
      <c r="C16" s="197"/>
      <c r="D16" s="197"/>
      <c r="E16" s="71" t="s">
        <v>8</v>
      </c>
      <c r="F16" s="71">
        <f>(F15-$E15)/$E15</f>
        <v>0.48478701066350283</v>
      </c>
      <c r="G16" s="71">
        <f>(G15-$E15)/$E15</f>
        <v>1.1126448655615151</v>
      </c>
    </row>
    <row r="17" spans="1:7" s="3" customFormat="1" ht="14.25" x14ac:dyDescent="0.25">
      <c r="A17" s="195" t="s">
        <v>9</v>
      </c>
      <c r="B17" s="195"/>
      <c r="C17" s="195"/>
      <c r="D17" s="195"/>
      <c r="E17" s="72" t="s">
        <v>8</v>
      </c>
      <c r="F17" s="70">
        <f>F15-$E15</f>
        <v>46627.920000000013</v>
      </c>
      <c r="G17" s="70">
        <f>G15-$E15</f>
        <v>107016.72</v>
      </c>
    </row>
    <row r="18" spans="1:7" s="3" customFormat="1" ht="14.25" x14ac:dyDescent="0.25">
      <c r="A18" s="195" t="s">
        <v>10</v>
      </c>
      <c r="B18" s="195"/>
      <c r="C18" s="195"/>
      <c r="D18" s="195"/>
      <c r="E18" s="72" t="s">
        <v>8</v>
      </c>
      <c r="F18" s="72">
        <f>F14-$E14</f>
        <v>3885.6600000000008</v>
      </c>
      <c r="G18" s="72">
        <f>G14-$E14</f>
        <v>8918.0600000000013</v>
      </c>
    </row>
    <row r="19" spans="1:7" s="3" customFormat="1" x14ac:dyDescent="0.25">
      <c r="A19" s="179" t="s">
        <v>30</v>
      </c>
      <c r="B19" s="179"/>
      <c r="C19" s="179"/>
      <c r="D19" s="179"/>
      <c r="E19" s="114" t="s">
        <v>29</v>
      </c>
      <c r="F19" s="114" t="s">
        <v>29</v>
      </c>
      <c r="G19" s="114" t="s">
        <v>29</v>
      </c>
    </row>
    <row r="20" spans="1:7" s="3" customFormat="1" ht="19.899999999999999" customHeight="1" x14ac:dyDescent="0.25">
      <c r="A20" s="159" t="s">
        <v>54</v>
      </c>
      <c r="B20" s="160"/>
      <c r="C20" s="160"/>
      <c r="D20" s="160"/>
      <c r="E20" s="12"/>
      <c r="F20" s="12"/>
      <c r="G20" s="12"/>
    </row>
    <row r="21" spans="1:7" s="3" customFormat="1" ht="14.25" x14ac:dyDescent="0.25">
      <c r="A21" s="156" t="s">
        <v>11</v>
      </c>
      <c r="B21" s="157"/>
      <c r="C21" s="157"/>
      <c r="D21" s="158"/>
      <c r="E21" s="73" t="s">
        <v>247</v>
      </c>
      <c r="F21" s="73" t="s">
        <v>247</v>
      </c>
      <c r="G21" s="73" t="s">
        <v>247</v>
      </c>
    </row>
    <row r="22" spans="1:7" s="4" customFormat="1" ht="14.25" x14ac:dyDescent="0.25">
      <c r="A22" s="144" t="s">
        <v>12</v>
      </c>
      <c r="B22" s="145"/>
      <c r="C22" s="145"/>
      <c r="D22" s="146"/>
      <c r="E22" s="74" t="s">
        <v>243</v>
      </c>
      <c r="F22" s="75" t="s">
        <v>243</v>
      </c>
      <c r="G22" s="75" t="s">
        <v>243</v>
      </c>
    </row>
    <row r="23" spans="1:7" s="4" customFormat="1" ht="14.25" x14ac:dyDescent="0.25">
      <c r="A23" s="153" t="s">
        <v>13</v>
      </c>
      <c r="B23" s="154"/>
      <c r="C23" s="154"/>
      <c r="D23" s="155"/>
      <c r="E23" s="76" t="s">
        <v>248</v>
      </c>
      <c r="F23" s="77" t="s">
        <v>248</v>
      </c>
      <c r="G23" s="77" t="s">
        <v>319</v>
      </c>
    </row>
    <row r="24" spans="1:7" s="4" customFormat="1" ht="18" customHeight="1" x14ac:dyDescent="0.25">
      <c r="A24" s="176" t="s">
        <v>14</v>
      </c>
      <c r="B24" s="177"/>
      <c r="C24" s="177"/>
      <c r="D24" s="178"/>
      <c r="E24" s="78"/>
      <c r="F24" s="78"/>
      <c r="G24" s="78"/>
    </row>
    <row r="25" spans="1:7" s="4" customFormat="1" ht="14.25" x14ac:dyDescent="0.25">
      <c r="A25" s="144" t="s">
        <v>15</v>
      </c>
      <c r="B25" s="145"/>
      <c r="C25" s="145"/>
      <c r="D25" s="146"/>
      <c r="E25" s="79" t="s">
        <v>253</v>
      </c>
      <c r="F25" s="80" t="s">
        <v>253</v>
      </c>
      <c r="G25" s="79" t="s">
        <v>423</v>
      </c>
    </row>
    <row r="26" spans="1:7" s="4" customFormat="1" ht="14.25" x14ac:dyDescent="0.25">
      <c r="A26" s="153" t="s">
        <v>16</v>
      </c>
      <c r="B26" s="154"/>
      <c r="C26" s="154"/>
      <c r="D26" s="155"/>
      <c r="E26" s="81" t="s">
        <v>253</v>
      </c>
      <c r="F26" s="82" t="s">
        <v>253</v>
      </c>
      <c r="G26" s="81" t="s">
        <v>274</v>
      </c>
    </row>
    <row r="27" spans="1:7" s="4" customFormat="1" ht="18" customHeight="1" x14ac:dyDescent="0.25">
      <c r="A27" s="161" t="s">
        <v>17</v>
      </c>
      <c r="B27" s="162"/>
      <c r="C27" s="162"/>
      <c r="D27" s="163"/>
      <c r="E27" s="83"/>
      <c r="F27" s="83"/>
      <c r="G27" s="83"/>
    </row>
    <row r="28" spans="1:7" s="4" customFormat="1" ht="14.25" x14ac:dyDescent="0.25">
      <c r="A28" s="144" t="s">
        <v>18</v>
      </c>
      <c r="B28" s="145"/>
      <c r="C28" s="145"/>
      <c r="D28" s="146"/>
      <c r="E28" s="79" t="s">
        <v>251</v>
      </c>
      <c r="F28" s="80" t="s">
        <v>251</v>
      </c>
      <c r="G28" s="84" t="s">
        <v>251</v>
      </c>
    </row>
    <row r="29" spans="1:7" s="4" customFormat="1" ht="14.25" x14ac:dyDescent="0.25">
      <c r="A29" s="144" t="s">
        <v>19</v>
      </c>
      <c r="B29" s="145"/>
      <c r="C29" s="145"/>
      <c r="D29" s="146"/>
      <c r="E29" s="84" t="s">
        <v>251</v>
      </c>
      <c r="F29" s="80" t="s">
        <v>251</v>
      </c>
      <c r="G29" s="84" t="s">
        <v>422</v>
      </c>
    </row>
    <row r="30" spans="1:7" s="4" customFormat="1" ht="14.25" x14ac:dyDescent="0.25">
      <c r="A30" s="153" t="s">
        <v>20</v>
      </c>
      <c r="B30" s="154"/>
      <c r="C30" s="154"/>
      <c r="D30" s="155"/>
      <c r="E30" s="77" t="s">
        <v>250</v>
      </c>
      <c r="F30" s="85" t="s">
        <v>262</v>
      </c>
      <c r="G30" s="81" t="s">
        <v>420</v>
      </c>
    </row>
    <row r="31" spans="1:7" s="4" customFormat="1" ht="18" customHeight="1" x14ac:dyDescent="0.25">
      <c r="A31" s="161" t="s">
        <v>21</v>
      </c>
      <c r="B31" s="162"/>
      <c r="C31" s="162"/>
      <c r="D31" s="163"/>
      <c r="E31" s="78"/>
      <c r="F31" s="86"/>
      <c r="G31" s="83"/>
    </row>
    <row r="32" spans="1:7" s="4" customFormat="1" ht="14.25" x14ac:dyDescent="0.25">
      <c r="A32" s="144" t="s">
        <v>22</v>
      </c>
      <c r="B32" s="145"/>
      <c r="C32" s="145"/>
      <c r="D32" s="146"/>
      <c r="E32" s="79" t="s">
        <v>254</v>
      </c>
      <c r="F32" s="87" t="s">
        <v>254</v>
      </c>
      <c r="G32" s="84" t="s">
        <v>307</v>
      </c>
    </row>
    <row r="33" spans="1:7" s="4" customFormat="1" ht="14.25" x14ac:dyDescent="0.25">
      <c r="A33" s="144" t="s">
        <v>23</v>
      </c>
      <c r="B33" s="145"/>
      <c r="C33" s="145"/>
      <c r="D33" s="146"/>
      <c r="E33" s="81" t="s">
        <v>245</v>
      </c>
      <c r="F33" s="88" t="s">
        <v>259</v>
      </c>
      <c r="G33" s="81" t="s">
        <v>418</v>
      </c>
    </row>
    <row r="34" spans="1:7" s="4" customFormat="1" ht="18" customHeight="1" x14ac:dyDescent="0.25">
      <c r="A34" s="161" t="s">
        <v>24</v>
      </c>
      <c r="B34" s="162"/>
      <c r="C34" s="162"/>
      <c r="D34" s="163"/>
      <c r="E34" s="83"/>
      <c r="F34" s="89"/>
      <c r="G34" s="78"/>
    </row>
    <row r="35" spans="1:7" s="4" customFormat="1" ht="28.5" x14ac:dyDescent="0.25">
      <c r="A35" s="144" t="s">
        <v>25</v>
      </c>
      <c r="B35" s="145"/>
      <c r="C35" s="145"/>
      <c r="D35" s="146"/>
      <c r="E35" s="90" t="s">
        <v>252</v>
      </c>
      <c r="F35" s="91" t="s">
        <v>263</v>
      </c>
      <c r="G35" s="84" t="s">
        <v>421</v>
      </c>
    </row>
    <row r="36" spans="1:7" s="4" customFormat="1" ht="42.75" x14ac:dyDescent="0.25">
      <c r="A36" s="144" t="s">
        <v>26</v>
      </c>
      <c r="B36" s="145"/>
      <c r="C36" s="145"/>
      <c r="D36" s="146"/>
      <c r="E36" s="77" t="s">
        <v>246</v>
      </c>
      <c r="F36" s="92" t="s">
        <v>260</v>
      </c>
      <c r="G36" s="77" t="s">
        <v>419</v>
      </c>
    </row>
    <row r="37" spans="1:7" s="4" customFormat="1" ht="14.25" x14ac:dyDescent="0.25">
      <c r="A37" s="161" t="s">
        <v>69</v>
      </c>
      <c r="B37" s="162"/>
      <c r="C37" s="162"/>
      <c r="D37" s="163"/>
      <c r="E37" s="83"/>
      <c r="F37" s="83"/>
      <c r="G37" s="83"/>
    </row>
    <row r="38" spans="1:7" s="4" customFormat="1" ht="14.25" x14ac:dyDescent="0.25">
      <c r="A38" s="144" t="s">
        <v>70</v>
      </c>
      <c r="B38" s="145"/>
      <c r="C38" s="145"/>
      <c r="D38" s="146"/>
      <c r="E38" s="77" t="s">
        <v>244</v>
      </c>
      <c r="F38" s="77" t="s">
        <v>244</v>
      </c>
      <c r="G38" s="77" t="s">
        <v>251</v>
      </c>
    </row>
    <row r="39" spans="1:7" s="2" customFormat="1" ht="19.899999999999999" customHeight="1" x14ac:dyDescent="0.25">
      <c r="A39" s="159" t="s">
        <v>53</v>
      </c>
      <c r="B39" s="160"/>
      <c r="C39" s="160"/>
      <c r="D39" s="160"/>
      <c r="E39" s="11"/>
      <c r="F39" s="11"/>
      <c r="G39" s="11"/>
    </row>
    <row r="40" spans="1:7" s="4" customFormat="1" ht="14.25" x14ac:dyDescent="0.25">
      <c r="A40" s="156" t="s">
        <v>11</v>
      </c>
      <c r="B40" s="157"/>
      <c r="C40" s="157"/>
      <c r="D40" s="158"/>
      <c r="E40" s="93" t="s">
        <v>247</v>
      </c>
      <c r="F40" s="93" t="s">
        <v>261</v>
      </c>
      <c r="G40" s="94" t="s">
        <v>261</v>
      </c>
    </row>
    <row r="41" spans="1:7" s="4" customFormat="1" ht="14.25" x14ac:dyDescent="0.25">
      <c r="A41" s="144" t="s">
        <v>12</v>
      </c>
      <c r="B41" s="145"/>
      <c r="C41" s="145"/>
      <c r="D41" s="146"/>
      <c r="E41" s="74" t="s">
        <v>243</v>
      </c>
      <c r="F41" s="95" t="s">
        <v>8</v>
      </c>
      <c r="G41" s="96" t="s">
        <v>8</v>
      </c>
    </row>
    <row r="42" spans="1:7" s="4" customFormat="1" ht="14.25" x14ac:dyDescent="0.25">
      <c r="A42" s="153" t="s">
        <v>13</v>
      </c>
      <c r="B42" s="154"/>
      <c r="C42" s="154"/>
      <c r="D42" s="155"/>
      <c r="E42" s="77" t="s">
        <v>249</v>
      </c>
      <c r="F42" s="76" t="s">
        <v>261</v>
      </c>
      <c r="G42" s="77" t="s">
        <v>261</v>
      </c>
    </row>
    <row r="43" spans="1:7" s="2" customFormat="1" ht="19.899999999999999" customHeight="1" x14ac:dyDescent="0.25">
      <c r="A43" s="159" t="s">
        <v>52</v>
      </c>
      <c r="B43" s="160"/>
      <c r="C43" s="160"/>
      <c r="D43" s="160"/>
      <c r="E43" s="10"/>
      <c r="F43" s="10"/>
      <c r="G43" s="10"/>
    </row>
    <row r="44" spans="1:7" s="5" customFormat="1" ht="14.25" x14ac:dyDescent="0.25">
      <c r="A44" s="164" t="s">
        <v>33</v>
      </c>
      <c r="B44" s="165"/>
      <c r="C44" s="165"/>
      <c r="D44" s="166"/>
      <c r="E44" s="97" t="s">
        <v>255</v>
      </c>
      <c r="F44" s="98" t="s">
        <v>255</v>
      </c>
      <c r="G44" s="97" t="s">
        <v>255</v>
      </c>
    </row>
    <row r="45" spans="1:7" s="5" customFormat="1" ht="14.25" x14ac:dyDescent="0.25">
      <c r="A45" s="150" t="s">
        <v>71</v>
      </c>
      <c r="B45" s="151"/>
      <c r="C45" s="151"/>
      <c r="D45" s="152"/>
      <c r="E45" s="99" t="str">
        <f>IF("$10"="","None","$10")</f>
        <v>$10</v>
      </c>
      <c r="F45" s="99" t="str">
        <f>IF("$10"="","None","$10")</f>
        <v>$10</v>
      </c>
      <c r="G45" s="99" t="str">
        <f>IF("$15"="","None","$15")</f>
        <v>$15</v>
      </c>
    </row>
    <row r="46" spans="1:7" s="5" customFormat="1" ht="14.25" x14ac:dyDescent="0.25">
      <c r="A46" s="150" t="s">
        <v>72</v>
      </c>
      <c r="B46" s="151"/>
      <c r="C46" s="151"/>
      <c r="D46" s="152"/>
      <c r="E46" s="99" t="str">
        <f>IF("$60"="","None","$60")</f>
        <v>$60</v>
      </c>
      <c r="F46" s="99" t="str">
        <f>IF("$60"="","None","$60")</f>
        <v>$60</v>
      </c>
      <c r="G46" s="99" t="str">
        <f>IF("$50"="","None","$50")</f>
        <v>$50</v>
      </c>
    </row>
    <row r="47" spans="1:7" s="5" customFormat="1" ht="14.25" x14ac:dyDescent="0.25">
      <c r="A47" s="150" t="s">
        <v>73</v>
      </c>
      <c r="B47" s="151"/>
      <c r="C47" s="151"/>
      <c r="D47" s="152"/>
      <c r="E47" s="99" t="str">
        <f>IF("$90"="","None","$90")</f>
        <v>$90</v>
      </c>
      <c r="F47" s="99" t="str">
        <f>IF("$90"="","None","$90")</f>
        <v>$90</v>
      </c>
      <c r="G47" s="99" t="str">
        <f>IF("$300"="","None","$300")</f>
        <v>$300</v>
      </c>
    </row>
    <row r="48" spans="1:7" s="5" customFormat="1" ht="14.25" x14ac:dyDescent="0.25">
      <c r="A48" s="150" t="s">
        <v>74</v>
      </c>
      <c r="B48" s="151"/>
      <c r="C48" s="151"/>
      <c r="D48" s="152"/>
      <c r="E48" s="99" t="str">
        <f>IF("None"="","None","None")</f>
        <v>None</v>
      </c>
      <c r="F48" s="99" t="str">
        <f>IF("None"="","None","None")</f>
        <v>None</v>
      </c>
      <c r="G48" s="99" t="str">
        <f>IF("None"="","None","None")</f>
        <v>None</v>
      </c>
    </row>
    <row r="49" spans="1:7" s="5" customFormat="1" ht="14.25" x14ac:dyDescent="0.25">
      <c r="A49" s="147" t="s">
        <v>75</v>
      </c>
      <c r="B49" s="148"/>
      <c r="C49" s="148"/>
      <c r="D49" s="149"/>
      <c r="E49" s="99" t="s">
        <v>257</v>
      </c>
      <c r="F49" s="99" t="s">
        <v>257</v>
      </c>
      <c r="G49" s="99" t="s">
        <v>425</v>
      </c>
    </row>
    <row r="50" spans="1:7" s="2" customFormat="1" ht="14.25" x14ac:dyDescent="0.25">
      <c r="A50" s="147" t="s">
        <v>27</v>
      </c>
      <c r="B50" s="148"/>
      <c r="C50" s="148"/>
      <c r="D50" s="149"/>
      <c r="E50" s="99" t="s">
        <v>256</v>
      </c>
      <c r="F50" s="99" t="s">
        <v>256</v>
      </c>
      <c r="G50" s="99" t="s">
        <v>424</v>
      </c>
    </row>
    <row r="51" spans="1:7" s="2" customFormat="1" ht="55.15" customHeight="1" x14ac:dyDescent="0.25">
      <c r="A51" s="140" t="s">
        <v>31</v>
      </c>
      <c r="B51" s="140"/>
      <c r="C51" s="140"/>
      <c r="D51" s="140"/>
      <c r="E51" s="140"/>
      <c r="F51" s="140"/>
      <c r="G51" s="140"/>
    </row>
  </sheetData>
  <mergeCells count="50">
    <mergeCell ref="A2:G2"/>
    <mergeCell ref="A3:G3"/>
    <mergeCell ref="A4:G4"/>
    <mergeCell ref="A5:C5"/>
    <mergeCell ref="A8:D8"/>
    <mergeCell ref="A6:C6"/>
    <mergeCell ref="B12:C12"/>
    <mergeCell ref="B13:C13"/>
    <mergeCell ref="A7:D7"/>
    <mergeCell ref="A24:D24"/>
    <mergeCell ref="A25:D25"/>
    <mergeCell ref="A19:D19"/>
    <mergeCell ref="A17:D17"/>
    <mergeCell ref="A18:D18"/>
    <mergeCell ref="A14:D14"/>
    <mergeCell ref="A15:D15"/>
    <mergeCell ref="A16:D16"/>
    <mergeCell ref="B10:C10"/>
    <mergeCell ref="B11:C11"/>
    <mergeCell ref="A9:C9"/>
    <mergeCell ref="A45:D45"/>
    <mergeCell ref="A46:D46"/>
    <mergeCell ref="A47:D47"/>
    <mergeCell ref="A39:D39"/>
    <mergeCell ref="A40:D40"/>
    <mergeCell ref="A41:D41"/>
    <mergeCell ref="A42:D42"/>
    <mergeCell ref="A44:D44"/>
    <mergeCell ref="A43:D43"/>
    <mergeCell ref="A30:D30"/>
    <mergeCell ref="A21:D21"/>
    <mergeCell ref="A23:D23"/>
    <mergeCell ref="A20:D20"/>
    <mergeCell ref="A22:D22"/>
    <mergeCell ref="A51:G51"/>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38:D38"/>
  </mergeCells>
  <hyperlinks>
    <hyperlink ref="E19" r:id="rId1" xr:uid="{00000000-0004-0000-1500-000000000000}"/>
    <hyperlink ref="F8" r:id="rId2" xr:uid="{00000000-0004-0000-1500-000001000000}"/>
    <hyperlink ref="F19" r:id="rId3" xr:uid="{00000000-0004-0000-1500-000002000000}"/>
    <hyperlink ref="G8" r:id="rId4" xr:uid="{00000000-0004-0000-1500-000003000000}"/>
    <hyperlink ref="G19" r:id="rId5" xr:uid="{00000000-0004-0000-1500-000004000000}"/>
  </hyperlinks>
  <printOptions horizontalCentered="1"/>
  <pageMargins left="0.25" right="0.25" top="0.25" bottom="0.3" header="0" footer="0.05"/>
  <pageSetup scale="47" orientation="landscape"/>
  <headerFooter>
    <oddFooter>&amp;C&amp;"Tahoma,Regular"Page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A581-8183-40E1-8F38-0F0AC1103ECE}">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51</v>
      </c>
      <c r="H5" s="57" t="s">
        <v>36</v>
      </c>
    </row>
    <row r="6" spans="1:8" s="2" customFormat="1" ht="60" x14ac:dyDescent="0.25">
      <c r="A6" s="186" t="s">
        <v>67</v>
      </c>
      <c r="B6" s="187"/>
      <c r="C6" s="187"/>
      <c r="D6" s="127">
        <v>4</v>
      </c>
      <c r="E6" s="115" t="s">
        <v>484</v>
      </c>
      <c r="F6" s="115" t="s">
        <v>492</v>
      </c>
      <c r="G6" s="116" t="s">
        <v>264</v>
      </c>
      <c r="H6" s="116" t="s">
        <v>279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3986.98</v>
      </c>
      <c r="H14" s="69">
        <v>4342.67</v>
      </c>
    </row>
    <row r="15" spans="1:8" s="2" customFormat="1" ht="14.25" x14ac:dyDescent="0.25">
      <c r="A15" s="197" t="s">
        <v>6</v>
      </c>
      <c r="B15" s="197"/>
      <c r="C15" s="197"/>
      <c r="D15" s="197"/>
      <c r="E15" s="70">
        <f>E14*12</f>
        <v>65885.16</v>
      </c>
      <c r="F15" s="70">
        <f>F14*12</f>
        <v>97280.52</v>
      </c>
      <c r="G15" s="70">
        <f>G14*12</f>
        <v>47843.76</v>
      </c>
      <c r="H15" s="70">
        <f>H14*12</f>
        <v>52112.04</v>
      </c>
    </row>
    <row r="16" spans="1:8" s="2" customFormat="1" ht="14.25" x14ac:dyDescent="0.25">
      <c r="A16" s="197" t="s">
        <v>7</v>
      </c>
      <c r="B16" s="197"/>
      <c r="C16" s="197"/>
      <c r="D16" s="197"/>
      <c r="E16" s="71" t="s">
        <v>8</v>
      </c>
      <c r="F16" s="71">
        <f>(F15-$E15)/$E15</f>
        <v>0.47651641128290495</v>
      </c>
      <c r="G16" s="71">
        <f>(G15-$E15)/$E15</f>
        <v>-0.27383101141440652</v>
      </c>
      <c r="H16" s="71">
        <f>(H15-$E15)/$E15</f>
        <v>-0.20904737880275318</v>
      </c>
    </row>
    <row r="17" spans="1:8" s="3" customFormat="1" ht="14.25" x14ac:dyDescent="0.25">
      <c r="A17" s="195" t="s">
        <v>9</v>
      </c>
      <c r="B17" s="195"/>
      <c r="C17" s="195"/>
      <c r="D17" s="195"/>
      <c r="E17" s="72" t="s">
        <v>8</v>
      </c>
      <c r="F17" s="70">
        <f>F15-$E15</f>
        <v>31395.360000000001</v>
      </c>
      <c r="G17" s="70">
        <f>G15-$E15</f>
        <v>-18041.400000000001</v>
      </c>
      <c r="H17" s="70">
        <f>H15-$E15</f>
        <v>-13773.120000000003</v>
      </c>
    </row>
    <row r="18" spans="1:8" s="3" customFormat="1" ht="14.25" x14ac:dyDescent="0.25">
      <c r="A18" s="195" t="s">
        <v>10</v>
      </c>
      <c r="B18" s="195"/>
      <c r="C18" s="195"/>
      <c r="D18" s="195"/>
      <c r="E18" s="72" t="s">
        <v>8</v>
      </c>
      <c r="F18" s="72">
        <f>F14-$E14</f>
        <v>2616.2799999999997</v>
      </c>
      <c r="G18" s="72">
        <f>G14-$E14</f>
        <v>-1503.4500000000003</v>
      </c>
      <c r="H18" s="72">
        <f>H14-$E14</f>
        <v>-1147.7600000000002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270</v>
      </c>
      <c r="H21" s="73" t="s">
        <v>270</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361</v>
      </c>
      <c r="F23" s="77" t="s">
        <v>361</v>
      </c>
      <c r="G23" s="77" t="s">
        <v>271</v>
      </c>
      <c r="H23" s="77" t="s">
        <v>271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274</v>
      </c>
      <c r="H25" s="79" t="s">
        <v>274</v>
      </c>
    </row>
    <row r="26" spans="1:8" s="4" customFormat="1" ht="14.25" x14ac:dyDescent="0.25">
      <c r="A26" s="153" t="s">
        <v>16</v>
      </c>
      <c r="B26" s="154"/>
      <c r="C26" s="154"/>
      <c r="D26" s="155"/>
      <c r="E26" s="81" t="s">
        <v>490</v>
      </c>
      <c r="F26" s="82" t="s">
        <v>490</v>
      </c>
      <c r="G26" s="81" t="s">
        <v>275</v>
      </c>
      <c r="H26" s="81" t="s">
        <v>275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488</v>
      </c>
      <c r="F30" s="85" t="s">
        <v>495</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276</v>
      </c>
      <c r="H32" s="84" t="s">
        <v>276</v>
      </c>
    </row>
    <row r="33" spans="1:8" s="4" customFormat="1" ht="14.25" x14ac:dyDescent="0.25">
      <c r="A33" s="144" t="s">
        <v>23</v>
      </c>
      <c r="B33" s="145"/>
      <c r="C33" s="145"/>
      <c r="D33" s="146"/>
      <c r="E33" s="81" t="s">
        <v>485</v>
      </c>
      <c r="F33" s="88" t="s">
        <v>493</v>
      </c>
      <c r="G33" s="81" t="s">
        <v>268</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267</v>
      </c>
      <c r="H35" s="84" t="s">
        <v>267</v>
      </c>
    </row>
    <row r="36" spans="1:8" s="4" customFormat="1" ht="42.75" x14ac:dyDescent="0.25">
      <c r="A36" s="144" t="s">
        <v>26</v>
      </c>
      <c r="B36" s="145"/>
      <c r="C36" s="145"/>
      <c r="D36" s="146"/>
      <c r="E36" s="77" t="s">
        <v>486</v>
      </c>
      <c r="F36" s="92" t="s">
        <v>494</v>
      </c>
      <c r="G36" s="77" t="s">
        <v>269</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IF("$7"="","None","$7")</f>
        <v>$7</v>
      </c>
      <c r="H45" s="99" t="str">
        <f>IF("$7"="","None","$7")</f>
        <v>$7</v>
      </c>
    </row>
    <row r="46" spans="1:8" s="5" customFormat="1" ht="14.25" x14ac:dyDescent="0.25">
      <c r="A46" s="150" t="s">
        <v>72</v>
      </c>
      <c r="B46" s="151"/>
      <c r="C46" s="151"/>
      <c r="D46" s="152"/>
      <c r="E46" s="99" t="str">
        <f>IF("$60"="","None","$60")</f>
        <v>$60</v>
      </c>
      <c r="F46" s="99" t="str">
        <f>IF("$60"="","None","$60")</f>
        <v>$60</v>
      </c>
      <c r="G46" s="99" t="str">
        <f>IF("50% after deductible"="","None","50% after deductible")</f>
        <v>50% after deductible</v>
      </c>
      <c r="H46" s="99" t="str">
        <f>IF("50% after deductible"="","None","50% after deductible")</f>
        <v>50% after deductible</v>
      </c>
    </row>
    <row r="47" spans="1:8" s="5" customFormat="1" ht="14.25" x14ac:dyDescent="0.25">
      <c r="A47" s="150" t="s">
        <v>73</v>
      </c>
      <c r="B47" s="151"/>
      <c r="C47" s="151"/>
      <c r="D47" s="152"/>
      <c r="E47" s="99" t="str">
        <f>IF("$90"="","None","$90")</f>
        <v>$90</v>
      </c>
      <c r="F47" s="99" t="str">
        <f>IF("$90"="","None","$90")</f>
        <v>$90</v>
      </c>
      <c r="G47" s="99" t="str">
        <f>IF("50% after deductible"="","None","50% after deductible")</f>
        <v>50% after deductible</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257</v>
      </c>
      <c r="F49" s="99" t="s">
        <v>257</v>
      </c>
      <c r="G49" s="99" t="s">
        <v>267</v>
      </c>
      <c r="H49" s="99" t="s">
        <v>267</v>
      </c>
    </row>
    <row r="50" spans="1:8" s="2" customFormat="1" ht="28.5" x14ac:dyDescent="0.25">
      <c r="A50" s="147" t="s">
        <v>27</v>
      </c>
      <c r="B50" s="148"/>
      <c r="C50" s="148"/>
      <c r="D50" s="149"/>
      <c r="E50" s="99" t="s">
        <v>256</v>
      </c>
      <c r="F50" s="99" t="s">
        <v>256</v>
      </c>
      <c r="G50" s="99" t="s">
        <v>278</v>
      </c>
      <c r="H50" s="99" t="s">
        <v>278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600-000000000000}"/>
    <hyperlink ref="F8" r:id="rId2" xr:uid="{00000000-0004-0000-1600-000001000000}"/>
    <hyperlink ref="F19" r:id="rId3" xr:uid="{00000000-0004-0000-1600-000002000000}"/>
    <hyperlink ref="G8" r:id="rId4" xr:uid="{00000000-0004-0000-1600-000003000000}"/>
    <hyperlink ref="G19" r:id="rId5" xr:uid="{00000000-0004-0000-1600-000004000000}"/>
    <hyperlink ref="H8" r:id="rId6" xr:uid="{00000000-0004-0000-1600-000005000000}"/>
    <hyperlink ref="H19" r:id="rId7" xr:uid="{00000000-0004-0000-16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821E-1341-49A0-A922-7DD632CE7279}">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47</v>
      </c>
      <c r="H5" s="57" t="s">
        <v>48</v>
      </c>
    </row>
    <row r="6" spans="1:8" s="2" customFormat="1" ht="60" x14ac:dyDescent="0.25">
      <c r="A6" s="186" t="s">
        <v>67</v>
      </c>
      <c r="B6" s="187"/>
      <c r="C6" s="187"/>
      <c r="D6" s="127">
        <v>4</v>
      </c>
      <c r="E6" s="115" t="s">
        <v>484</v>
      </c>
      <c r="F6" s="115" t="s">
        <v>492</v>
      </c>
      <c r="G6" s="116" t="s">
        <v>280</v>
      </c>
      <c r="H6" s="116" t="s">
        <v>291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4374.37</v>
      </c>
      <c r="H14" s="69">
        <v>4567.17</v>
      </c>
    </row>
    <row r="15" spans="1:8" s="2" customFormat="1" ht="14.25" x14ac:dyDescent="0.25">
      <c r="A15" s="197" t="s">
        <v>6</v>
      </c>
      <c r="B15" s="197"/>
      <c r="C15" s="197"/>
      <c r="D15" s="197"/>
      <c r="E15" s="70">
        <f>E14*12</f>
        <v>65885.16</v>
      </c>
      <c r="F15" s="70">
        <f>F14*12</f>
        <v>97280.52</v>
      </c>
      <c r="G15" s="70">
        <f>G14*12</f>
        <v>52492.44</v>
      </c>
      <c r="H15" s="70">
        <f>H14*12</f>
        <v>54806.04</v>
      </c>
    </row>
    <row r="16" spans="1:8" s="2" customFormat="1" ht="14.25" x14ac:dyDescent="0.25">
      <c r="A16" s="197" t="s">
        <v>7</v>
      </c>
      <c r="B16" s="197"/>
      <c r="C16" s="197"/>
      <c r="D16" s="197"/>
      <c r="E16" s="71" t="s">
        <v>8</v>
      </c>
      <c r="F16" s="71">
        <f>(F15-$E15)/$E15</f>
        <v>0.47651641128290495</v>
      </c>
      <c r="G16" s="71">
        <f>(G15-$E15)/$E15</f>
        <v>-0.20327369623144273</v>
      </c>
      <c r="H16" s="71">
        <f>(H15-$E15)/$E15</f>
        <v>-0.16815804955167449</v>
      </c>
    </row>
    <row r="17" spans="1:8" s="3" customFormat="1" ht="14.25" x14ac:dyDescent="0.25">
      <c r="A17" s="195" t="s">
        <v>9</v>
      </c>
      <c r="B17" s="195"/>
      <c r="C17" s="195"/>
      <c r="D17" s="195"/>
      <c r="E17" s="72" t="s">
        <v>8</v>
      </c>
      <c r="F17" s="70">
        <f>F15-$E15</f>
        <v>31395.360000000001</v>
      </c>
      <c r="G17" s="70">
        <f>G15-$E15</f>
        <v>-13392.720000000001</v>
      </c>
      <c r="H17" s="70">
        <f>H15-$E15</f>
        <v>-11079.120000000003</v>
      </c>
    </row>
    <row r="18" spans="1:8" s="3" customFormat="1" ht="14.25" x14ac:dyDescent="0.25">
      <c r="A18" s="195" t="s">
        <v>10</v>
      </c>
      <c r="B18" s="195"/>
      <c r="C18" s="195"/>
      <c r="D18" s="195"/>
      <c r="E18" s="72" t="s">
        <v>8</v>
      </c>
      <c r="F18" s="72">
        <f>F14-$E14</f>
        <v>2616.2799999999997</v>
      </c>
      <c r="G18" s="72">
        <f>G14-$E14</f>
        <v>-1116.0600000000004</v>
      </c>
      <c r="H18" s="72">
        <f>H14-$E14</f>
        <v>-923.26000000000022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361</v>
      </c>
      <c r="F23" s="77" t="s">
        <v>361</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490</v>
      </c>
      <c r="F25" s="80" t="s">
        <v>490</v>
      </c>
      <c r="G25" s="79" t="s">
        <v>286</v>
      </c>
      <c r="H25" s="79" t="s">
        <v>294</v>
      </c>
    </row>
    <row r="26" spans="1:8" s="4" customFormat="1" ht="28.5" x14ac:dyDescent="0.25">
      <c r="A26" s="153" t="s">
        <v>16</v>
      </c>
      <c r="B26" s="154"/>
      <c r="C26" s="154"/>
      <c r="D26" s="155"/>
      <c r="E26" s="81" t="s">
        <v>490</v>
      </c>
      <c r="F26" s="82" t="s">
        <v>490</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488</v>
      </c>
      <c r="F30" s="85" t="s">
        <v>495</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288</v>
      </c>
      <c r="H32" s="84" t="s">
        <v>267</v>
      </c>
    </row>
    <row r="33" spans="1:8" s="4" customFormat="1" ht="28.5" x14ac:dyDescent="0.25">
      <c r="A33" s="144" t="s">
        <v>23</v>
      </c>
      <c r="B33" s="145"/>
      <c r="C33" s="145"/>
      <c r="D33" s="146"/>
      <c r="E33" s="81" t="s">
        <v>485</v>
      </c>
      <c r="F33" s="88" t="s">
        <v>493</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282</v>
      </c>
      <c r="H35" s="84" t="s">
        <v>267</v>
      </c>
    </row>
    <row r="36" spans="1:8" s="4" customFormat="1" ht="42.75" x14ac:dyDescent="0.25">
      <c r="A36" s="144" t="s">
        <v>26</v>
      </c>
      <c r="B36" s="145"/>
      <c r="C36" s="145"/>
      <c r="D36" s="146"/>
      <c r="E36" s="77" t="s">
        <v>486</v>
      </c>
      <c r="F36" s="92" t="s">
        <v>494</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257</v>
      </c>
      <c r="F49" s="99" t="s">
        <v>257</v>
      </c>
      <c r="G49" s="99" t="s">
        <v>290</v>
      </c>
      <c r="H49" s="99" t="s">
        <v>297</v>
      </c>
    </row>
    <row r="50" spans="1:8" s="2" customFormat="1" ht="42.75" x14ac:dyDescent="0.25">
      <c r="A50" s="147" t="s">
        <v>27</v>
      </c>
      <c r="B50" s="148"/>
      <c r="C50" s="148"/>
      <c r="D50" s="149"/>
      <c r="E50" s="99" t="s">
        <v>256</v>
      </c>
      <c r="F50" s="99" t="s">
        <v>256</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700-000000000000}"/>
    <hyperlink ref="F8" r:id="rId2" xr:uid="{00000000-0004-0000-1700-000001000000}"/>
    <hyperlink ref="F19" r:id="rId3" xr:uid="{00000000-0004-0000-1700-000002000000}"/>
    <hyperlink ref="G8" r:id="rId4" xr:uid="{00000000-0004-0000-1700-000003000000}"/>
    <hyperlink ref="G19" r:id="rId5" xr:uid="{00000000-0004-0000-1700-000004000000}"/>
    <hyperlink ref="H8" r:id="rId6" xr:uid="{00000000-0004-0000-1700-000005000000}"/>
    <hyperlink ref="H19" r:id="rId7" xr:uid="{00000000-0004-0000-17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62A2-5328-46EF-8CD0-17ED9E14F593}">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49</v>
      </c>
      <c r="H5" s="57" t="s">
        <v>50</v>
      </c>
    </row>
    <row r="6" spans="1:8" s="2" customFormat="1" ht="60" x14ac:dyDescent="0.25">
      <c r="A6" s="186" t="s">
        <v>67</v>
      </c>
      <c r="B6" s="187"/>
      <c r="C6" s="187"/>
      <c r="D6" s="127">
        <v>4</v>
      </c>
      <c r="E6" s="115" t="s">
        <v>484</v>
      </c>
      <c r="F6" s="115" t="s">
        <v>492</v>
      </c>
      <c r="G6" s="116" t="s">
        <v>298</v>
      </c>
      <c r="H6" s="116" t="s">
        <v>299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4830.01</v>
      </c>
      <c r="H14" s="69">
        <v>4976.41</v>
      </c>
    </row>
    <row r="15" spans="1:8" s="2" customFormat="1" ht="14.25" x14ac:dyDescent="0.25">
      <c r="A15" s="197" t="s">
        <v>6</v>
      </c>
      <c r="B15" s="197"/>
      <c r="C15" s="197"/>
      <c r="D15" s="197"/>
      <c r="E15" s="70">
        <f>E14*12</f>
        <v>65885.16</v>
      </c>
      <c r="F15" s="70">
        <f>F14*12</f>
        <v>97280.52</v>
      </c>
      <c r="G15" s="70">
        <f>G14*12</f>
        <v>57960.12</v>
      </c>
      <c r="H15" s="70">
        <f>H14*12</f>
        <v>59716.92</v>
      </c>
    </row>
    <row r="16" spans="1:8" s="2" customFormat="1" ht="14.25" x14ac:dyDescent="0.25">
      <c r="A16" s="197" t="s">
        <v>7</v>
      </c>
      <c r="B16" s="197"/>
      <c r="C16" s="197"/>
      <c r="D16" s="197"/>
      <c r="E16" s="71" t="s">
        <v>8</v>
      </c>
      <c r="F16" s="71">
        <f>(F15-$E15)/$E15</f>
        <v>0.47651641128290495</v>
      </c>
      <c r="G16" s="71">
        <f>(G15-$E15)/$E15</f>
        <v>-0.12028566068595721</v>
      </c>
      <c r="H16" s="71">
        <f>(H15-$E15)/$E15</f>
        <v>-9.3621082501734912E-2</v>
      </c>
    </row>
    <row r="17" spans="1:8" s="3" customFormat="1" ht="14.25" x14ac:dyDescent="0.25">
      <c r="A17" s="195" t="s">
        <v>9</v>
      </c>
      <c r="B17" s="195"/>
      <c r="C17" s="195"/>
      <c r="D17" s="195"/>
      <c r="E17" s="72" t="s">
        <v>8</v>
      </c>
      <c r="F17" s="70">
        <f>F15-$E15</f>
        <v>31395.360000000001</v>
      </c>
      <c r="G17" s="70">
        <f>G15-$E15</f>
        <v>-7925.0400000000009</v>
      </c>
      <c r="H17" s="70">
        <f>H15-$E15</f>
        <v>-6168.2400000000052</v>
      </c>
    </row>
    <row r="18" spans="1:8" s="3" customFormat="1" ht="14.25" x14ac:dyDescent="0.25">
      <c r="A18" s="195" t="s">
        <v>10</v>
      </c>
      <c r="B18" s="195"/>
      <c r="C18" s="195"/>
      <c r="D18" s="195"/>
      <c r="E18" s="72" t="s">
        <v>8</v>
      </c>
      <c r="F18" s="72">
        <f>F14-$E14</f>
        <v>2616.2799999999997</v>
      </c>
      <c r="G18" s="72">
        <f>G14-$E14</f>
        <v>-660.42000000000007</v>
      </c>
      <c r="H18" s="72">
        <f>H14-$E14</f>
        <v>-514.02000000000044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361</v>
      </c>
      <c r="F23" s="77" t="s">
        <v>361</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490</v>
      </c>
      <c r="F25" s="80" t="s">
        <v>490</v>
      </c>
      <c r="G25" s="79" t="s">
        <v>286</v>
      </c>
      <c r="H25" s="79" t="s">
        <v>294</v>
      </c>
    </row>
    <row r="26" spans="1:8" s="4" customFormat="1" ht="28.5" x14ac:dyDescent="0.25">
      <c r="A26" s="153" t="s">
        <v>16</v>
      </c>
      <c r="B26" s="154"/>
      <c r="C26" s="154"/>
      <c r="D26" s="155"/>
      <c r="E26" s="81" t="s">
        <v>490</v>
      </c>
      <c r="F26" s="82" t="s">
        <v>490</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488</v>
      </c>
      <c r="F30" s="85" t="s">
        <v>495</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288</v>
      </c>
      <c r="H32" s="84" t="s">
        <v>267</v>
      </c>
    </row>
    <row r="33" spans="1:8" s="4" customFormat="1" ht="28.5" x14ac:dyDescent="0.25">
      <c r="A33" s="144" t="s">
        <v>23</v>
      </c>
      <c r="B33" s="145"/>
      <c r="C33" s="145"/>
      <c r="D33" s="146"/>
      <c r="E33" s="81" t="s">
        <v>485</v>
      </c>
      <c r="F33" s="88" t="s">
        <v>493</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282</v>
      </c>
      <c r="H35" s="84" t="s">
        <v>267</v>
      </c>
    </row>
    <row r="36" spans="1:8" s="4" customFormat="1" ht="42.75" x14ac:dyDescent="0.25">
      <c r="A36" s="144" t="s">
        <v>26</v>
      </c>
      <c r="B36" s="145"/>
      <c r="C36" s="145"/>
      <c r="D36" s="146"/>
      <c r="E36" s="77" t="s">
        <v>486</v>
      </c>
      <c r="F36" s="92" t="s">
        <v>494</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257</v>
      </c>
      <c r="F49" s="99" t="s">
        <v>257</v>
      </c>
      <c r="G49" s="99" t="s">
        <v>290</v>
      </c>
      <c r="H49" s="99" t="s">
        <v>297</v>
      </c>
    </row>
    <row r="50" spans="1:8" s="2" customFormat="1" ht="42.75" x14ac:dyDescent="0.25">
      <c r="A50" s="147" t="s">
        <v>27</v>
      </c>
      <c r="B50" s="148"/>
      <c r="C50" s="148"/>
      <c r="D50" s="149"/>
      <c r="E50" s="99" t="s">
        <v>256</v>
      </c>
      <c r="F50" s="99" t="s">
        <v>256</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800-000000000000}"/>
    <hyperlink ref="F8" r:id="rId2" xr:uid="{00000000-0004-0000-1800-000001000000}"/>
    <hyperlink ref="F19" r:id="rId3" xr:uid="{00000000-0004-0000-1800-000002000000}"/>
    <hyperlink ref="G8" r:id="rId4" xr:uid="{00000000-0004-0000-1800-000003000000}"/>
    <hyperlink ref="G19" r:id="rId5" xr:uid="{00000000-0004-0000-1800-000004000000}"/>
    <hyperlink ref="H8" r:id="rId6" xr:uid="{00000000-0004-0000-1800-000005000000}"/>
    <hyperlink ref="H19" r:id="rId7" xr:uid="{00000000-0004-0000-18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8C86-441B-4E41-9FE4-CFA88B7C514C}">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153</v>
      </c>
      <c r="H5" s="57" t="s">
        <v>155</v>
      </c>
    </row>
    <row r="6" spans="1:8" s="2" customFormat="1" ht="60" x14ac:dyDescent="0.25">
      <c r="A6" s="186" t="s">
        <v>67</v>
      </c>
      <c r="B6" s="187"/>
      <c r="C6" s="187"/>
      <c r="D6" s="127">
        <v>4</v>
      </c>
      <c r="E6" s="115" t="s">
        <v>484</v>
      </c>
      <c r="F6" s="115" t="s">
        <v>492</v>
      </c>
      <c r="G6" s="116" t="s">
        <v>300</v>
      </c>
      <c r="H6" s="116" t="s">
        <v>301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5042.72</v>
      </c>
      <c r="H14" s="69">
        <v>5494.36</v>
      </c>
    </row>
    <row r="15" spans="1:8" s="2" customFormat="1" ht="14.25" x14ac:dyDescent="0.25">
      <c r="A15" s="197" t="s">
        <v>6</v>
      </c>
      <c r="B15" s="197"/>
      <c r="C15" s="197"/>
      <c r="D15" s="197"/>
      <c r="E15" s="70">
        <f>E14*12</f>
        <v>65885.16</v>
      </c>
      <c r="F15" s="70">
        <f>F14*12</f>
        <v>97280.52</v>
      </c>
      <c r="G15" s="70">
        <f>G14*12</f>
        <v>60512.639999999999</v>
      </c>
      <c r="H15" s="70">
        <f>H14*12</f>
        <v>65932.319999999992</v>
      </c>
    </row>
    <row r="16" spans="1:8" s="2" customFormat="1" ht="14.25" x14ac:dyDescent="0.25">
      <c r="A16" s="197" t="s">
        <v>7</v>
      </c>
      <c r="B16" s="197"/>
      <c r="C16" s="197"/>
      <c r="D16" s="197"/>
      <c r="E16" s="71" t="s">
        <v>8</v>
      </c>
      <c r="F16" s="71">
        <f>(F15-$E15)/$E15</f>
        <v>0.47651641128290495</v>
      </c>
      <c r="G16" s="71">
        <f>(G15-$E15)/$E15</f>
        <v>-8.1543704227173525E-2</v>
      </c>
      <c r="H16" s="71">
        <f>(H15-$E15)/$E15</f>
        <v>7.1579093076481776E-4</v>
      </c>
    </row>
    <row r="17" spans="1:8" s="3" customFormat="1" ht="14.25" x14ac:dyDescent="0.25">
      <c r="A17" s="195" t="s">
        <v>9</v>
      </c>
      <c r="B17" s="195"/>
      <c r="C17" s="195"/>
      <c r="D17" s="195"/>
      <c r="E17" s="72" t="s">
        <v>8</v>
      </c>
      <c r="F17" s="70">
        <f>F15-$E15</f>
        <v>31395.360000000001</v>
      </c>
      <c r="G17" s="70">
        <f>G15-$E15</f>
        <v>-5372.5200000000041</v>
      </c>
      <c r="H17" s="70">
        <f>H15-$E15</f>
        <v>47.159999999988941</v>
      </c>
    </row>
    <row r="18" spans="1:8" s="3" customFormat="1" ht="14.25" x14ac:dyDescent="0.25">
      <c r="A18" s="195" t="s">
        <v>10</v>
      </c>
      <c r="B18" s="195"/>
      <c r="C18" s="195"/>
      <c r="D18" s="195"/>
      <c r="E18" s="72" t="s">
        <v>8</v>
      </c>
      <c r="F18" s="72">
        <f>F14-$E14</f>
        <v>2616.2799999999997</v>
      </c>
      <c r="G18" s="72">
        <f>G14-$E14</f>
        <v>-447.71000000000004</v>
      </c>
      <c r="H18" s="72">
        <f>H14-$E14</f>
        <v>3.9299999999993815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361</v>
      </c>
      <c r="F23" s="77" t="s">
        <v>361</v>
      </c>
      <c r="G23" s="77" t="s">
        <v>285</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267</v>
      </c>
      <c r="H25" s="79" t="s">
        <v>267</v>
      </c>
    </row>
    <row r="26" spans="1:8" s="4" customFormat="1" ht="14.25" x14ac:dyDescent="0.25">
      <c r="A26" s="153" t="s">
        <v>16</v>
      </c>
      <c r="B26" s="154"/>
      <c r="C26" s="154"/>
      <c r="D26" s="155"/>
      <c r="E26" s="81" t="s">
        <v>490</v>
      </c>
      <c r="F26" s="82" t="s">
        <v>490</v>
      </c>
      <c r="G26" s="81" t="s">
        <v>267</v>
      </c>
      <c r="H26" s="81" t="s">
        <v>267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488</v>
      </c>
      <c r="F30" s="85" t="s">
        <v>495</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267</v>
      </c>
      <c r="H32" s="84" t="s">
        <v>267</v>
      </c>
    </row>
    <row r="33" spans="1:8" s="4" customFormat="1" ht="14.25" x14ac:dyDescent="0.25">
      <c r="A33" s="144" t="s">
        <v>23</v>
      </c>
      <c r="B33" s="145"/>
      <c r="C33" s="145"/>
      <c r="D33" s="146"/>
      <c r="E33" s="81" t="s">
        <v>485</v>
      </c>
      <c r="F33" s="88" t="s">
        <v>493</v>
      </c>
      <c r="G33" s="81" t="s">
        <v>267</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267</v>
      </c>
      <c r="H35" s="84" t="s">
        <v>267</v>
      </c>
    </row>
    <row r="36" spans="1:8" s="4" customFormat="1" ht="28.5" x14ac:dyDescent="0.25">
      <c r="A36" s="144" t="s">
        <v>26</v>
      </c>
      <c r="B36" s="145"/>
      <c r="C36" s="145"/>
      <c r="D36" s="146"/>
      <c r="E36" s="77" t="s">
        <v>486</v>
      </c>
      <c r="F36" s="92" t="s">
        <v>494</v>
      </c>
      <c r="G36" s="77" t="s">
        <v>272</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 t="shared" ref="G45:H48" si="0">IF("50% after deductible - $125 max"="","None","50% after deductible - $125 max")</f>
        <v>50% after deductible - $125 max</v>
      </c>
      <c r="H45" s="99" t="str">
        <f t="shared" si="0"/>
        <v>50% after deductible - $125 max</v>
      </c>
    </row>
    <row r="46" spans="1:8" s="5" customFormat="1" ht="14.25" x14ac:dyDescent="0.25">
      <c r="A46" s="150" t="s">
        <v>72</v>
      </c>
      <c r="B46" s="151"/>
      <c r="C46" s="151"/>
      <c r="D46" s="152"/>
      <c r="E46" s="99" t="str">
        <f>IF("$60"="","None","$60")</f>
        <v>$60</v>
      </c>
      <c r="F46" s="99" t="str">
        <f>IF("$60"="","None","$60")</f>
        <v>$60</v>
      </c>
      <c r="G46" s="99" t="str">
        <f t="shared" si="0"/>
        <v>50% after deductible - $125 max</v>
      </c>
      <c r="H46" s="99" t="str">
        <f t="shared" si="0"/>
        <v>50% after deductible - $125 max</v>
      </c>
    </row>
    <row r="47" spans="1:8" s="5" customFormat="1" ht="14.25" x14ac:dyDescent="0.25">
      <c r="A47" s="150" t="s">
        <v>73</v>
      </c>
      <c r="B47" s="151"/>
      <c r="C47" s="151"/>
      <c r="D47" s="152"/>
      <c r="E47" s="99" t="str">
        <f>IF("$90"="","None","$90")</f>
        <v>$90</v>
      </c>
      <c r="F47" s="99" t="str">
        <f>IF("$90"="","None","$90")</f>
        <v>$90</v>
      </c>
      <c r="G47" s="99" t="str">
        <f t="shared" si="0"/>
        <v>50% after deductible - $125 max</v>
      </c>
      <c r="H47" s="99" t="str">
        <f t="shared" si="0"/>
        <v>50% after deductible - $125 max</v>
      </c>
    </row>
    <row r="48" spans="1:8" s="5" customFormat="1" ht="14.25" x14ac:dyDescent="0.25">
      <c r="A48" s="150" t="s">
        <v>74</v>
      </c>
      <c r="B48" s="151"/>
      <c r="C48" s="151"/>
      <c r="D48" s="152"/>
      <c r="E48" s="99" t="str">
        <f>IF("None"="","None","None")</f>
        <v>None</v>
      </c>
      <c r="F48" s="99" t="str">
        <f>IF("None"="","None","None")</f>
        <v>None</v>
      </c>
      <c r="G48" s="99" t="str">
        <f t="shared" si="0"/>
        <v>50% after deductible - $125 max</v>
      </c>
      <c r="H48" s="99" t="str">
        <f t="shared" si="0"/>
        <v>50% after deductible - $125 max</v>
      </c>
    </row>
    <row r="49" spans="1:8" s="5" customFormat="1" ht="28.5" x14ac:dyDescent="0.25">
      <c r="A49" s="147" t="s">
        <v>75</v>
      </c>
      <c r="B49" s="148"/>
      <c r="C49" s="148"/>
      <c r="D49" s="149"/>
      <c r="E49" s="99" t="s">
        <v>257</v>
      </c>
      <c r="F49" s="99" t="s">
        <v>257</v>
      </c>
      <c r="G49" s="99" t="s">
        <v>290</v>
      </c>
      <c r="H49" s="99" t="s">
        <v>290</v>
      </c>
    </row>
    <row r="50" spans="1:8" s="2" customFormat="1" ht="14.25" x14ac:dyDescent="0.25">
      <c r="A50" s="147" t="s">
        <v>27</v>
      </c>
      <c r="B50" s="148"/>
      <c r="C50" s="148"/>
      <c r="D50" s="149"/>
      <c r="E50" s="99" t="s">
        <v>256</v>
      </c>
      <c r="F50" s="99" t="s">
        <v>256</v>
      </c>
      <c r="G50" s="99" t="s">
        <v>289</v>
      </c>
      <c r="H50" s="99" t="s">
        <v>289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900-000000000000}"/>
    <hyperlink ref="F8" r:id="rId2" xr:uid="{00000000-0004-0000-1900-000001000000}"/>
    <hyperlink ref="F19" r:id="rId3" xr:uid="{00000000-0004-0000-1900-000002000000}"/>
    <hyperlink ref="G8" r:id="rId4" xr:uid="{00000000-0004-0000-1900-000003000000}"/>
    <hyperlink ref="G19" r:id="rId5" xr:uid="{00000000-0004-0000-1900-000004000000}"/>
    <hyperlink ref="H8" r:id="rId6" xr:uid="{00000000-0004-0000-1900-000005000000}"/>
    <hyperlink ref="H19" r:id="rId7" xr:uid="{00000000-0004-0000-19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51E8-9605-4E2C-B461-D61273EEEC71}">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157</v>
      </c>
      <c r="H5" s="57" t="s">
        <v>159</v>
      </c>
    </row>
    <row r="6" spans="1:8" s="2" customFormat="1" ht="45" x14ac:dyDescent="0.25">
      <c r="A6" s="186" t="s">
        <v>67</v>
      </c>
      <c r="B6" s="187"/>
      <c r="C6" s="187"/>
      <c r="D6" s="127">
        <v>4</v>
      </c>
      <c r="E6" s="115" t="s">
        <v>484</v>
      </c>
      <c r="F6" s="115" t="s">
        <v>492</v>
      </c>
      <c r="G6" s="116" t="s">
        <v>302</v>
      </c>
      <c r="H6" s="116" t="s">
        <v>309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6188.21</v>
      </c>
      <c r="H14" s="69">
        <v>6405.55</v>
      </c>
    </row>
    <row r="15" spans="1:8" s="2" customFormat="1" ht="14.25" x14ac:dyDescent="0.25">
      <c r="A15" s="197" t="s">
        <v>6</v>
      </c>
      <c r="B15" s="197"/>
      <c r="C15" s="197"/>
      <c r="D15" s="197"/>
      <c r="E15" s="70">
        <f>E14*12</f>
        <v>65885.16</v>
      </c>
      <c r="F15" s="70">
        <f>F14*12</f>
        <v>97280.52</v>
      </c>
      <c r="G15" s="70">
        <f>G14*12</f>
        <v>74258.52</v>
      </c>
      <c r="H15" s="70">
        <f>H14*12</f>
        <v>76866.600000000006</v>
      </c>
    </row>
    <row r="16" spans="1:8" s="2" customFormat="1" ht="14.25" x14ac:dyDescent="0.25">
      <c r="A16" s="197" t="s">
        <v>7</v>
      </c>
      <c r="B16" s="197"/>
      <c r="C16" s="197"/>
      <c r="D16" s="197"/>
      <c r="E16" s="71" t="s">
        <v>8</v>
      </c>
      <c r="F16" s="71">
        <f>(F15-$E15)/$E15</f>
        <v>0.47651641128290495</v>
      </c>
      <c r="G16" s="71">
        <f>(G15-$E15)/$E15</f>
        <v>0.12709022790564672</v>
      </c>
      <c r="H16" s="71">
        <f>(H15-$E15)/$E15</f>
        <v>0.16667546986301621</v>
      </c>
    </row>
    <row r="17" spans="1:8" s="3" customFormat="1" ht="14.25" x14ac:dyDescent="0.25">
      <c r="A17" s="195" t="s">
        <v>9</v>
      </c>
      <c r="B17" s="195"/>
      <c r="C17" s="195"/>
      <c r="D17" s="195"/>
      <c r="E17" s="72" t="s">
        <v>8</v>
      </c>
      <c r="F17" s="70">
        <f>F15-$E15</f>
        <v>31395.360000000001</v>
      </c>
      <c r="G17" s="70">
        <f>G15-$E15</f>
        <v>8373.36</v>
      </c>
      <c r="H17" s="70">
        <f>H15-$E15</f>
        <v>10981.440000000002</v>
      </c>
    </row>
    <row r="18" spans="1:8" s="3" customFormat="1" ht="14.25" x14ac:dyDescent="0.25">
      <c r="A18" s="195" t="s">
        <v>10</v>
      </c>
      <c r="B18" s="195"/>
      <c r="C18" s="195"/>
      <c r="D18" s="195"/>
      <c r="E18" s="72" t="s">
        <v>8</v>
      </c>
      <c r="F18" s="72">
        <f>F14-$E14</f>
        <v>2616.2799999999997</v>
      </c>
      <c r="G18" s="72">
        <f>G14-$E14</f>
        <v>697.77999999999975</v>
      </c>
      <c r="H18" s="72">
        <f>H14-$E14</f>
        <v>915.11999999999989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243</v>
      </c>
    </row>
    <row r="23" spans="1:8" s="4" customFormat="1" ht="14.25" x14ac:dyDescent="0.25">
      <c r="A23" s="153" t="s">
        <v>13</v>
      </c>
      <c r="B23" s="154"/>
      <c r="C23" s="154"/>
      <c r="D23" s="155"/>
      <c r="E23" s="76" t="s">
        <v>361</v>
      </c>
      <c r="F23" s="77" t="s">
        <v>361</v>
      </c>
      <c r="G23" s="77" t="s">
        <v>303</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274</v>
      </c>
      <c r="H25" s="79" t="s">
        <v>273</v>
      </c>
    </row>
    <row r="26" spans="1:8" s="4" customFormat="1" ht="14.25" x14ac:dyDescent="0.25">
      <c r="A26" s="153" t="s">
        <v>16</v>
      </c>
      <c r="B26" s="154"/>
      <c r="C26" s="154"/>
      <c r="D26" s="155"/>
      <c r="E26" s="81" t="s">
        <v>490</v>
      </c>
      <c r="F26" s="82" t="s">
        <v>490</v>
      </c>
      <c r="G26" s="81" t="s">
        <v>307</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306</v>
      </c>
      <c r="H29" s="84" t="s">
        <v>273</v>
      </c>
    </row>
    <row r="30" spans="1:8" s="4" customFormat="1" ht="28.5" x14ac:dyDescent="0.25">
      <c r="A30" s="153" t="s">
        <v>20</v>
      </c>
      <c r="B30" s="154"/>
      <c r="C30" s="154"/>
      <c r="D30" s="155"/>
      <c r="E30" s="77" t="s">
        <v>488</v>
      </c>
      <c r="F30" s="85" t="s">
        <v>495</v>
      </c>
      <c r="G30" s="81" t="s">
        <v>304</v>
      </c>
      <c r="H30" s="81" t="s">
        <v>311</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275</v>
      </c>
      <c r="H32" s="84" t="s">
        <v>273</v>
      </c>
    </row>
    <row r="33" spans="1:8" s="4" customFormat="1" ht="14.25" x14ac:dyDescent="0.25">
      <c r="A33" s="144" t="s">
        <v>23</v>
      </c>
      <c r="B33" s="145"/>
      <c r="C33" s="145"/>
      <c r="D33" s="146"/>
      <c r="E33" s="81" t="s">
        <v>485</v>
      </c>
      <c r="F33" s="88" t="s">
        <v>493</v>
      </c>
      <c r="G33" s="81" t="s">
        <v>268</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305</v>
      </c>
      <c r="H35" s="84" t="s">
        <v>312</v>
      </c>
    </row>
    <row r="36" spans="1:8" s="4" customFormat="1" ht="42.75" x14ac:dyDescent="0.25">
      <c r="A36" s="144" t="s">
        <v>26</v>
      </c>
      <c r="B36" s="145"/>
      <c r="C36" s="145"/>
      <c r="D36" s="146"/>
      <c r="E36" s="77" t="s">
        <v>486</v>
      </c>
      <c r="F36" s="92" t="s">
        <v>494</v>
      </c>
      <c r="G36" s="77" t="s">
        <v>272</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IF("$10"="","None","$10")</f>
        <v>$10</v>
      </c>
      <c r="H45" s="99" t="str">
        <f>IF("$25 after deductible"="","None","$25 after deductible")</f>
        <v>$25 after deductible</v>
      </c>
    </row>
    <row r="46" spans="1:8" s="5" customFormat="1" ht="14.25" x14ac:dyDescent="0.25">
      <c r="A46" s="150" t="s">
        <v>72</v>
      </c>
      <c r="B46" s="151"/>
      <c r="C46" s="151"/>
      <c r="D46" s="152"/>
      <c r="E46" s="99" t="str">
        <f>IF("$60"="","None","$60")</f>
        <v>$60</v>
      </c>
      <c r="F46" s="99" t="str">
        <f>IF("$60"="","None","$60")</f>
        <v>$60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IF("50%"="","None","50%")</f>
        <v>50%</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266</v>
      </c>
      <c r="H49" s="99" t="s">
        <v>290</v>
      </c>
    </row>
    <row r="50" spans="1:8" s="2" customFormat="1" ht="28.5" x14ac:dyDescent="0.25">
      <c r="A50" s="147" t="s">
        <v>27</v>
      </c>
      <c r="B50" s="148"/>
      <c r="C50" s="148"/>
      <c r="D50" s="149"/>
      <c r="E50" s="99" t="s">
        <v>256</v>
      </c>
      <c r="F50" s="99" t="s">
        <v>256</v>
      </c>
      <c r="G50" s="99" t="s">
        <v>308</v>
      </c>
      <c r="H50" s="99" t="s">
        <v>313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A00-000000000000}"/>
    <hyperlink ref="F8" r:id="rId2" xr:uid="{00000000-0004-0000-1A00-000001000000}"/>
    <hyperlink ref="F19" r:id="rId3" xr:uid="{00000000-0004-0000-1A00-000002000000}"/>
    <hyperlink ref="G8" r:id="rId4" xr:uid="{00000000-0004-0000-1A00-000003000000}"/>
    <hyperlink ref="G19" r:id="rId5" xr:uid="{00000000-0004-0000-1A00-000004000000}"/>
    <hyperlink ref="H8" r:id="rId6" xr:uid="{00000000-0004-0000-1A00-000005000000}"/>
    <hyperlink ref="H19" r:id="rId7" xr:uid="{00000000-0004-0000-1A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2A861-7051-4D24-BD66-8BB96458530D}">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161</v>
      </c>
      <c r="H5" s="57" t="s">
        <v>163</v>
      </c>
    </row>
    <row r="6" spans="1:8" s="2" customFormat="1" ht="60" x14ac:dyDescent="0.25">
      <c r="A6" s="186" t="s">
        <v>67</v>
      </c>
      <c r="B6" s="187"/>
      <c r="C6" s="187"/>
      <c r="D6" s="127">
        <v>4</v>
      </c>
      <c r="E6" s="115" t="s">
        <v>484</v>
      </c>
      <c r="F6" s="115" t="s">
        <v>492</v>
      </c>
      <c r="G6" s="116" t="s">
        <v>314</v>
      </c>
      <c r="H6" s="116" t="s">
        <v>323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6641.07</v>
      </c>
      <c r="H14" s="69">
        <v>6742.78</v>
      </c>
    </row>
    <row r="15" spans="1:8" s="2" customFormat="1" ht="14.25" x14ac:dyDescent="0.25">
      <c r="A15" s="197" t="s">
        <v>6</v>
      </c>
      <c r="B15" s="197"/>
      <c r="C15" s="197"/>
      <c r="D15" s="197"/>
      <c r="E15" s="70">
        <f>E14*12</f>
        <v>65885.16</v>
      </c>
      <c r="F15" s="70">
        <f>F14*12</f>
        <v>97280.52</v>
      </c>
      <c r="G15" s="70">
        <f>G14*12</f>
        <v>79692.84</v>
      </c>
      <c r="H15" s="70">
        <f>H14*12</f>
        <v>80913.36</v>
      </c>
    </row>
    <row r="16" spans="1:8" s="2" customFormat="1" ht="14.25" x14ac:dyDescent="0.25">
      <c r="A16" s="197" t="s">
        <v>7</v>
      </c>
      <c r="B16" s="197"/>
      <c r="C16" s="197"/>
      <c r="D16" s="197"/>
      <c r="E16" s="71" t="s">
        <v>8</v>
      </c>
      <c r="F16" s="71">
        <f>(F15-$E15)/$E15</f>
        <v>0.47651641128290495</v>
      </c>
      <c r="G16" s="71">
        <f>(G15-$E15)/$E15</f>
        <v>0.20957192788178691</v>
      </c>
      <c r="H16" s="71">
        <f>(H15-$E15)/$E15</f>
        <v>0.22809688858613983</v>
      </c>
    </row>
    <row r="17" spans="1:8" s="3" customFormat="1" ht="14.25" x14ac:dyDescent="0.25">
      <c r="A17" s="195" t="s">
        <v>9</v>
      </c>
      <c r="B17" s="195"/>
      <c r="C17" s="195"/>
      <c r="D17" s="195"/>
      <c r="E17" s="72" t="s">
        <v>8</v>
      </c>
      <c r="F17" s="70">
        <f>F15-$E15</f>
        <v>31395.360000000001</v>
      </c>
      <c r="G17" s="70">
        <f>G15-$E15</f>
        <v>13807.679999999993</v>
      </c>
      <c r="H17" s="70">
        <f>H15-$E15</f>
        <v>15028.199999999997</v>
      </c>
    </row>
    <row r="18" spans="1:8" s="3" customFormat="1" ht="14.25" x14ac:dyDescent="0.25">
      <c r="A18" s="195" t="s">
        <v>10</v>
      </c>
      <c r="B18" s="195"/>
      <c r="C18" s="195"/>
      <c r="D18" s="195"/>
      <c r="E18" s="72" t="s">
        <v>8</v>
      </c>
      <c r="F18" s="72">
        <f>F14-$E14</f>
        <v>2616.2799999999997</v>
      </c>
      <c r="G18" s="72">
        <f>G14-$E14</f>
        <v>1150.6399999999994</v>
      </c>
      <c r="H18" s="72">
        <f>H14-$E14</f>
        <v>1252.3499999999995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318</v>
      </c>
      <c r="H21" s="73" t="s">
        <v>284</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361</v>
      </c>
      <c r="F23" s="77" t="s">
        <v>361</v>
      </c>
      <c r="G23" s="77" t="s">
        <v>319</v>
      </c>
      <c r="H23" s="77" t="s">
        <v>303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321</v>
      </c>
      <c r="H25" s="79" t="s">
        <v>274</v>
      </c>
    </row>
    <row r="26" spans="1:8" s="4" customFormat="1" ht="14.25" x14ac:dyDescent="0.25">
      <c r="A26" s="153" t="s">
        <v>16</v>
      </c>
      <c r="B26" s="154"/>
      <c r="C26" s="154"/>
      <c r="D26" s="155"/>
      <c r="E26" s="81" t="s">
        <v>490</v>
      </c>
      <c r="F26" s="82" t="s">
        <v>490</v>
      </c>
      <c r="G26" s="81" t="s">
        <v>307</v>
      </c>
      <c r="H26" s="81" t="s">
        <v>307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251</v>
      </c>
    </row>
    <row r="29" spans="1:8" s="4" customFormat="1" ht="14.25" x14ac:dyDescent="0.25">
      <c r="A29" s="144" t="s">
        <v>19</v>
      </c>
      <c r="B29" s="145"/>
      <c r="C29" s="145"/>
      <c r="D29" s="146"/>
      <c r="E29" s="84" t="s">
        <v>251</v>
      </c>
      <c r="F29" s="80" t="s">
        <v>251</v>
      </c>
      <c r="G29" s="84" t="s">
        <v>267</v>
      </c>
      <c r="H29" s="84" t="s">
        <v>306</v>
      </c>
    </row>
    <row r="30" spans="1:8" s="4" customFormat="1" ht="28.5" x14ac:dyDescent="0.25">
      <c r="A30" s="153" t="s">
        <v>20</v>
      </c>
      <c r="B30" s="154"/>
      <c r="C30" s="154"/>
      <c r="D30" s="155"/>
      <c r="E30" s="77" t="s">
        <v>488</v>
      </c>
      <c r="F30" s="85" t="s">
        <v>495</v>
      </c>
      <c r="G30" s="81" t="s">
        <v>272</v>
      </c>
      <c r="H30" s="81" t="s">
        <v>304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275</v>
      </c>
      <c r="H32" s="84" t="s">
        <v>275</v>
      </c>
    </row>
    <row r="33" spans="1:8" s="4" customFormat="1" ht="28.5" x14ac:dyDescent="0.25">
      <c r="A33" s="144" t="s">
        <v>23</v>
      </c>
      <c r="B33" s="145"/>
      <c r="C33" s="145"/>
      <c r="D33" s="146"/>
      <c r="E33" s="81" t="s">
        <v>485</v>
      </c>
      <c r="F33" s="88" t="s">
        <v>493</v>
      </c>
      <c r="G33" s="81" t="s">
        <v>316</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320</v>
      </c>
      <c r="H35" s="84" t="s">
        <v>305</v>
      </c>
    </row>
    <row r="36" spans="1:8" s="4" customFormat="1" ht="42.75" x14ac:dyDescent="0.25">
      <c r="A36" s="144" t="s">
        <v>26</v>
      </c>
      <c r="B36" s="145"/>
      <c r="C36" s="145"/>
      <c r="D36" s="146"/>
      <c r="E36" s="77" t="s">
        <v>486</v>
      </c>
      <c r="F36" s="92" t="s">
        <v>494</v>
      </c>
      <c r="G36" s="77" t="s">
        <v>317</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255</v>
      </c>
    </row>
    <row r="45" spans="1:8" s="5" customFormat="1" ht="14.25" x14ac:dyDescent="0.25">
      <c r="A45" s="150" t="s">
        <v>71</v>
      </c>
      <c r="B45" s="151"/>
      <c r="C45" s="151"/>
      <c r="D45" s="152"/>
      <c r="E45" s="99" t="str">
        <f>IF("$10"="","None","$10")</f>
        <v>$10</v>
      </c>
      <c r="F45" s="99" t="str">
        <f>IF("$10"="","None","$10")</f>
        <v>$10</v>
      </c>
      <c r="G45" s="99" t="str">
        <f>IF("$20"="","None","$20")</f>
        <v>$20</v>
      </c>
      <c r="H45" s="99" t="str">
        <f>IF("$10"="","None","$10")</f>
        <v>$10</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IF("50%"="","None","50%")</f>
        <v>50%</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290</v>
      </c>
      <c r="H49" s="99" t="s">
        <v>266</v>
      </c>
    </row>
    <row r="50" spans="1:8" s="2" customFormat="1" ht="42.75" x14ac:dyDescent="0.25">
      <c r="A50" s="147" t="s">
        <v>27</v>
      </c>
      <c r="B50" s="148"/>
      <c r="C50" s="148"/>
      <c r="D50" s="149"/>
      <c r="E50" s="99" t="s">
        <v>256</v>
      </c>
      <c r="F50" s="99" t="s">
        <v>256</v>
      </c>
      <c r="G50" s="99" t="s">
        <v>322</v>
      </c>
      <c r="H50" s="99" t="s">
        <v>308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B00-000000000000}"/>
    <hyperlink ref="F8" r:id="rId2" xr:uid="{00000000-0004-0000-1B00-000001000000}"/>
    <hyperlink ref="F19" r:id="rId3" xr:uid="{00000000-0004-0000-1B00-000002000000}"/>
    <hyperlink ref="G8" r:id="rId4" xr:uid="{00000000-0004-0000-1B00-000003000000}"/>
    <hyperlink ref="G19" r:id="rId5" xr:uid="{00000000-0004-0000-1B00-000004000000}"/>
    <hyperlink ref="H8" r:id="rId6" xr:uid="{00000000-0004-0000-1B00-000005000000}"/>
    <hyperlink ref="H19" r:id="rId7" xr:uid="{00000000-0004-0000-1B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68BD-E5E9-4CD3-8EED-3417217BF478}">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165</v>
      </c>
      <c r="H5" s="57" t="s">
        <v>168</v>
      </c>
    </row>
    <row r="6" spans="1:8" s="2" customFormat="1" ht="60" x14ac:dyDescent="0.25">
      <c r="A6" s="186" t="s">
        <v>67</v>
      </c>
      <c r="B6" s="187"/>
      <c r="C6" s="187"/>
      <c r="D6" s="127">
        <v>4</v>
      </c>
      <c r="E6" s="115" t="s">
        <v>484</v>
      </c>
      <c r="F6" s="115" t="s">
        <v>492</v>
      </c>
      <c r="G6" s="116" t="s">
        <v>324</v>
      </c>
      <c r="H6" s="116" t="s">
        <v>325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6979.38</v>
      </c>
      <c r="H14" s="69">
        <v>7985.28</v>
      </c>
    </row>
    <row r="15" spans="1:8" s="2" customFormat="1" ht="14.25" x14ac:dyDescent="0.25">
      <c r="A15" s="197" t="s">
        <v>6</v>
      </c>
      <c r="B15" s="197"/>
      <c r="C15" s="197"/>
      <c r="D15" s="197"/>
      <c r="E15" s="70">
        <f>E14*12</f>
        <v>65885.16</v>
      </c>
      <c r="F15" s="70">
        <f>F14*12</f>
        <v>97280.52</v>
      </c>
      <c r="G15" s="70">
        <f>G14*12</f>
        <v>83752.56</v>
      </c>
      <c r="H15" s="70">
        <f>H14*12</f>
        <v>95823.360000000001</v>
      </c>
    </row>
    <row r="16" spans="1:8" s="2" customFormat="1" ht="14.25" x14ac:dyDescent="0.25">
      <c r="A16" s="197" t="s">
        <v>7</v>
      </c>
      <c r="B16" s="197"/>
      <c r="C16" s="197"/>
      <c r="D16" s="197"/>
      <c r="E16" s="71" t="s">
        <v>8</v>
      </c>
      <c r="F16" s="71">
        <f>(F15-$E15)/$E15</f>
        <v>0.47651641128290495</v>
      </c>
      <c r="G16" s="71">
        <f>(G15-$E15)/$E15</f>
        <v>0.27119005250954831</v>
      </c>
      <c r="H16" s="71">
        <f>(H15-$E15)/$E15</f>
        <v>0.45439974646794506</v>
      </c>
    </row>
    <row r="17" spans="1:8" s="3" customFormat="1" ht="14.25" x14ac:dyDescent="0.25">
      <c r="A17" s="195" t="s">
        <v>9</v>
      </c>
      <c r="B17" s="195"/>
      <c r="C17" s="195"/>
      <c r="D17" s="195"/>
      <c r="E17" s="72" t="s">
        <v>8</v>
      </c>
      <c r="F17" s="70">
        <f>F15-$E15</f>
        <v>31395.360000000001</v>
      </c>
      <c r="G17" s="70">
        <f>G15-$E15</f>
        <v>17867.399999999994</v>
      </c>
      <c r="H17" s="70">
        <f>H15-$E15</f>
        <v>29938.199999999997</v>
      </c>
    </row>
    <row r="18" spans="1:8" s="3" customFormat="1" ht="14.25" x14ac:dyDescent="0.25">
      <c r="A18" s="195" t="s">
        <v>10</v>
      </c>
      <c r="B18" s="195"/>
      <c r="C18" s="195"/>
      <c r="D18" s="195"/>
      <c r="E18" s="72" t="s">
        <v>8</v>
      </c>
      <c r="F18" s="72">
        <f>F14-$E14</f>
        <v>2616.2799999999997</v>
      </c>
      <c r="G18" s="72">
        <f>G14-$E14</f>
        <v>1488.9499999999998</v>
      </c>
      <c r="H18" s="72">
        <f>H14-$E14</f>
        <v>2494.8499999999995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284</v>
      </c>
      <c r="H21" s="73" t="s">
        <v>328</v>
      </c>
    </row>
    <row r="22" spans="1:8" s="4" customFormat="1" ht="14.25" x14ac:dyDescent="0.25">
      <c r="A22" s="144" t="s">
        <v>12</v>
      </c>
      <c r="B22" s="145"/>
      <c r="C22" s="145"/>
      <c r="D22" s="146"/>
      <c r="E22" s="74" t="s">
        <v>243</v>
      </c>
      <c r="F22" s="75" t="s">
        <v>243</v>
      </c>
      <c r="G22" s="75" t="s">
        <v>243</v>
      </c>
      <c r="H22" s="75" t="s">
        <v>266</v>
      </c>
    </row>
    <row r="23" spans="1:8" s="4" customFormat="1" ht="14.25" x14ac:dyDescent="0.25">
      <c r="A23" s="153" t="s">
        <v>13</v>
      </c>
      <c r="B23" s="154"/>
      <c r="C23" s="154"/>
      <c r="D23" s="155"/>
      <c r="E23" s="76" t="s">
        <v>361</v>
      </c>
      <c r="F23" s="77" t="s">
        <v>361</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490</v>
      </c>
      <c r="F25" s="80" t="s">
        <v>490</v>
      </c>
      <c r="G25" s="79" t="s">
        <v>273</v>
      </c>
      <c r="H25" s="79" t="s">
        <v>331</v>
      </c>
    </row>
    <row r="26" spans="1:8" s="4" customFormat="1" ht="28.5" x14ac:dyDescent="0.25">
      <c r="A26" s="153" t="s">
        <v>16</v>
      </c>
      <c r="B26" s="154"/>
      <c r="C26" s="154"/>
      <c r="D26" s="155"/>
      <c r="E26" s="81" t="s">
        <v>490</v>
      </c>
      <c r="F26" s="82" t="s">
        <v>490</v>
      </c>
      <c r="G26" s="81" t="s">
        <v>273</v>
      </c>
      <c r="H26" s="81" t="s">
        <v>332</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273</v>
      </c>
      <c r="H28" s="84" t="s">
        <v>329</v>
      </c>
    </row>
    <row r="29" spans="1:8" s="4" customFormat="1" ht="28.5" x14ac:dyDescent="0.25">
      <c r="A29" s="144" t="s">
        <v>19</v>
      </c>
      <c r="B29" s="145"/>
      <c r="C29" s="145"/>
      <c r="D29" s="146"/>
      <c r="E29" s="84" t="s">
        <v>251</v>
      </c>
      <c r="F29" s="80" t="s">
        <v>251</v>
      </c>
      <c r="G29" s="84" t="s">
        <v>273</v>
      </c>
      <c r="H29" s="84" t="s">
        <v>329</v>
      </c>
    </row>
    <row r="30" spans="1:8" s="4" customFormat="1" ht="28.5" x14ac:dyDescent="0.25">
      <c r="A30" s="153" t="s">
        <v>20</v>
      </c>
      <c r="B30" s="154"/>
      <c r="C30" s="154"/>
      <c r="D30" s="155"/>
      <c r="E30" s="77" t="s">
        <v>488</v>
      </c>
      <c r="F30" s="85" t="s">
        <v>495</v>
      </c>
      <c r="G30" s="81" t="s">
        <v>311</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491</v>
      </c>
      <c r="F32" s="87" t="s">
        <v>491</v>
      </c>
      <c r="G32" s="84" t="s">
        <v>273</v>
      </c>
      <c r="H32" s="84" t="s">
        <v>332</v>
      </c>
    </row>
    <row r="33" spans="1:8" s="4" customFormat="1" ht="28.5" x14ac:dyDescent="0.25">
      <c r="A33" s="144" t="s">
        <v>23</v>
      </c>
      <c r="B33" s="145"/>
      <c r="C33" s="145"/>
      <c r="D33" s="146"/>
      <c r="E33" s="81" t="s">
        <v>485</v>
      </c>
      <c r="F33" s="88" t="s">
        <v>493</v>
      </c>
      <c r="G33" s="81" t="s">
        <v>267</v>
      </c>
      <c r="H33" s="81" t="s">
        <v>326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489</v>
      </c>
      <c r="F35" s="91" t="s">
        <v>496</v>
      </c>
      <c r="G35" s="84" t="s">
        <v>312</v>
      </c>
      <c r="H35" s="84" t="s">
        <v>330</v>
      </c>
    </row>
    <row r="36" spans="1:8" s="4" customFormat="1" ht="42.75" x14ac:dyDescent="0.25">
      <c r="A36" s="144" t="s">
        <v>26</v>
      </c>
      <c r="B36" s="145"/>
      <c r="C36" s="145"/>
      <c r="D36" s="146"/>
      <c r="E36" s="77" t="s">
        <v>486</v>
      </c>
      <c r="F36" s="92" t="s">
        <v>494</v>
      </c>
      <c r="G36" s="77" t="s">
        <v>310</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273</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IF("$25 after deductible"="","None","$25 after deductible")</f>
        <v>$25 after deductible</v>
      </c>
      <c r="H45" s="99" t="str">
        <f>IF("$25"="","None","$25")</f>
        <v>$25</v>
      </c>
    </row>
    <row r="46" spans="1:8" s="5" customFormat="1" ht="14.25" x14ac:dyDescent="0.25">
      <c r="A46" s="150" t="s">
        <v>72</v>
      </c>
      <c r="B46" s="151"/>
      <c r="C46" s="151"/>
      <c r="D46" s="152"/>
      <c r="E46" s="99" t="str">
        <f>IF("$60"="","None","$60")</f>
        <v>$60</v>
      </c>
      <c r="F46" s="99" t="str">
        <f>IF("$60"="","None","$60")</f>
        <v>$60</v>
      </c>
      <c r="G46" s="99" t="str">
        <f>IF("50% after deductible - $125 max"="","None","50% after deductible - $125 max")</f>
        <v>50% after deductible - $125 max</v>
      </c>
      <c r="H46" s="99" t="str">
        <f>IF("50% after deductible"="","None","50% after deductible")</f>
        <v>50% after deductible</v>
      </c>
    </row>
    <row r="47" spans="1:8" s="5" customFormat="1" ht="14.25" x14ac:dyDescent="0.25">
      <c r="A47" s="150" t="s">
        <v>73</v>
      </c>
      <c r="B47" s="151"/>
      <c r="C47" s="151"/>
      <c r="D47" s="152"/>
      <c r="E47" s="99" t="str">
        <f>IF("$90"="","None","$90")</f>
        <v>$90</v>
      </c>
      <c r="F47" s="99" t="str">
        <f>IF("$90"="","None","$90")</f>
        <v>$90</v>
      </c>
      <c r="G47" s="99" t="str">
        <f>IF("50% after deductible - $125 max"="","None","50% after deductible - $125 max")</f>
        <v>50% after deductible - $125 max</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290</v>
      </c>
      <c r="H49" s="99" t="s">
        <v>334</v>
      </c>
    </row>
    <row r="50" spans="1:8" s="2" customFormat="1" ht="28.5" x14ac:dyDescent="0.25">
      <c r="A50" s="147" t="s">
        <v>27</v>
      </c>
      <c r="B50" s="148"/>
      <c r="C50" s="148"/>
      <c r="D50" s="149"/>
      <c r="E50" s="99" t="s">
        <v>256</v>
      </c>
      <c r="F50" s="99" t="s">
        <v>256</v>
      </c>
      <c r="G50" s="99" t="s">
        <v>313</v>
      </c>
      <c r="H50" s="99" t="s">
        <v>333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C00-000000000000}"/>
    <hyperlink ref="F8" r:id="rId2" xr:uid="{00000000-0004-0000-1C00-000001000000}"/>
    <hyperlink ref="F19" r:id="rId3" xr:uid="{00000000-0004-0000-1C00-000002000000}"/>
    <hyperlink ref="G8" r:id="rId4" xr:uid="{00000000-0004-0000-1C00-000003000000}"/>
    <hyperlink ref="G19" r:id="rId5" xr:uid="{00000000-0004-0000-1C00-000004000000}"/>
    <hyperlink ref="H8" r:id="rId6" xr:uid="{00000000-0004-0000-1C00-000005000000}"/>
    <hyperlink ref="H19" r:id="rId7" xr:uid="{00000000-0004-0000-1C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6D9A-DEE4-4535-AE29-3FDDB5EC39E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170</v>
      </c>
      <c r="H5" s="57" t="s">
        <v>173</v>
      </c>
    </row>
    <row r="6" spans="1:8" s="2" customFormat="1" ht="60" x14ac:dyDescent="0.25">
      <c r="A6" s="186" t="s">
        <v>67</v>
      </c>
      <c r="B6" s="187"/>
      <c r="C6" s="187"/>
      <c r="D6" s="127">
        <v>4</v>
      </c>
      <c r="E6" s="115" t="s">
        <v>484</v>
      </c>
      <c r="F6" s="115" t="s">
        <v>492</v>
      </c>
      <c r="G6" s="116" t="s">
        <v>335</v>
      </c>
      <c r="H6" s="116" t="s">
        <v>345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8517.02</v>
      </c>
      <c r="H14" s="69">
        <v>9071.0300000000007</v>
      </c>
    </row>
    <row r="15" spans="1:8" s="2" customFormat="1" ht="14.25" x14ac:dyDescent="0.25">
      <c r="A15" s="197" t="s">
        <v>6</v>
      </c>
      <c r="B15" s="197"/>
      <c r="C15" s="197"/>
      <c r="D15" s="197"/>
      <c r="E15" s="70">
        <f>E14*12</f>
        <v>65885.16</v>
      </c>
      <c r="F15" s="70">
        <f>F14*12</f>
        <v>97280.52</v>
      </c>
      <c r="G15" s="70">
        <f>G14*12</f>
        <v>102204.24</v>
      </c>
      <c r="H15" s="70">
        <f>H14*12</f>
        <v>108852.36000000002</v>
      </c>
    </row>
    <row r="16" spans="1:8" s="2" customFormat="1" ht="14.25" x14ac:dyDescent="0.25">
      <c r="A16" s="197" t="s">
        <v>7</v>
      </c>
      <c r="B16" s="197"/>
      <c r="C16" s="197"/>
      <c r="D16" s="197"/>
      <c r="E16" s="71" t="s">
        <v>8</v>
      </c>
      <c r="F16" s="71">
        <f>(F15-$E15)/$E15</f>
        <v>0.47651641128290495</v>
      </c>
      <c r="G16" s="71">
        <f>(G15-$E15)/$E15</f>
        <v>0.55124826288651341</v>
      </c>
      <c r="H16" s="71">
        <f>(H15-$E15)/$E15</f>
        <v>0.65215292791275015</v>
      </c>
    </row>
    <row r="17" spans="1:8" s="3" customFormat="1" ht="14.25" x14ac:dyDescent="0.25">
      <c r="A17" s="195" t="s">
        <v>9</v>
      </c>
      <c r="B17" s="195"/>
      <c r="C17" s="195"/>
      <c r="D17" s="195"/>
      <c r="E17" s="72" t="s">
        <v>8</v>
      </c>
      <c r="F17" s="70">
        <f>F15-$E15</f>
        <v>31395.360000000001</v>
      </c>
      <c r="G17" s="70">
        <f>G15-$E15</f>
        <v>36319.08</v>
      </c>
      <c r="H17" s="70">
        <f>H15-$E15</f>
        <v>42967.200000000012</v>
      </c>
    </row>
    <row r="18" spans="1:8" s="3" customFormat="1" ht="14.25" x14ac:dyDescent="0.25">
      <c r="A18" s="195" t="s">
        <v>10</v>
      </c>
      <c r="B18" s="195"/>
      <c r="C18" s="195"/>
      <c r="D18" s="195"/>
      <c r="E18" s="72" t="s">
        <v>8</v>
      </c>
      <c r="F18" s="72">
        <f>F14-$E14</f>
        <v>2616.2799999999997</v>
      </c>
      <c r="G18" s="72">
        <f>G14-$E14</f>
        <v>3026.59</v>
      </c>
      <c r="H18" s="72">
        <f>H14-$E14</f>
        <v>3580.6000000000004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318</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361</v>
      </c>
      <c r="F23" s="77" t="s">
        <v>361</v>
      </c>
      <c r="G23" s="77" t="s">
        <v>338</v>
      </c>
      <c r="H23" s="77" t="s">
        <v>319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341</v>
      </c>
      <c r="H25" s="79" t="s">
        <v>321</v>
      </c>
    </row>
    <row r="26" spans="1:8" s="4" customFormat="1" ht="14.25" x14ac:dyDescent="0.25">
      <c r="A26" s="153" t="s">
        <v>16</v>
      </c>
      <c r="B26" s="154"/>
      <c r="C26" s="154"/>
      <c r="D26" s="155"/>
      <c r="E26" s="81" t="s">
        <v>490</v>
      </c>
      <c r="F26" s="82" t="s">
        <v>490</v>
      </c>
      <c r="G26" s="81" t="s">
        <v>342</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348</v>
      </c>
    </row>
    <row r="29" spans="1:8" s="4" customFormat="1" ht="14.25" x14ac:dyDescent="0.25">
      <c r="A29" s="144" t="s">
        <v>19</v>
      </c>
      <c r="B29" s="145"/>
      <c r="C29" s="145"/>
      <c r="D29" s="146"/>
      <c r="E29" s="84" t="s">
        <v>251</v>
      </c>
      <c r="F29" s="80" t="s">
        <v>251</v>
      </c>
      <c r="G29" s="84" t="s">
        <v>340</v>
      </c>
      <c r="H29" s="84" t="s">
        <v>267</v>
      </c>
    </row>
    <row r="30" spans="1:8" s="4" customFormat="1" ht="28.5" x14ac:dyDescent="0.25">
      <c r="A30" s="153" t="s">
        <v>20</v>
      </c>
      <c r="B30" s="154"/>
      <c r="C30" s="154"/>
      <c r="D30" s="155"/>
      <c r="E30" s="77" t="s">
        <v>488</v>
      </c>
      <c r="F30" s="85" t="s">
        <v>495</v>
      </c>
      <c r="G30" s="81" t="s">
        <v>339</v>
      </c>
      <c r="H30" s="81" t="s">
        <v>347</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307</v>
      </c>
    </row>
    <row r="33" spans="1:8" s="4" customFormat="1" ht="28.5" x14ac:dyDescent="0.25">
      <c r="A33" s="144" t="s">
        <v>23</v>
      </c>
      <c r="B33" s="145"/>
      <c r="C33" s="145"/>
      <c r="D33" s="146"/>
      <c r="E33" s="81" t="s">
        <v>485</v>
      </c>
      <c r="F33" s="88" t="s">
        <v>493</v>
      </c>
      <c r="G33" s="81" t="s">
        <v>336</v>
      </c>
      <c r="H33" s="81" t="s">
        <v>346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489</v>
      </c>
      <c r="F35" s="91" t="s">
        <v>496</v>
      </c>
      <c r="G35" s="84" t="s">
        <v>320</v>
      </c>
      <c r="H35" s="84" t="s">
        <v>349</v>
      </c>
    </row>
    <row r="36" spans="1:8" s="4" customFormat="1" ht="42.75" x14ac:dyDescent="0.25">
      <c r="A36" s="144" t="s">
        <v>26</v>
      </c>
      <c r="B36" s="145"/>
      <c r="C36" s="145"/>
      <c r="D36" s="146"/>
      <c r="E36" s="77" t="s">
        <v>486</v>
      </c>
      <c r="F36" s="92" t="s">
        <v>494</v>
      </c>
      <c r="G36" s="77" t="s">
        <v>317</v>
      </c>
      <c r="H36" s="77" t="s">
        <v>267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350</v>
      </c>
    </row>
    <row r="45" spans="1:8" s="5" customFormat="1" ht="14.25" x14ac:dyDescent="0.25">
      <c r="A45" s="150" t="s">
        <v>71</v>
      </c>
      <c r="B45" s="151"/>
      <c r="C45" s="151"/>
      <c r="D45" s="152"/>
      <c r="E45" s="99" t="str">
        <f>IF("$10"="","None","$10")</f>
        <v>$10</v>
      </c>
      <c r="F45" s="99" t="str">
        <f>IF("$10"="","None","$10")</f>
        <v>$10</v>
      </c>
      <c r="G45" s="99" t="str">
        <f>IF("$20"="","None","$20")</f>
        <v>$20</v>
      </c>
      <c r="H45" s="99" t="str">
        <f>IF("$15"="","None","$15")</f>
        <v>$15</v>
      </c>
    </row>
    <row r="46" spans="1:8" s="5" customFormat="1" ht="14.25" x14ac:dyDescent="0.25">
      <c r="A46" s="150" t="s">
        <v>72</v>
      </c>
      <c r="B46" s="151"/>
      <c r="C46" s="151"/>
      <c r="D46" s="152"/>
      <c r="E46" s="99" t="str">
        <f>IF("$60"="","None","$60")</f>
        <v>$60</v>
      </c>
      <c r="F46" s="99" t="str">
        <f>IF("$60"="","None","$60")</f>
        <v>$60</v>
      </c>
      <c r="G46" s="99" t="str">
        <f>IF("$40"="","None","$40")</f>
        <v>$40</v>
      </c>
      <c r="H46" s="99" t="str">
        <f>IF("$50 after Rx deductible"="","None","$50 after Rx deductible")</f>
        <v>$50 after Rx deductible</v>
      </c>
    </row>
    <row r="47" spans="1:8" s="5" customFormat="1" ht="14.25" x14ac:dyDescent="0.25">
      <c r="A47" s="150" t="s">
        <v>73</v>
      </c>
      <c r="B47" s="151"/>
      <c r="C47" s="151"/>
      <c r="D47" s="152"/>
      <c r="E47" s="99" t="str">
        <f>IF("$90"="","None","$90")</f>
        <v>$90</v>
      </c>
      <c r="F47" s="99" t="str">
        <f>IF("$90"="","None","$90")</f>
        <v>$90</v>
      </c>
      <c r="G47" s="99" t="str">
        <f>IF("$75"="","None","$75")</f>
        <v>$75</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257</v>
      </c>
      <c r="F49" s="99" t="s">
        <v>257</v>
      </c>
      <c r="G49" s="99" t="s">
        <v>344</v>
      </c>
      <c r="H49" s="99" t="s">
        <v>352</v>
      </c>
    </row>
    <row r="50" spans="1:8" s="2" customFormat="1" ht="28.5" x14ac:dyDescent="0.25">
      <c r="A50" s="147" t="s">
        <v>27</v>
      </c>
      <c r="B50" s="148"/>
      <c r="C50" s="148"/>
      <c r="D50" s="149"/>
      <c r="E50" s="99" t="s">
        <v>256</v>
      </c>
      <c r="F50" s="99" t="s">
        <v>256</v>
      </c>
      <c r="G50" s="99" t="s">
        <v>343</v>
      </c>
      <c r="H50" s="99" t="s">
        <v>351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D00-000000000000}"/>
    <hyperlink ref="F8" r:id="rId2" xr:uid="{00000000-0004-0000-1D00-000001000000}"/>
    <hyperlink ref="F19" r:id="rId3" xr:uid="{00000000-0004-0000-1D00-000002000000}"/>
    <hyperlink ref="G8" r:id="rId4" xr:uid="{00000000-0004-0000-1D00-000003000000}"/>
    <hyperlink ref="G19" r:id="rId5" xr:uid="{00000000-0004-0000-1D00-000004000000}"/>
    <hyperlink ref="H8" r:id="rId6" xr:uid="{00000000-0004-0000-1D00-000005000000}"/>
    <hyperlink ref="H19" r:id="rId7" xr:uid="{00000000-0004-0000-1D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5B5E-45B7-488C-ACA6-EB14CC98C13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175</v>
      </c>
      <c r="H5" s="57" t="s">
        <v>177</v>
      </c>
    </row>
    <row r="6" spans="1:8" s="2" customFormat="1" ht="45" x14ac:dyDescent="0.25">
      <c r="A6" s="186" t="s">
        <v>67</v>
      </c>
      <c r="B6" s="187"/>
      <c r="C6" s="187"/>
      <c r="D6" s="127">
        <v>4</v>
      </c>
      <c r="E6" s="115" t="s">
        <v>484</v>
      </c>
      <c r="F6" s="115" t="s">
        <v>492</v>
      </c>
      <c r="G6" s="116" t="s">
        <v>353</v>
      </c>
      <c r="H6" s="116" t="s">
        <v>354</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9160.27</v>
      </c>
      <c r="H14" s="69">
        <v>9283.85</v>
      </c>
    </row>
    <row r="15" spans="1:8" s="2" customFormat="1" ht="14.25" x14ac:dyDescent="0.25">
      <c r="A15" s="197" t="s">
        <v>6</v>
      </c>
      <c r="B15" s="197"/>
      <c r="C15" s="197"/>
      <c r="D15" s="197"/>
      <c r="E15" s="70">
        <f>E14*12</f>
        <v>65885.16</v>
      </c>
      <c r="F15" s="70">
        <f>F14*12</f>
        <v>97280.52</v>
      </c>
      <c r="G15" s="70">
        <f>G14*12</f>
        <v>109923.24</v>
      </c>
      <c r="H15" s="70">
        <f>H14*12</f>
        <v>111406.20000000001</v>
      </c>
    </row>
    <row r="16" spans="1:8" s="2" customFormat="1" ht="14.25" x14ac:dyDescent="0.25">
      <c r="A16" s="197" t="s">
        <v>7</v>
      </c>
      <c r="B16" s="197"/>
      <c r="C16" s="197"/>
      <c r="D16" s="197"/>
      <c r="E16" s="71" t="s">
        <v>8</v>
      </c>
      <c r="F16" s="71">
        <f>(F15-$E15)/$E15</f>
        <v>0.47651641128290495</v>
      </c>
      <c r="G16" s="71">
        <f>(G15-$E15)/$E15</f>
        <v>0.6684066639589249</v>
      </c>
      <c r="H16" s="71">
        <f>(H15-$E15)/$E15</f>
        <v>0.69091491923219139</v>
      </c>
    </row>
    <row r="17" spans="1:8" s="3" customFormat="1" ht="14.25" x14ac:dyDescent="0.25">
      <c r="A17" s="195" t="s">
        <v>9</v>
      </c>
      <c r="B17" s="195"/>
      <c r="C17" s="195"/>
      <c r="D17" s="195"/>
      <c r="E17" s="72" t="s">
        <v>8</v>
      </c>
      <c r="F17" s="70">
        <f>F15-$E15</f>
        <v>31395.360000000001</v>
      </c>
      <c r="G17" s="70">
        <f>G15-$E15</f>
        <v>44038.080000000002</v>
      </c>
      <c r="H17" s="70">
        <f>H15-$E15</f>
        <v>45521.040000000008</v>
      </c>
    </row>
    <row r="18" spans="1:8" s="3" customFormat="1" ht="14.25" x14ac:dyDescent="0.25">
      <c r="A18" s="195" t="s">
        <v>10</v>
      </c>
      <c r="B18" s="195"/>
      <c r="C18" s="195"/>
      <c r="D18" s="195"/>
      <c r="E18" s="72" t="s">
        <v>8</v>
      </c>
      <c r="F18" s="72">
        <f>F14-$E14</f>
        <v>2616.2799999999997</v>
      </c>
      <c r="G18" s="72">
        <f>G14-$E14</f>
        <v>3669.84</v>
      </c>
      <c r="H18" s="72">
        <f>H14-$E14</f>
        <v>3793.42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361</v>
      </c>
      <c r="F23" s="77" t="s">
        <v>361</v>
      </c>
      <c r="G23" s="77" t="s">
        <v>284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273</v>
      </c>
      <c r="H25" s="79" t="s">
        <v>340</v>
      </c>
    </row>
    <row r="26" spans="1:8" s="4" customFormat="1" ht="14.25" x14ac:dyDescent="0.25">
      <c r="A26" s="153" t="s">
        <v>16</v>
      </c>
      <c r="B26" s="154"/>
      <c r="C26" s="154"/>
      <c r="D26" s="155"/>
      <c r="E26" s="81" t="s">
        <v>490</v>
      </c>
      <c r="F26" s="82" t="s">
        <v>490</v>
      </c>
      <c r="G26" s="81" t="s">
        <v>273</v>
      </c>
      <c r="H26" s="81" t="s">
        <v>340</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273</v>
      </c>
      <c r="H29" s="84" t="s">
        <v>340</v>
      </c>
    </row>
    <row r="30" spans="1:8" s="4" customFormat="1" ht="28.5" x14ac:dyDescent="0.25">
      <c r="A30" s="153" t="s">
        <v>20</v>
      </c>
      <c r="B30" s="154"/>
      <c r="C30" s="154"/>
      <c r="D30" s="155"/>
      <c r="E30" s="77" t="s">
        <v>488</v>
      </c>
      <c r="F30" s="85" t="s">
        <v>495</v>
      </c>
      <c r="G30" s="81" t="s">
        <v>311</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273</v>
      </c>
      <c r="H32" s="84" t="s">
        <v>340</v>
      </c>
    </row>
    <row r="33" spans="1:8" s="4" customFormat="1" ht="14.25" x14ac:dyDescent="0.25">
      <c r="A33" s="144" t="s">
        <v>23</v>
      </c>
      <c r="B33" s="145"/>
      <c r="C33" s="145"/>
      <c r="D33" s="146"/>
      <c r="E33" s="81" t="s">
        <v>485</v>
      </c>
      <c r="F33" s="88" t="s">
        <v>493</v>
      </c>
      <c r="G33" s="81" t="s">
        <v>273</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312</v>
      </c>
      <c r="H35" s="84" t="s">
        <v>340</v>
      </c>
    </row>
    <row r="36" spans="1:8" s="4" customFormat="1" ht="42.75" x14ac:dyDescent="0.25">
      <c r="A36" s="144" t="s">
        <v>26</v>
      </c>
      <c r="B36" s="145"/>
      <c r="C36" s="145"/>
      <c r="D36" s="146"/>
      <c r="E36" s="77" t="s">
        <v>486</v>
      </c>
      <c r="F36" s="92" t="s">
        <v>494</v>
      </c>
      <c r="G36" s="77" t="s">
        <v>310</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IF("$10"="","None","$10")</f>
        <v>$10</v>
      </c>
      <c r="F45" s="99" t="str">
        <f>IF("$10"="","None","$10")</f>
        <v>$10</v>
      </c>
      <c r="G45" s="99" t="str">
        <f>IF("$0 after deductible"="","None","$0 after deductible")</f>
        <v>$0 after deductible</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IF("$0 after deductible"="","None","$0 after deductible")</f>
        <v>$0 after deductible</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IF("$0 after deductible"="","None","$0 after deductible")</f>
        <v>$0 after deductible</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IF("$0 after deductible"="","None","$0 after deductible")</f>
        <v>$0 after deductible</v>
      </c>
      <c r="H48" s="99" t="str">
        <f>IF("None"="","None","None")</f>
        <v>None</v>
      </c>
    </row>
    <row r="49" spans="1:8" s="5" customFormat="1" ht="28.5" x14ac:dyDescent="0.25">
      <c r="A49" s="147" t="s">
        <v>75</v>
      </c>
      <c r="B49" s="148"/>
      <c r="C49" s="148"/>
      <c r="D49" s="149"/>
      <c r="E49" s="99" t="s">
        <v>257</v>
      </c>
      <c r="F49" s="99" t="s">
        <v>257</v>
      </c>
      <c r="G49" s="99" t="s">
        <v>273</v>
      </c>
      <c r="H49" s="99" t="s">
        <v>290</v>
      </c>
    </row>
    <row r="50" spans="1:8" s="2" customFormat="1" ht="28.5" x14ac:dyDescent="0.25">
      <c r="A50" s="147" t="s">
        <v>27</v>
      </c>
      <c r="B50" s="148"/>
      <c r="C50" s="148"/>
      <c r="D50" s="149"/>
      <c r="E50" s="99" t="s">
        <v>256</v>
      </c>
      <c r="F50" s="99" t="s">
        <v>256</v>
      </c>
      <c r="G50" s="99" t="s">
        <v>273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E00-000000000000}"/>
    <hyperlink ref="F8" r:id="rId2" xr:uid="{00000000-0004-0000-1E00-000001000000}"/>
    <hyperlink ref="F19" r:id="rId3" xr:uid="{00000000-0004-0000-1E00-000002000000}"/>
    <hyperlink ref="G8" r:id="rId4" xr:uid="{00000000-0004-0000-1E00-000003000000}"/>
    <hyperlink ref="G19" r:id="rId5" xr:uid="{00000000-0004-0000-1E00-000004000000}"/>
    <hyperlink ref="H8" r:id="rId6" xr:uid="{00000000-0004-0000-1E00-000005000000}"/>
    <hyperlink ref="H19" r:id="rId7" xr:uid="{00000000-0004-0000-1E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24B5-0C3B-42A5-9215-0670832F7449}">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179</v>
      </c>
      <c r="H5" s="57" t="s">
        <v>181</v>
      </c>
    </row>
    <row r="6" spans="1:8" s="2" customFormat="1" ht="60" x14ac:dyDescent="0.25">
      <c r="A6" s="186" t="s">
        <v>67</v>
      </c>
      <c r="B6" s="187"/>
      <c r="C6" s="187"/>
      <c r="D6" s="127">
        <v>4</v>
      </c>
      <c r="E6" s="115" t="s">
        <v>484</v>
      </c>
      <c r="F6" s="115" t="s">
        <v>492</v>
      </c>
      <c r="G6" s="116" t="s">
        <v>357</v>
      </c>
      <c r="H6" s="116" t="s">
        <v>358</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9371.59</v>
      </c>
      <c r="H14" s="69">
        <v>9761.9</v>
      </c>
    </row>
    <row r="15" spans="1:8" s="2" customFormat="1" ht="14.25" x14ac:dyDescent="0.25">
      <c r="A15" s="197" t="s">
        <v>6</v>
      </c>
      <c r="B15" s="197"/>
      <c r="C15" s="197"/>
      <c r="D15" s="197"/>
      <c r="E15" s="70">
        <f>E14*12</f>
        <v>65885.16</v>
      </c>
      <c r="F15" s="70">
        <f>F14*12</f>
        <v>97280.52</v>
      </c>
      <c r="G15" s="70">
        <f>G14*12</f>
        <v>112459.08</v>
      </c>
      <c r="H15" s="70">
        <f>H14*12</f>
        <v>117142.79999999999</v>
      </c>
    </row>
    <row r="16" spans="1:8" s="2" customFormat="1" ht="14.25" x14ac:dyDescent="0.25">
      <c r="A16" s="197" t="s">
        <v>7</v>
      </c>
      <c r="B16" s="197"/>
      <c r="C16" s="197"/>
      <c r="D16" s="197"/>
      <c r="E16" s="71" t="s">
        <v>8</v>
      </c>
      <c r="F16" s="71">
        <f>(F15-$E15)/$E15</f>
        <v>0.47651641128290495</v>
      </c>
      <c r="G16" s="71">
        <f>(G15-$E15)/$E15</f>
        <v>0.70689545263303599</v>
      </c>
      <c r="H16" s="71">
        <f>(H15-$E15)/$E15</f>
        <v>0.77798460229890887</v>
      </c>
    </row>
    <row r="17" spans="1:8" s="3" customFormat="1" ht="14.25" x14ac:dyDescent="0.25">
      <c r="A17" s="195" t="s">
        <v>9</v>
      </c>
      <c r="B17" s="195"/>
      <c r="C17" s="195"/>
      <c r="D17" s="195"/>
      <c r="E17" s="72" t="s">
        <v>8</v>
      </c>
      <c r="F17" s="70">
        <f>F15-$E15</f>
        <v>31395.360000000001</v>
      </c>
      <c r="G17" s="70">
        <f>G15-$E15</f>
        <v>46573.919999999998</v>
      </c>
      <c r="H17" s="70">
        <f>H15-$E15</f>
        <v>51257.639999999985</v>
      </c>
    </row>
    <row r="18" spans="1:8" s="3" customFormat="1" ht="14.25" x14ac:dyDescent="0.25">
      <c r="A18" s="195" t="s">
        <v>10</v>
      </c>
      <c r="B18" s="195"/>
      <c r="C18" s="195"/>
      <c r="D18" s="195"/>
      <c r="E18" s="72" t="s">
        <v>8</v>
      </c>
      <c r="F18" s="72">
        <f>F14-$E14</f>
        <v>2616.2799999999997</v>
      </c>
      <c r="G18" s="72">
        <f>G14-$E14</f>
        <v>3881.16</v>
      </c>
      <c r="H18" s="72">
        <f>H14-$E14</f>
        <v>4271.4699999999993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360</v>
      </c>
    </row>
    <row r="22" spans="1:8" s="4" customFormat="1" ht="14.25" x14ac:dyDescent="0.25">
      <c r="A22" s="144" t="s">
        <v>12</v>
      </c>
      <c r="B22" s="145"/>
      <c r="C22" s="145"/>
      <c r="D22" s="146"/>
      <c r="E22" s="74" t="s">
        <v>243</v>
      </c>
      <c r="F22" s="75" t="s">
        <v>243</v>
      </c>
      <c r="G22" s="75" t="s">
        <v>315</v>
      </c>
      <c r="H22" s="75" t="s">
        <v>355</v>
      </c>
    </row>
    <row r="23" spans="1:8" s="4" customFormat="1" ht="14.25" x14ac:dyDescent="0.25">
      <c r="A23" s="153" t="s">
        <v>13</v>
      </c>
      <c r="B23" s="154"/>
      <c r="C23" s="154"/>
      <c r="D23" s="155"/>
      <c r="E23" s="76" t="s">
        <v>361</v>
      </c>
      <c r="F23" s="77" t="s">
        <v>361</v>
      </c>
      <c r="G23" s="77" t="s">
        <v>338</v>
      </c>
      <c r="H23" s="77" t="s">
        <v>361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341</v>
      </c>
      <c r="H25" s="79" t="s">
        <v>362</v>
      </c>
    </row>
    <row r="26" spans="1:8" s="4" customFormat="1" ht="14.25" x14ac:dyDescent="0.25">
      <c r="A26" s="153" t="s">
        <v>16</v>
      </c>
      <c r="B26" s="154"/>
      <c r="C26" s="154"/>
      <c r="D26" s="155"/>
      <c r="E26" s="81" t="s">
        <v>490</v>
      </c>
      <c r="F26" s="82" t="s">
        <v>490</v>
      </c>
      <c r="G26" s="81" t="s">
        <v>342</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251</v>
      </c>
    </row>
    <row r="29" spans="1:8" s="4" customFormat="1" ht="14.25" x14ac:dyDescent="0.25">
      <c r="A29" s="144" t="s">
        <v>19</v>
      </c>
      <c r="B29" s="145"/>
      <c r="C29" s="145"/>
      <c r="D29" s="146"/>
      <c r="E29" s="84" t="s">
        <v>251</v>
      </c>
      <c r="F29" s="80" t="s">
        <v>251</v>
      </c>
      <c r="G29" s="84" t="s">
        <v>340</v>
      </c>
      <c r="H29" s="84" t="s">
        <v>340</v>
      </c>
    </row>
    <row r="30" spans="1:8" s="4" customFormat="1" ht="28.5" x14ac:dyDescent="0.25">
      <c r="A30" s="153" t="s">
        <v>20</v>
      </c>
      <c r="B30" s="154"/>
      <c r="C30" s="154"/>
      <c r="D30" s="155"/>
      <c r="E30" s="77" t="s">
        <v>488</v>
      </c>
      <c r="F30" s="85" t="s">
        <v>495</v>
      </c>
      <c r="G30" s="81" t="s">
        <v>339</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307</v>
      </c>
    </row>
    <row r="33" spans="1:8" s="4" customFormat="1" ht="14.25" x14ac:dyDescent="0.25">
      <c r="A33" s="144" t="s">
        <v>23</v>
      </c>
      <c r="B33" s="145"/>
      <c r="C33" s="145"/>
      <c r="D33" s="146"/>
      <c r="E33" s="81" t="s">
        <v>485</v>
      </c>
      <c r="F33" s="88" t="s">
        <v>493</v>
      </c>
      <c r="G33" s="81" t="s">
        <v>336</v>
      </c>
      <c r="H33" s="81" t="s">
        <v>359</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320</v>
      </c>
      <c r="H35" s="84" t="s">
        <v>340</v>
      </c>
    </row>
    <row r="36" spans="1:8" s="4" customFormat="1" ht="42.75" x14ac:dyDescent="0.25">
      <c r="A36" s="144" t="s">
        <v>26</v>
      </c>
      <c r="B36" s="145"/>
      <c r="C36" s="145"/>
      <c r="D36" s="146"/>
      <c r="E36" s="77" t="s">
        <v>486</v>
      </c>
      <c r="F36" s="92" t="s">
        <v>494</v>
      </c>
      <c r="G36" s="77" t="s">
        <v>317</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IF("$20"="","None","$20")</f>
        <v>$20</v>
      </c>
      <c r="H45" s="99" t="str">
        <f>IF("$10"="","None","$10")</f>
        <v>$10</v>
      </c>
    </row>
    <row r="46" spans="1:8" s="5" customFormat="1" ht="14.25" x14ac:dyDescent="0.25">
      <c r="A46" s="150" t="s">
        <v>72</v>
      </c>
      <c r="B46" s="151"/>
      <c r="C46" s="151"/>
      <c r="D46" s="152"/>
      <c r="E46" s="99" t="str">
        <f>IF("$60"="","None","$60")</f>
        <v>$60</v>
      </c>
      <c r="F46" s="99" t="str">
        <f>IF("$60"="","None","$60")</f>
        <v>$60</v>
      </c>
      <c r="G46" s="99" t="str">
        <f>IF("$40"="","None","$40")</f>
        <v>$40</v>
      </c>
      <c r="H46" s="99" t="str">
        <f>IF("50% - $125 max"="","None","50% - $125 max")</f>
        <v>50% - $125 max</v>
      </c>
    </row>
    <row r="47" spans="1:8" s="5" customFormat="1" ht="14.25" x14ac:dyDescent="0.25">
      <c r="A47" s="150" t="s">
        <v>73</v>
      </c>
      <c r="B47" s="151"/>
      <c r="C47" s="151"/>
      <c r="D47" s="152"/>
      <c r="E47" s="99" t="str">
        <f>IF("$90"="","None","$90")</f>
        <v>$90</v>
      </c>
      <c r="F47" s="99" t="str">
        <f>IF("$90"="","None","$90")</f>
        <v>$90</v>
      </c>
      <c r="G47" s="99" t="str">
        <f>IF("$75"="","None","$75")</f>
        <v>$75</v>
      </c>
      <c r="H47" s="99" t="str">
        <f>IF("50% - $125 max"="","None","50% - $125 max")</f>
        <v>50%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257</v>
      </c>
      <c r="F49" s="99" t="s">
        <v>257</v>
      </c>
      <c r="G49" s="99" t="s">
        <v>344</v>
      </c>
      <c r="H49" s="99" t="s">
        <v>364</v>
      </c>
    </row>
    <row r="50" spans="1:8" s="2" customFormat="1" ht="28.5" x14ac:dyDescent="0.25">
      <c r="A50" s="147" t="s">
        <v>27</v>
      </c>
      <c r="B50" s="148"/>
      <c r="C50" s="148"/>
      <c r="D50" s="149"/>
      <c r="E50" s="99" t="s">
        <v>256</v>
      </c>
      <c r="F50" s="99" t="s">
        <v>256</v>
      </c>
      <c r="G50" s="99" t="s">
        <v>343</v>
      </c>
      <c r="H50" s="99" t="s">
        <v>363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1F00-000000000000}"/>
    <hyperlink ref="F8" r:id="rId2" xr:uid="{00000000-0004-0000-1F00-000001000000}"/>
    <hyperlink ref="F19" r:id="rId3" xr:uid="{00000000-0004-0000-1F00-000002000000}"/>
    <hyperlink ref="G8" r:id="rId4" xr:uid="{00000000-0004-0000-1F00-000003000000}"/>
    <hyperlink ref="G19" r:id="rId5" xr:uid="{00000000-0004-0000-1F00-000004000000}"/>
    <hyperlink ref="H8" r:id="rId6" xr:uid="{00000000-0004-0000-1F00-000005000000}"/>
    <hyperlink ref="H19" r:id="rId7" xr:uid="{00000000-0004-0000-1F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60BA-EDBC-4EDF-B871-65C61EDDE74B}">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183</v>
      </c>
      <c r="H5" s="57" t="s">
        <v>185</v>
      </c>
    </row>
    <row r="6" spans="1:8" s="2" customFormat="1" ht="30" x14ac:dyDescent="0.25">
      <c r="A6" s="186" t="s">
        <v>67</v>
      </c>
      <c r="B6" s="187"/>
      <c r="C6" s="187"/>
      <c r="D6" s="127">
        <v>4</v>
      </c>
      <c r="E6" s="115" t="s">
        <v>484</v>
      </c>
      <c r="F6" s="115" t="s">
        <v>492</v>
      </c>
      <c r="G6" s="116" t="s">
        <v>365</v>
      </c>
      <c r="H6" s="116" t="s">
        <v>377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10025.549999999999</v>
      </c>
      <c r="H14" s="69">
        <v>10028.76</v>
      </c>
    </row>
    <row r="15" spans="1:8" s="2" customFormat="1" ht="14.25" x14ac:dyDescent="0.25">
      <c r="A15" s="197" t="s">
        <v>6</v>
      </c>
      <c r="B15" s="197"/>
      <c r="C15" s="197"/>
      <c r="D15" s="197"/>
      <c r="E15" s="70">
        <f>E14*12</f>
        <v>65885.16</v>
      </c>
      <c r="F15" s="70">
        <f>F14*12</f>
        <v>97280.52</v>
      </c>
      <c r="G15" s="70">
        <f>G14*12</f>
        <v>120306.59999999999</v>
      </c>
      <c r="H15" s="70">
        <f>H14*12</f>
        <v>120345.12</v>
      </c>
    </row>
    <row r="16" spans="1:8" s="2" customFormat="1" ht="14.25" x14ac:dyDescent="0.25">
      <c r="A16" s="197" t="s">
        <v>7</v>
      </c>
      <c r="B16" s="197"/>
      <c r="C16" s="197"/>
      <c r="D16" s="197"/>
      <c r="E16" s="71" t="s">
        <v>8</v>
      </c>
      <c r="F16" s="71">
        <f>(F15-$E15)/$E15</f>
        <v>0.47651641128290495</v>
      </c>
      <c r="G16" s="71">
        <f>(G15-$E15)/$E15</f>
        <v>0.82600452059310447</v>
      </c>
      <c r="H16" s="71">
        <f>(H15-$E15)/$E15</f>
        <v>0.82658917425411105</v>
      </c>
    </row>
    <row r="17" spans="1:8" s="3" customFormat="1" ht="14.25" x14ac:dyDescent="0.25">
      <c r="A17" s="195" t="s">
        <v>9</v>
      </c>
      <c r="B17" s="195"/>
      <c r="C17" s="195"/>
      <c r="D17" s="195"/>
      <c r="E17" s="72" t="s">
        <v>8</v>
      </c>
      <c r="F17" s="70">
        <f>F15-$E15</f>
        <v>31395.360000000001</v>
      </c>
      <c r="G17" s="70">
        <f>G15-$E15</f>
        <v>54421.439999999988</v>
      </c>
      <c r="H17" s="70">
        <f>H15-$E15</f>
        <v>54459.959999999992</v>
      </c>
    </row>
    <row r="18" spans="1:8" s="3" customFormat="1" ht="14.25" x14ac:dyDescent="0.25">
      <c r="A18" s="195" t="s">
        <v>10</v>
      </c>
      <c r="B18" s="195"/>
      <c r="C18" s="195"/>
      <c r="D18" s="195"/>
      <c r="E18" s="72" t="s">
        <v>8</v>
      </c>
      <c r="F18" s="72">
        <f>F14-$E14</f>
        <v>2616.2799999999997</v>
      </c>
      <c r="G18" s="72">
        <f>G14-$E14</f>
        <v>4535.119999999999</v>
      </c>
      <c r="H18" s="72">
        <f>H14-$E14</f>
        <v>4538.33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369</v>
      </c>
      <c r="H21" s="73" t="s">
        <v>381</v>
      </c>
    </row>
    <row r="22" spans="1:8" s="4" customFormat="1" ht="14.25" x14ac:dyDescent="0.25">
      <c r="A22" s="144" t="s">
        <v>12</v>
      </c>
      <c r="B22" s="145"/>
      <c r="C22" s="145"/>
      <c r="D22" s="146"/>
      <c r="E22" s="74" t="s">
        <v>243</v>
      </c>
      <c r="F22" s="75" t="s">
        <v>243</v>
      </c>
      <c r="G22" s="75" t="s">
        <v>366</v>
      </c>
      <c r="H22" s="75" t="s">
        <v>378</v>
      </c>
    </row>
    <row r="23" spans="1:8" s="4" customFormat="1" ht="28.5" x14ac:dyDescent="0.25">
      <c r="A23" s="153" t="s">
        <v>13</v>
      </c>
      <c r="B23" s="154"/>
      <c r="C23" s="154"/>
      <c r="D23" s="155"/>
      <c r="E23" s="76" t="s">
        <v>361</v>
      </c>
      <c r="F23" s="77" t="s">
        <v>361</v>
      </c>
      <c r="G23" s="77" t="s">
        <v>293</v>
      </c>
      <c r="H23" s="77" t="s">
        <v>382</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490</v>
      </c>
      <c r="F25" s="80" t="s">
        <v>490</v>
      </c>
      <c r="G25" s="79" t="s">
        <v>373</v>
      </c>
      <c r="H25" s="79" t="s">
        <v>386</v>
      </c>
    </row>
    <row r="26" spans="1:8" s="4" customFormat="1" ht="28.5" x14ac:dyDescent="0.25">
      <c r="A26" s="153" t="s">
        <v>16</v>
      </c>
      <c r="B26" s="154"/>
      <c r="C26" s="154"/>
      <c r="D26" s="155"/>
      <c r="E26" s="81" t="s">
        <v>490</v>
      </c>
      <c r="F26" s="82" t="s">
        <v>490</v>
      </c>
      <c r="G26" s="81" t="s">
        <v>374</v>
      </c>
      <c r="H26" s="81" t="s">
        <v>387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371</v>
      </c>
      <c r="H28" s="84" t="s">
        <v>384</v>
      </c>
    </row>
    <row r="29" spans="1:8" s="4" customFormat="1" ht="57" x14ac:dyDescent="0.25">
      <c r="A29" s="144" t="s">
        <v>19</v>
      </c>
      <c r="B29" s="145"/>
      <c r="C29" s="145"/>
      <c r="D29" s="146"/>
      <c r="E29" s="84" t="s">
        <v>251</v>
      </c>
      <c r="F29" s="80" t="s">
        <v>251</v>
      </c>
      <c r="G29" s="84" t="s">
        <v>371</v>
      </c>
      <c r="H29" s="84" t="s">
        <v>384</v>
      </c>
    </row>
    <row r="30" spans="1:8" s="4" customFormat="1" ht="42.75" x14ac:dyDescent="0.25">
      <c r="A30" s="153" t="s">
        <v>20</v>
      </c>
      <c r="B30" s="154"/>
      <c r="C30" s="154"/>
      <c r="D30" s="155"/>
      <c r="E30" s="77" t="s">
        <v>488</v>
      </c>
      <c r="F30" s="85" t="s">
        <v>495</v>
      </c>
      <c r="G30" s="81" t="s">
        <v>370</v>
      </c>
      <c r="H30" s="81" t="s">
        <v>383</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491</v>
      </c>
      <c r="F32" s="87" t="s">
        <v>491</v>
      </c>
      <c r="G32" s="84" t="s">
        <v>307</v>
      </c>
      <c r="H32" s="84" t="s">
        <v>388</v>
      </c>
    </row>
    <row r="33" spans="1:8" s="4" customFormat="1" ht="28.5" x14ac:dyDescent="0.25">
      <c r="A33" s="144" t="s">
        <v>23</v>
      </c>
      <c r="B33" s="145"/>
      <c r="C33" s="145"/>
      <c r="D33" s="146"/>
      <c r="E33" s="81" t="s">
        <v>485</v>
      </c>
      <c r="F33" s="88" t="s">
        <v>493</v>
      </c>
      <c r="G33" s="81" t="s">
        <v>367</v>
      </c>
      <c r="H33" s="81" t="s">
        <v>379</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489</v>
      </c>
      <c r="F35" s="91" t="s">
        <v>496</v>
      </c>
      <c r="G35" s="84" t="s">
        <v>372</v>
      </c>
      <c r="H35" s="84" t="s">
        <v>385</v>
      </c>
    </row>
    <row r="36" spans="1:8" s="4" customFormat="1" ht="99.75" x14ac:dyDescent="0.25">
      <c r="A36" s="144" t="s">
        <v>26</v>
      </c>
      <c r="B36" s="145"/>
      <c r="C36" s="145"/>
      <c r="D36" s="146"/>
      <c r="E36" s="77" t="s">
        <v>486</v>
      </c>
      <c r="F36" s="92" t="s">
        <v>494</v>
      </c>
      <c r="G36" s="77" t="s">
        <v>368</v>
      </c>
      <c r="H36" s="77" t="s">
        <v>380</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375</v>
      </c>
    </row>
    <row r="45" spans="1:8" s="5" customFormat="1" ht="14.25" x14ac:dyDescent="0.25">
      <c r="A45" s="150" t="s">
        <v>71</v>
      </c>
      <c r="B45" s="151"/>
      <c r="C45" s="151"/>
      <c r="D45" s="152"/>
      <c r="E45" s="99" t="str">
        <f>IF("$10"="","None","$10")</f>
        <v>$10</v>
      </c>
      <c r="F45" s="99" t="str">
        <f>IF("$10"="","None","$10")</f>
        <v>$10</v>
      </c>
      <c r="G45" s="99" t="str">
        <f>IF("$25 after Rx deductible"="","None","$25 after Rx deductible")</f>
        <v>$25 after Rx deductible</v>
      </c>
      <c r="H45" s="99" t="str">
        <f>IF("$25"="","None","$25")</f>
        <v>$25</v>
      </c>
    </row>
    <row r="46" spans="1:8" s="5" customFormat="1" ht="14.25" x14ac:dyDescent="0.25">
      <c r="A46" s="150" t="s">
        <v>72</v>
      </c>
      <c r="B46" s="151"/>
      <c r="C46" s="151"/>
      <c r="D46" s="152"/>
      <c r="E46" s="99" t="str">
        <f>IF("$60"="","None","$60")</f>
        <v>$60</v>
      </c>
      <c r="F46" s="99" t="str">
        <f>IF("$60"="","None","$60")</f>
        <v>$60</v>
      </c>
      <c r="G46" s="99" t="str">
        <f>IF("50% after Rx deductible"="","None","50% after Rx deductible")</f>
        <v>50% after Rx deductible</v>
      </c>
      <c r="H46" s="99" t="str">
        <f>IF("50% after Rx deductible"="","None","50% after Rx deductible")</f>
        <v>50% after Rx deductible</v>
      </c>
    </row>
    <row r="47" spans="1:8" s="5" customFormat="1" ht="14.25" x14ac:dyDescent="0.25">
      <c r="A47" s="150" t="s">
        <v>73</v>
      </c>
      <c r="B47" s="151"/>
      <c r="C47" s="151"/>
      <c r="D47" s="152"/>
      <c r="E47" s="99" t="str">
        <f>IF("$90"="","None","$90")</f>
        <v>$90</v>
      </c>
      <c r="F47" s="99" t="str">
        <f>IF("$90"="","None","$90")</f>
        <v>$90</v>
      </c>
      <c r="G47" s="99" t="str">
        <f>IF("50% after Rx deductible"="","None","50% after Rx deductible")</f>
        <v>50% after Rx deductible</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28.5" x14ac:dyDescent="0.25">
      <c r="A50" s="147" t="s">
        <v>27</v>
      </c>
      <c r="B50" s="148"/>
      <c r="C50" s="148"/>
      <c r="D50" s="149"/>
      <c r="E50" s="99" t="s">
        <v>256</v>
      </c>
      <c r="F50" s="99" t="s">
        <v>256</v>
      </c>
      <c r="G50" s="99" t="s">
        <v>376</v>
      </c>
      <c r="H50" s="99" t="s">
        <v>389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000-000000000000}"/>
    <hyperlink ref="F8" r:id="rId2" xr:uid="{00000000-0004-0000-2000-000001000000}"/>
    <hyperlink ref="F19" r:id="rId3" xr:uid="{00000000-0004-0000-2000-000002000000}"/>
    <hyperlink ref="G8" r:id="rId4" xr:uid="{00000000-0004-0000-2000-000003000000}"/>
    <hyperlink ref="G19" r:id="rId5" xr:uid="{00000000-0004-0000-2000-000004000000}"/>
    <hyperlink ref="H8" r:id="rId6" xr:uid="{00000000-0004-0000-2000-000005000000}"/>
    <hyperlink ref="H19" r:id="rId7" xr:uid="{00000000-0004-0000-20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1856-88B4-4427-86BC-E92ADB8CE583}">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187</v>
      </c>
      <c r="H5" s="57" t="s">
        <v>189</v>
      </c>
    </row>
    <row r="6" spans="1:8" s="2" customFormat="1" ht="60" x14ac:dyDescent="0.25">
      <c r="A6" s="186" t="s">
        <v>67</v>
      </c>
      <c r="B6" s="187"/>
      <c r="C6" s="187"/>
      <c r="D6" s="127">
        <v>4</v>
      </c>
      <c r="E6" s="115" t="s">
        <v>484</v>
      </c>
      <c r="F6" s="115" t="s">
        <v>492</v>
      </c>
      <c r="G6" s="116" t="s">
        <v>390</v>
      </c>
      <c r="H6" s="116" t="s">
        <v>401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10090.129999999999</v>
      </c>
      <c r="H14" s="69">
        <v>10115.4</v>
      </c>
    </row>
    <row r="15" spans="1:8" s="2" customFormat="1" ht="14.25" x14ac:dyDescent="0.25">
      <c r="A15" s="197" t="s">
        <v>6</v>
      </c>
      <c r="B15" s="197"/>
      <c r="C15" s="197"/>
      <c r="D15" s="197"/>
      <c r="E15" s="70">
        <f>E14*12</f>
        <v>65885.16</v>
      </c>
      <c r="F15" s="70">
        <f>F14*12</f>
        <v>97280.52</v>
      </c>
      <c r="G15" s="70">
        <f>G14*12</f>
        <v>121081.56</v>
      </c>
      <c r="H15" s="70">
        <f>H14*12</f>
        <v>121384.79999999999</v>
      </c>
    </row>
    <row r="16" spans="1:8" s="2" customFormat="1" ht="14.25" x14ac:dyDescent="0.25">
      <c r="A16" s="197" t="s">
        <v>7</v>
      </c>
      <c r="B16" s="197"/>
      <c r="C16" s="197"/>
      <c r="D16" s="197"/>
      <c r="E16" s="71" t="s">
        <v>8</v>
      </c>
      <c r="F16" s="71">
        <f>(F15-$E15)/$E15</f>
        <v>0.47651641128290495</v>
      </c>
      <c r="G16" s="71">
        <f>(G15-$E15)/$E15</f>
        <v>0.83776680515005186</v>
      </c>
      <c r="H16" s="71">
        <f>(H15-$E15)/$E15</f>
        <v>0.84236935904838028</v>
      </c>
    </row>
    <row r="17" spans="1:8" s="3" customFormat="1" ht="14.25" x14ac:dyDescent="0.25">
      <c r="A17" s="195" t="s">
        <v>9</v>
      </c>
      <c r="B17" s="195"/>
      <c r="C17" s="195"/>
      <c r="D17" s="195"/>
      <c r="E17" s="72" t="s">
        <v>8</v>
      </c>
      <c r="F17" s="70">
        <f>F15-$E15</f>
        <v>31395.360000000001</v>
      </c>
      <c r="G17" s="70">
        <f>G15-$E15</f>
        <v>55196.399999999994</v>
      </c>
      <c r="H17" s="70">
        <f>H15-$E15</f>
        <v>55499.639999999985</v>
      </c>
    </row>
    <row r="18" spans="1:8" s="3" customFormat="1" ht="14.25" x14ac:dyDescent="0.25">
      <c r="A18" s="195" t="s">
        <v>10</v>
      </c>
      <c r="B18" s="195"/>
      <c r="C18" s="195"/>
      <c r="D18" s="195"/>
      <c r="E18" s="72" t="s">
        <v>8</v>
      </c>
      <c r="F18" s="72">
        <f>F14-$E14</f>
        <v>2616.2799999999997</v>
      </c>
      <c r="G18" s="72">
        <f>G14-$E14</f>
        <v>4599.6999999999989</v>
      </c>
      <c r="H18" s="72">
        <f>H14-$E14</f>
        <v>4624.9699999999993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393</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361</v>
      </c>
      <c r="F23" s="77" t="s">
        <v>361</v>
      </c>
      <c r="G23" s="77" t="s">
        <v>394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362</v>
      </c>
      <c r="H25" s="79" t="s">
        <v>340</v>
      </c>
    </row>
    <row r="26" spans="1:8" s="4" customFormat="1" ht="14.25" x14ac:dyDescent="0.25">
      <c r="A26" s="153" t="s">
        <v>16</v>
      </c>
      <c r="B26" s="154"/>
      <c r="C26" s="154"/>
      <c r="D26" s="155"/>
      <c r="E26" s="81" t="s">
        <v>490</v>
      </c>
      <c r="F26" s="82" t="s">
        <v>490</v>
      </c>
      <c r="G26" s="81" t="s">
        <v>254</v>
      </c>
      <c r="H26" s="81" t="s">
        <v>340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396</v>
      </c>
      <c r="H28" s="84" t="s">
        <v>273</v>
      </c>
    </row>
    <row r="29" spans="1:8" s="4" customFormat="1" ht="28.5" x14ac:dyDescent="0.25">
      <c r="A29" s="144" t="s">
        <v>19</v>
      </c>
      <c r="B29" s="145"/>
      <c r="C29" s="145"/>
      <c r="D29" s="146"/>
      <c r="E29" s="84" t="s">
        <v>251</v>
      </c>
      <c r="F29" s="80" t="s">
        <v>251</v>
      </c>
      <c r="G29" s="84" t="s">
        <v>398</v>
      </c>
      <c r="H29" s="84" t="s">
        <v>340</v>
      </c>
    </row>
    <row r="30" spans="1:8" s="4" customFormat="1" ht="28.5" x14ac:dyDescent="0.25">
      <c r="A30" s="153" t="s">
        <v>20</v>
      </c>
      <c r="B30" s="154"/>
      <c r="C30" s="154"/>
      <c r="D30" s="155"/>
      <c r="E30" s="77" t="s">
        <v>488</v>
      </c>
      <c r="F30" s="85" t="s">
        <v>495</v>
      </c>
      <c r="G30" s="81" t="s">
        <v>395</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340</v>
      </c>
    </row>
    <row r="33" spans="1:8" s="4" customFormat="1" ht="14.25" x14ac:dyDescent="0.25">
      <c r="A33" s="144" t="s">
        <v>23</v>
      </c>
      <c r="B33" s="145"/>
      <c r="C33" s="145"/>
      <c r="D33" s="146"/>
      <c r="E33" s="81" t="s">
        <v>485</v>
      </c>
      <c r="F33" s="88" t="s">
        <v>493</v>
      </c>
      <c r="G33" s="81" t="s">
        <v>391</v>
      </c>
      <c r="H33" s="81" t="s">
        <v>267</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489</v>
      </c>
      <c r="F35" s="91" t="s">
        <v>496</v>
      </c>
      <c r="G35" s="84" t="s">
        <v>397</v>
      </c>
      <c r="H35" s="84" t="s">
        <v>340</v>
      </c>
    </row>
    <row r="36" spans="1:8" s="4" customFormat="1" ht="42.75" x14ac:dyDescent="0.25">
      <c r="A36" s="144" t="s">
        <v>26</v>
      </c>
      <c r="B36" s="145"/>
      <c r="C36" s="145"/>
      <c r="D36" s="146"/>
      <c r="E36" s="77" t="s">
        <v>486</v>
      </c>
      <c r="F36" s="92" t="s">
        <v>494</v>
      </c>
      <c r="G36" s="77" t="s">
        <v>392</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IF("$15"="","None","$15")</f>
        <v>$15</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 - $150 max"="","None","50% - $150 max")</f>
        <v>50% - $150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400</v>
      </c>
      <c r="H49" s="99" t="s">
        <v>290</v>
      </c>
    </row>
    <row r="50" spans="1:8" s="2" customFormat="1" ht="28.5" x14ac:dyDescent="0.25">
      <c r="A50" s="147" t="s">
        <v>27</v>
      </c>
      <c r="B50" s="148"/>
      <c r="C50" s="148"/>
      <c r="D50" s="149"/>
      <c r="E50" s="99" t="s">
        <v>256</v>
      </c>
      <c r="F50" s="99" t="s">
        <v>256</v>
      </c>
      <c r="G50" s="99" t="s">
        <v>399</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100-000000000000}"/>
    <hyperlink ref="F8" r:id="rId2" xr:uid="{00000000-0004-0000-2100-000001000000}"/>
    <hyperlink ref="F19" r:id="rId3" xr:uid="{00000000-0004-0000-2100-000002000000}"/>
    <hyperlink ref="G8" r:id="rId4" xr:uid="{00000000-0004-0000-2100-000003000000}"/>
    <hyperlink ref="G19" r:id="rId5" xr:uid="{00000000-0004-0000-2100-000004000000}"/>
    <hyperlink ref="H8" r:id="rId6" xr:uid="{00000000-0004-0000-2100-000005000000}"/>
    <hyperlink ref="H19" r:id="rId7" xr:uid="{00000000-0004-0000-21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C997-012F-4DE7-B287-E7600552F5C6}">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191</v>
      </c>
      <c r="H5" s="57" t="s">
        <v>193</v>
      </c>
    </row>
    <row r="6" spans="1:8" s="2" customFormat="1" ht="45" x14ac:dyDescent="0.25">
      <c r="A6" s="186" t="s">
        <v>67</v>
      </c>
      <c r="B6" s="187"/>
      <c r="C6" s="187"/>
      <c r="D6" s="127">
        <v>4</v>
      </c>
      <c r="E6" s="115" t="s">
        <v>484</v>
      </c>
      <c r="F6" s="115" t="s">
        <v>492</v>
      </c>
      <c r="G6" s="116" t="s">
        <v>402</v>
      </c>
      <c r="H6" s="116" t="s">
        <v>403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10636.75</v>
      </c>
      <c r="H14" s="69">
        <v>10712.2</v>
      </c>
    </row>
    <row r="15" spans="1:8" s="2" customFormat="1" ht="14.25" x14ac:dyDescent="0.25">
      <c r="A15" s="197" t="s">
        <v>6</v>
      </c>
      <c r="B15" s="197"/>
      <c r="C15" s="197"/>
      <c r="D15" s="197"/>
      <c r="E15" s="70">
        <f>E14*12</f>
        <v>65885.16</v>
      </c>
      <c r="F15" s="70">
        <f>F14*12</f>
        <v>97280.52</v>
      </c>
      <c r="G15" s="70">
        <f>G14*12</f>
        <v>127641</v>
      </c>
      <c r="H15" s="70">
        <f>H14*12</f>
        <v>128546.40000000001</v>
      </c>
    </row>
    <row r="16" spans="1:8" s="2" customFormat="1" ht="14.25" x14ac:dyDescent="0.25">
      <c r="A16" s="197" t="s">
        <v>7</v>
      </c>
      <c r="B16" s="197"/>
      <c r="C16" s="197"/>
      <c r="D16" s="197"/>
      <c r="E16" s="71" t="s">
        <v>8</v>
      </c>
      <c r="F16" s="71">
        <f>(F15-$E15)/$E15</f>
        <v>0.47651641128290495</v>
      </c>
      <c r="G16" s="71">
        <f>(G15-$E15)/$E15</f>
        <v>0.93732549181029523</v>
      </c>
      <c r="H16" s="71">
        <f>(H15-$E15)/$E15</f>
        <v>0.95106758487040177</v>
      </c>
    </row>
    <row r="17" spans="1:8" s="3" customFormat="1" ht="14.25" x14ac:dyDescent="0.25">
      <c r="A17" s="195" t="s">
        <v>9</v>
      </c>
      <c r="B17" s="195"/>
      <c r="C17" s="195"/>
      <c r="D17" s="195"/>
      <c r="E17" s="72" t="s">
        <v>8</v>
      </c>
      <c r="F17" s="70">
        <f>F15-$E15</f>
        <v>31395.360000000001</v>
      </c>
      <c r="G17" s="70">
        <f>G15-$E15</f>
        <v>61755.839999999997</v>
      </c>
      <c r="H17" s="70">
        <f>H15-$E15</f>
        <v>62661.240000000005</v>
      </c>
    </row>
    <row r="18" spans="1:8" s="3" customFormat="1" ht="14.25" x14ac:dyDescent="0.25">
      <c r="A18" s="195" t="s">
        <v>10</v>
      </c>
      <c r="B18" s="195"/>
      <c r="C18" s="195"/>
      <c r="D18" s="195"/>
      <c r="E18" s="72" t="s">
        <v>8</v>
      </c>
      <c r="F18" s="72">
        <f>F14-$E14</f>
        <v>2616.2799999999997</v>
      </c>
      <c r="G18" s="72">
        <f>G14-$E14</f>
        <v>5146.32</v>
      </c>
      <c r="H18" s="72">
        <f>H14-$E14</f>
        <v>5221.7700000000004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360</v>
      </c>
      <c r="H21" s="73" t="s">
        <v>404</v>
      </c>
    </row>
    <row r="22" spans="1:8" s="4" customFormat="1" ht="14.25" x14ac:dyDescent="0.25">
      <c r="A22" s="144" t="s">
        <v>12</v>
      </c>
      <c r="B22" s="145"/>
      <c r="C22" s="145"/>
      <c r="D22" s="146"/>
      <c r="E22" s="74" t="s">
        <v>243</v>
      </c>
      <c r="F22" s="75" t="s">
        <v>243</v>
      </c>
      <c r="G22" s="75" t="s">
        <v>355</v>
      </c>
      <c r="H22" s="75" t="s">
        <v>243</v>
      </c>
    </row>
    <row r="23" spans="1:8" s="4" customFormat="1" ht="14.25" x14ac:dyDescent="0.25">
      <c r="A23" s="153" t="s">
        <v>13</v>
      </c>
      <c r="B23" s="154"/>
      <c r="C23" s="154"/>
      <c r="D23" s="155"/>
      <c r="E23" s="76" t="s">
        <v>361</v>
      </c>
      <c r="F23" s="77" t="s">
        <v>361</v>
      </c>
      <c r="G23" s="77" t="s">
        <v>361</v>
      </c>
      <c r="H23" s="77" t="s">
        <v>405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362</v>
      </c>
      <c r="H25" s="79" t="s">
        <v>273</v>
      </c>
    </row>
    <row r="26" spans="1:8" s="4" customFormat="1" ht="14.25" x14ac:dyDescent="0.25">
      <c r="A26" s="153" t="s">
        <v>16</v>
      </c>
      <c r="B26" s="154"/>
      <c r="C26" s="154"/>
      <c r="D26" s="155"/>
      <c r="E26" s="81" t="s">
        <v>490</v>
      </c>
      <c r="F26" s="82" t="s">
        <v>490</v>
      </c>
      <c r="G26" s="81" t="s">
        <v>254</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340</v>
      </c>
      <c r="H29" s="84" t="s">
        <v>288</v>
      </c>
    </row>
    <row r="30" spans="1:8" s="4" customFormat="1" ht="28.5" x14ac:dyDescent="0.25">
      <c r="A30" s="153" t="s">
        <v>20</v>
      </c>
      <c r="B30" s="154"/>
      <c r="C30" s="154"/>
      <c r="D30" s="155"/>
      <c r="E30" s="77" t="s">
        <v>488</v>
      </c>
      <c r="F30" s="85" t="s">
        <v>495</v>
      </c>
      <c r="G30" s="81" t="s">
        <v>339</v>
      </c>
      <c r="H30" s="81" t="s">
        <v>406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273</v>
      </c>
    </row>
    <row r="33" spans="1:8" s="4" customFormat="1" ht="14.25" x14ac:dyDescent="0.25">
      <c r="A33" s="144" t="s">
        <v>23</v>
      </c>
      <c r="B33" s="145"/>
      <c r="C33" s="145"/>
      <c r="D33" s="146"/>
      <c r="E33" s="81" t="s">
        <v>485</v>
      </c>
      <c r="F33" s="88" t="s">
        <v>493</v>
      </c>
      <c r="G33" s="81" t="s">
        <v>359</v>
      </c>
      <c r="H33" s="81" t="s">
        <v>288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340</v>
      </c>
      <c r="H35" s="84" t="s">
        <v>288</v>
      </c>
    </row>
    <row r="36" spans="1:8" s="4" customFormat="1" ht="42.75" x14ac:dyDescent="0.25">
      <c r="A36" s="144" t="s">
        <v>26</v>
      </c>
      <c r="B36" s="145"/>
      <c r="C36" s="145"/>
      <c r="D36" s="146"/>
      <c r="E36" s="77" t="s">
        <v>486</v>
      </c>
      <c r="F36" s="92" t="s">
        <v>494</v>
      </c>
      <c r="G36" s="77" t="s">
        <v>339</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IF("$10"="","None","$10")</f>
        <v>$10</v>
      </c>
      <c r="F45" s="99" t="str">
        <f>IF("$10"="","None","$10")</f>
        <v>$10</v>
      </c>
      <c r="G45" s="99" t="str">
        <f>IF("$10"="","None","$10")</f>
        <v>$10</v>
      </c>
      <c r="H45" s="99" t="str">
        <f>IF("$20 after deductible"="","None","$20 after deductible")</f>
        <v>$20 after deductible</v>
      </c>
    </row>
    <row r="46" spans="1:8" s="5" customFormat="1" ht="14.25" x14ac:dyDescent="0.25">
      <c r="A46" s="150" t="s">
        <v>72</v>
      </c>
      <c r="B46" s="151"/>
      <c r="C46" s="151"/>
      <c r="D46" s="152"/>
      <c r="E46" s="99" t="str">
        <f>IF("$60"="","None","$60")</f>
        <v>$60</v>
      </c>
      <c r="F46" s="99" t="str">
        <f>IF("$60"="","None","$60")</f>
        <v>$60</v>
      </c>
      <c r="G46" s="99" t="str">
        <f>IF("50% - $125 max"="","None","50% - $125 max")</f>
        <v>50% - $125 max</v>
      </c>
      <c r="H46" s="99" t="str">
        <f>IF("50% after deductible - $125 max"="","None","50% after deductible - $125 max")</f>
        <v>50% after deductible - $125 max</v>
      </c>
    </row>
    <row r="47" spans="1:8" s="5" customFormat="1" ht="14.25" x14ac:dyDescent="0.25">
      <c r="A47" s="150" t="s">
        <v>73</v>
      </c>
      <c r="B47" s="151"/>
      <c r="C47" s="151"/>
      <c r="D47" s="152"/>
      <c r="E47" s="99" t="str">
        <f>IF("$90"="","None","$90")</f>
        <v>$90</v>
      </c>
      <c r="F47" s="99" t="str">
        <f>IF("$90"="","None","$90")</f>
        <v>$90</v>
      </c>
      <c r="G47" s="99" t="str">
        <f>IF("50% - $125 max"="","None","50% - $125 max")</f>
        <v>50% - $125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364</v>
      </c>
      <c r="H49" s="99" t="s">
        <v>290</v>
      </c>
    </row>
    <row r="50" spans="1:8" s="2" customFormat="1" ht="28.5" x14ac:dyDescent="0.25">
      <c r="A50" s="147" t="s">
        <v>27</v>
      </c>
      <c r="B50" s="148"/>
      <c r="C50" s="148"/>
      <c r="D50" s="149"/>
      <c r="E50" s="99" t="s">
        <v>256</v>
      </c>
      <c r="F50" s="99" t="s">
        <v>256</v>
      </c>
      <c r="G50" s="99" t="s">
        <v>363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200-000000000000}"/>
    <hyperlink ref="F8" r:id="rId2" xr:uid="{00000000-0004-0000-2200-000001000000}"/>
    <hyperlink ref="F19" r:id="rId3" xr:uid="{00000000-0004-0000-2200-000002000000}"/>
    <hyperlink ref="G8" r:id="rId4" xr:uid="{00000000-0004-0000-2200-000003000000}"/>
    <hyperlink ref="G19" r:id="rId5" xr:uid="{00000000-0004-0000-2200-000004000000}"/>
    <hyperlink ref="H8" r:id="rId6" xr:uid="{00000000-0004-0000-2200-000005000000}"/>
    <hyperlink ref="H19" r:id="rId7" xr:uid="{00000000-0004-0000-22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EC40-3F59-4345-BE3E-BCDC37007250}">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195</v>
      </c>
      <c r="H5" s="57" t="s">
        <v>197</v>
      </c>
    </row>
    <row r="6" spans="1:8" s="2" customFormat="1" ht="45" x14ac:dyDescent="0.25">
      <c r="A6" s="186" t="s">
        <v>67</v>
      </c>
      <c r="B6" s="187"/>
      <c r="C6" s="187"/>
      <c r="D6" s="127">
        <v>4</v>
      </c>
      <c r="E6" s="115" t="s">
        <v>484</v>
      </c>
      <c r="F6" s="115" t="s">
        <v>492</v>
      </c>
      <c r="G6" s="116" t="s">
        <v>407</v>
      </c>
      <c r="H6" s="116" t="s">
        <v>413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10917.95</v>
      </c>
      <c r="H14" s="69">
        <v>11140.3</v>
      </c>
    </row>
    <row r="15" spans="1:8" s="2" customFormat="1" ht="14.25" x14ac:dyDescent="0.25">
      <c r="A15" s="197" t="s">
        <v>6</v>
      </c>
      <c r="B15" s="197"/>
      <c r="C15" s="197"/>
      <c r="D15" s="197"/>
      <c r="E15" s="70">
        <f>E14*12</f>
        <v>65885.16</v>
      </c>
      <c r="F15" s="70">
        <f>F14*12</f>
        <v>97280.52</v>
      </c>
      <c r="G15" s="70">
        <f>G14*12</f>
        <v>131015.40000000001</v>
      </c>
      <c r="H15" s="70">
        <f>H14*12</f>
        <v>133683.59999999998</v>
      </c>
    </row>
    <row r="16" spans="1:8" s="2" customFormat="1" ht="14.25" x14ac:dyDescent="0.25">
      <c r="A16" s="197" t="s">
        <v>7</v>
      </c>
      <c r="B16" s="197"/>
      <c r="C16" s="197"/>
      <c r="D16" s="197"/>
      <c r="E16" s="71" t="s">
        <v>8</v>
      </c>
      <c r="F16" s="71">
        <f>(F15-$E15)/$E15</f>
        <v>0.47651641128290495</v>
      </c>
      <c r="G16" s="71">
        <f>(G15-$E15)/$E15</f>
        <v>0.98854188105485363</v>
      </c>
      <c r="H16" s="71">
        <f>(H15-$E15)/$E15</f>
        <v>1.0290396198476253</v>
      </c>
    </row>
    <row r="17" spans="1:8" s="3" customFormat="1" ht="14.25" x14ac:dyDescent="0.25">
      <c r="A17" s="195" t="s">
        <v>9</v>
      </c>
      <c r="B17" s="195"/>
      <c r="C17" s="195"/>
      <c r="D17" s="195"/>
      <c r="E17" s="72" t="s">
        <v>8</v>
      </c>
      <c r="F17" s="70">
        <f>F15-$E15</f>
        <v>31395.360000000001</v>
      </c>
      <c r="G17" s="70">
        <f>G15-$E15</f>
        <v>65130.240000000005</v>
      </c>
      <c r="H17" s="70">
        <f>H15-$E15</f>
        <v>67798.439999999973</v>
      </c>
    </row>
    <row r="18" spans="1:8" s="3" customFormat="1" ht="14.25" x14ac:dyDescent="0.25">
      <c r="A18" s="195" t="s">
        <v>10</v>
      </c>
      <c r="B18" s="195"/>
      <c r="C18" s="195"/>
      <c r="D18" s="195"/>
      <c r="E18" s="72" t="s">
        <v>8</v>
      </c>
      <c r="F18" s="72">
        <f>F14-$E14</f>
        <v>2616.2799999999997</v>
      </c>
      <c r="G18" s="72">
        <f>G14-$E14</f>
        <v>5427.52</v>
      </c>
      <c r="H18" s="72">
        <f>H14-$E14</f>
        <v>5649.869999999999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408</v>
      </c>
      <c r="H21" s="73" t="s">
        <v>318</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361</v>
      </c>
      <c r="F23" s="77" t="s">
        <v>361</v>
      </c>
      <c r="G23" s="77" t="s">
        <v>409</v>
      </c>
      <c r="H23" s="77" t="s">
        <v>249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411</v>
      </c>
      <c r="H25" s="79" t="s">
        <v>321</v>
      </c>
    </row>
    <row r="26" spans="1:8" s="4" customFormat="1" ht="14.25" x14ac:dyDescent="0.25">
      <c r="A26" s="153" t="s">
        <v>16</v>
      </c>
      <c r="B26" s="154"/>
      <c r="C26" s="154"/>
      <c r="D26" s="155"/>
      <c r="E26" s="81" t="s">
        <v>490</v>
      </c>
      <c r="F26" s="82" t="s">
        <v>490</v>
      </c>
      <c r="G26" s="81" t="s">
        <v>321</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348</v>
      </c>
      <c r="H28" s="84" t="s">
        <v>414</v>
      </c>
    </row>
    <row r="29" spans="1:8" s="4" customFormat="1" ht="28.5" x14ac:dyDescent="0.25">
      <c r="A29" s="144" t="s">
        <v>19</v>
      </c>
      <c r="B29" s="145"/>
      <c r="C29" s="145"/>
      <c r="D29" s="146"/>
      <c r="E29" s="84" t="s">
        <v>251</v>
      </c>
      <c r="F29" s="80" t="s">
        <v>251</v>
      </c>
      <c r="G29" s="84" t="s">
        <v>267</v>
      </c>
      <c r="H29" s="84" t="s">
        <v>414</v>
      </c>
    </row>
    <row r="30" spans="1:8" s="4" customFormat="1" ht="28.5" x14ac:dyDescent="0.25">
      <c r="A30" s="153" t="s">
        <v>20</v>
      </c>
      <c r="B30" s="154"/>
      <c r="C30" s="154"/>
      <c r="D30" s="155"/>
      <c r="E30" s="77" t="s">
        <v>488</v>
      </c>
      <c r="F30" s="85" t="s">
        <v>495</v>
      </c>
      <c r="G30" s="81" t="s">
        <v>336</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307</v>
      </c>
    </row>
    <row r="33" spans="1:8" s="4" customFormat="1" ht="28.5" x14ac:dyDescent="0.25">
      <c r="A33" s="144" t="s">
        <v>23</v>
      </c>
      <c r="B33" s="145"/>
      <c r="C33" s="145"/>
      <c r="D33" s="146"/>
      <c r="E33" s="81" t="s">
        <v>485</v>
      </c>
      <c r="F33" s="88" t="s">
        <v>493</v>
      </c>
      <c r="G33" s="81" t="s">
        <v>346</v>
      </c>
      <c r="H33" s="81" t="s">
        <v>326</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489</v>
      </c>
      <c r="F35" s="91" t="s">
        <v>496</v>
      </c>
      <c r="G35" s="84" t="s">
        <v>410</v>
      </c>
      <c r="H35" s="84" t="s">
        <v>415</v>
      </c>
    </row>
    <row r="36" spans="1:8" s="4" customFormat="1" ht="42.75" x14ac:dyDescent="0.25">
      <c r="A36" s="144" t="s">
        <v>26</v>
      </c>
      <c r="B36" s="145"/>
      <c r="C36" s="145"/>
      <c r="D36" s="146"/>
      <c r="E36" s="77" t="s">
        <v>486</v>
      </c>
      <c r="F36" s="92" t="s">
        <v>494</v>
      </c>
      <c r="G36" s="77" t="s">
        <v>267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251</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IF("$15"="","None","$15")</f>
        <v>$15</v>
      </c>
      <c r="H45" s="99" t="str">
        <f>IF("$25"="","None","$25")</f>
        <v>$25</v>
      </c>
    </row>
    <row r="46" spans="1:8" s="5" customFormat="1" ht="14.25" x14ac:dyDescent="0.25">
      <c r="A46" s="150" t="s">
        <v>72</v>
      </c>
      <c r="B46" s="151"/>
      <c r="C46" s="151"/>
      <c r="D46" s="152"/>
      <c r="E46" s="99" t="str">
        <f>IF("$60"="","None","$60")</f>
        <v>$60</v>
      </c>
      <c r="F46" s="99" t="str">
        <f>IF("$60"="","None","$60")</f>
        <v>$60</v>
      </c>
      <c r="G46" s="99" t="str">
        <f>IF("$35"="","None","$35")</f>
        <v>$35</v>
      </c>
      <c r="H46" s="99" t="str">
        <f>IF("$50"="","None","$50")</f>
        <v>$50</v>
      </c>
    </row>
    <row r="47" spans="1:8" s="5" customFormat="1" ht="14.25" x14ac:dyDescent="0.25">
      <c r="A47" s="150" t="s">
        <v>73</v>
      </c>
      <c r="B47" s="151"/>
      <c r="C47" s="151"/>
      <c r="D47" s="152"/>
      <c r="E47" s="99" t="str">
        <f>IF("$90"="","None","$90")</f>
        <v>$90</v>
      </c>
      <c r="F47" s="99" t="str">
        <f>IF("$90"="","None","$90")</f>
        <v>$90</v>
      </c>
      <c r="G47" s="99" t="str">
        <f>IF("$75"="","None","$75")</f>
        <v>$75</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400</v>
      </c>
      <c r="H49" s="99" t="s">
        <v>334</v>
      </c>
    </row>
    <row r="50" spans="1:8" s="2" customFormat="1" ht="14.25" x14ac:dyDescent="0.25">
      <c r="A50" s="147" t="s">
        <v>27</v>
      </c>
      <c r="B50" s="148"/>
      <c r="C50" s="148"/>
      <c r="D50" s="149"/>
      <c r="E50" s="99" t="s">
        <v>256</v>
      </c>
      <c r="F50" s="99" t="s">
        <v>256</v>
      </c>
      <c r="G50" s="99" t="s">
        <v>412</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300-000000000000}"/>
    <hyperlink ref="F8" r:id="rId2" xr:uid="{00000000-0004-0000-2300-000001000000}"/>
    <hyperlink ref="F19" r:id="rId3" xr:uid="{00000000-0004-0000-2300-000002000000}"/>
    <hyperlink ref="G8" r:id="rId4" xr:uid="{00000000-0004-0000-2300-000003000000}"/>
    <hyperlink ref="G19" r:id="rId5" xr:uid="{00000000-0004-0000-2300-000004000000}"/>
    <hyperlink ref="H8" r:id="rId6" xr:uid="{00000000-0004-0000-2300-000005000000}"/>
    <hyperlink ref="H19" r:id="rId7" xr:uid="{00000000-0004-0000-23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6D5B-210D-434C-B1FB-147108598609}">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199</v>
      </c>
      <c r="H5" s="57" t="s">
        <v>201</v>
      </c>
    </row>
    <row r="6" spans="1:8" s="2" customFormat="1" ht="45" x14ac:dyDescent="0.25">
      <c r="A6" s="186" t="s">
        <v>67</v>
      </c>
      <c r="B6" s="187"/>
      <c r="C6" s="187"/>
      <c r="D6" s="127">
        <v>4</v>
      </c>
      <c r="E6" s="115" t="s">
        <v>484</v>
      </c>
      <c r="F6" s="115" t="s">
        <v>492</v>
      </c>
      <c r="G6" s="116" t="s">
        <v>417</v>
      </c>
      <c r="H6" s="116" t="s">
        <v>426</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11324.84</v>
      </c>
      <c r="H14" s="69">
        <v>11731.83</v>
      </c>
    </row>
    <row r="15" spans="1:8" s="2" customFormat="1" ht="14.25" x14ac:dyDescent="0.25">
      <c r="A15" s="197" t="s">
        <v>6</v>
      </c>
      <c r="B15" s="197"/>
      <c r="C15" s="197"/>
      <c r="D15" s="197"/>
      <c r="E15" s="70">
        <f>E14*12</f>
        <v>65885.16</v>
      </c>
      <c r="F15" s="70">
        <f>F14*12</f>
        <v>97280.52</v>
      </c>
      <c r="G15" s="70">
        <f>G14*12</f>
        <v>135898.08000000002</v>
      </c>
      <c r="H15" s="70">
        <f>H14*12</f>
        <v>140781.96</v>
      </c>
    </row>
    <row r="16" spans="1:8" s="2" customFormat="1" ht="14.25" x14ac:dyDescent="0.25">
      <c r="A16" s="197" t="s">
        <v>7</v>
      </c>
      <c r="B16" s="197"/>
      <c r="C16" s="197"/>
      <c r="D16" s="197"/>
      <c r="E16" s="71" t="s">
        <v>8</v>
      </c>
      <c r="F16" s="71">
        <f>(F15-$E15)/$E15</f>
        <v>0.47651641128290495</v>
      </c>
      <c r="G16" s="71">
        <f>(G15-$E15)/$E15</f>
        <v>1.0626508306271094</v>
      </c>
      <c r="H16" s="71">
        <f>(H15-$E15)/$E15</f>
        <v>1.1367779937090534</v>
      </c>
    </row>
    <row r="17" spans="1:8" s="3" customFormat="1" ht="14.25" x14ac:dyDescent="0.25">
      <c r="A17" s="195" t="s">
        <v>9</v>
      </c>
      <c r="B17" s="195"/>
      <c r="C17" s="195"/>
      <c r="D17" s="195"/>
      <c r="E17" s="72" t="s">
        <v>8</v>
      </c>
      <c r="F17" s="70">
        <f>F15-$E15</f>
        <v>31395.360000000001</v>
      </c>
      <c r="G17" s="70">
        <f>G15-$E15</f>
        <v>70012.920000000013</v>
      </c>
      <c r="H17" s="70">
        <f>H15-$E15</f>
        <v>74896.799999999988</v>
      </c>
    </row>
    <row r="18" spans="1:8" s="3" customFormat="1" ht="14.25" x14ac:dyDescent="0.25">
      <c r="A18" s="195" t="s">
        <v>10</v>
      </c>
      <c r="B18" s="195"/>
      <c r="C18" s="195"/>
      <c r="D18" s="195"/>
      <c r="E18" s="72" t="s">
        <v>8</v>
      </c>
      <c r="F18" s="72">
        <f>F14-$E14</f>
        <v>2616.2799999999997</v>
      </c>
      <c r="G18" s="72">
        <f>G14-$E14</f>
        <v>5834.41</v>
      </c>
      <c r="H18" s="72">
        <f>H14-$E14</f>
        <v>6241.4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361</v>
      </c>
      <c r="F23" s="77" t="s">
        <v>361</v>
      </c>
      <c r="G23" s="77" t="s">
        <v>319</v>
      </c>
      <c r="H23" s="77" t="s">
        <v>428</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423</v>
      </c>
      <c r="H25" s="79" t="s">
        <v>321</v>
      </c>
    </row>
    <row r="26" spans="1:8" s="4" customFormat="1" ht="14.25" x14ac:dyDescent="0.25">
      <c r="A26" s="153" t="s">
        <v>16</v>
      </c>
      <c r="B26" s="154"/>
      <c r="C26" s="154"/>
      <c r="D26" s="155"/>
      <c r="E26" s="81" t="s">
        <v>490</v>
      </c>
      <c r="F26" s="82" t="s">
        <v>490</v>
      </c>
      <c r="G26" s="81" t="s">
        <v>274</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429</v>
      </c>
    </row>
    <row r="29" spans="1:8" s="4" customFormat="1" ht="14.25" x14ac:dyDescent="0.25">
      <c r="A29" s="144" t="s">
        <v>19</v>
      </c>
      <c r="B29" s="145"/>
      <c r="C29" s="145"/>
      <c r="D29" s="146"/>
      <c r="E29" s="84" t="s">
        <v>251</v>
      </c>
      <c r="F29" s="80" t="s">
        <v>251</v>
      </c>
      <c r="G29" s="84" t="s">
        <v>422</v>
      </c>
      <c r="H29" s="84" t="s">
        <v>321</v>
      </c>
    </row>
    <row r="30" spans="1:8" s="4" customFormat="1" ht="14.25" x14ac:dyDescent="0.25">
      <c r="A30" s="153" t="s">
        <v>20</v>
      </c>
      <c r="B30" s="154"/>
      <c r="C30" s="154"/>
      <c r="D30" s="155"/>
      <c r="E30" s="77" t="s">
        <v>488</v>
      </c>
      <c r="F30" s="85" t="s">
        <v>495</v>
      </c>
      <c r="G30" s="81" t="s">
        <v>420</v>
      </c>
      <c r="H30" s="81" t="s">
        <v>336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321</v>
      </c>
    </row>
    <row r="33" spans="1:8" s="4" customFormat="1" ht="14.25" x14ac:dyDescent="0.25">
      <c r="A33" s="144" t="s">
        <v>23</v>
      </c>
      <c r="B33" s="145"/>
      <c r="C33" s="145"/>
      <c r="D33" s="146"/>
      <c r="E33" s="81" t="s">
        <v>485</v>
      </c>
      <c r="F33" s="88" t="s">
        <v>493</v>
      </c>
      <c r="G33" s="81" t="s">
        <v>418</v>
      </c>
      <c r="H33" s="81" t="s">
        <v>336</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421</v>
      </c>
      <c r="H35" s="84" t="s">
        <v>430</v>
      </c>
    </row>
    <row r="36" spans="1:8" s="4" customFormat="1" ht="42.75" x14ac:dyDescent="0.25">
      <c r="A36" s="144" t="s">
        <v>26</v>
      </c>
      <c r="B36" s="145"/>
      <c r="C36" s="145"/>
      <c r="D36" s="146"/>
      <c r="E36" s="77" t="s">
        <v>486</v>
      </c>
      <c r="F36" s="92" t="s">
        <v>494</v>
      </c>
      <c r="G36" s="77" t="s">
        <v>419</v>
      </c>
      <c r="H36" s="77" t="s">
        <v>427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431</v>
      </c>
    </row>
    <row r="45" spans="1:8" s="5" customFormat="1" ht="14.25" x14ac:dyDescent="0.25">
      <c r="A45" s="150" t="s">
        <v>71</v>
      </c>
      <c r="B45" s="151"/>
      <c r="C45" s="151"/>
      <c r="D45" s="152"/>
      <c r="E45" s="99" t="str">
        <f>IF("$10"="","None","$10")</f>
        <v>$10</v>
      </c>
      <c r="F45" s="99" t="str">
        <f>IF("$10"="","None","$10")</f>
        <v>$10</v>
      </c>
      <c r="G45" s="99" t="str">
        <f>IF("$15"="","None","$15")</f>
        <v>$15</v>
      </c>
      <c r="H45" s="99" t="str">
        <f>IF("$7"="","None","$7")</f>
        <v>$7</v>
      </c>
    </row>
    <row r="46" spans="1:8" s="5" customFormat="1" ht="14.25" x14ac:dyDescent="0.25">
      <c r="A46" s="150" t="s">
        <v>72</v>
      </c>
      <c r="B46" s="151"/>
      <c r="C46" s="151"/>
      <c r="D46" s="152"/>
      <c r="E46" s="99" t="str">
        <f>IF("$60"="","None","$60")</f>
        <v>$60</v>
      </c>
      <c r="F46" s="99" t="str">
        <f>IF("$60"="","None","$60")</f>
        <v>$60</v>
      </c>
      <c r="G46" s="99" t="str">
        <f>IF("$50"="","None","$50")</f>
        <v>$50</v>
      </c>
      <c r="H46" s="99" t="str">
        <f>IF("$35 after Rx deductible"="","None","$35 after Rx deductible")</f>
        <v>$35 after Rx deductible</v>
      </c>
    </row>
    <row r="47" spans="1:8" s="5" customFormat="1" ht="14.25" x14ac:dyDescent="0.25">
      <c r="A47" s="150" t="s">
        <v>73</v>
      </c>
      <c r="B47" s="151"/>
      <c r="C47" s="151"/>
      <c r="D47" s="152"/>
      <c r="E47" s="99" t="str">
        <f>IF("$90"="","None","$90")</f>
        <v>$90</v>
      </c>
      <c r="F47" s="99" t="str">
        <f>IF("$90"="","None","$90")</f>
        <v>$90</v>
      </c>
      <c r="G47" s="99" t="str">
        <f>IF("$300"="","None","$300")</f>
        <v>$300</v>
      </c>
      <c r="H47" s="99" t="str">
        <f>IF("$75 after Rx deductible"="","None","$75 after Rx deductible")</f>
        <v>$75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257</v>
      </c>
      <c r="F49" s="99" t="s">
        <v>257</v>
      </c>
      <c r="G49" s="99" t="s">
        <v>425</v>
      </c>
      <c r="H49" s="99" t="s">
        <v>433</v>
      </c>
    </row>
    <row r="50" spans="1:8" s="2" customFormat="1" ht="28.5" x14ac:dyDescent="0.25">
      <c r="A50" s="147" t="s">
        <v>27</v>
      </c>
      <c r="B50" s="148"/>
      <c r="C50" s="148"/>
      <c r="D50" s="149"/>
      <c r="E50" s="99" t="s">
        <v>256</v>
      </c>
      <c r="F50" s="99" t="s">
        <v>256</v>
      </c>
      <c r="G50" s="99" t="s">
        <v>424</v>
      </c>
      <c r="H50" s="99" t="s">
        <v>432</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400-000000000000}"/>
    <hyperlink ref="F8" r:id="rId2" xr:uid="{00000000-0004-0000-2400-000001000000}"/>
    <hyperlink ref="F19" r:id="rId3" xr:uid="{00000000-0004-0000-2400-000002000000}"/>
    <hyperlink ref="G8" r:id="rId4" xr:uid="{00000000-0004-0000-2400-000003000000}"/>
    <hyperlink ref="G19" r:id="rId5" xr:uid="{00000000-0004-0000-2400-000004000000}"/>
    <hyperlink ref="H8" r:id="rId6" xr:uid="{00000000-0004-0000-2400-000005000000}"/>
    <hyperlink ref="H19" r:id="rId7" xr:uid="{00000000-0004-0000-24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D056-57EA-4F2A-BD84-1ED98847514D}">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203</v>
      </c>
      <c r="H5" s="57" t="s">
        <v>205</v>
      </c>
    </row>
    <row r="6" spans="1:8" s="2" customFormat="1" ht="45" x14ac:dyDescent="0.25">
      <c r="A6" s="186" t="s">
        <v>67</v>
      </c>
      <c r="B6" s="187"/>
      <c r="C6" s="187"/>
      <c r="D6" s="127">
        <v>4</v>
      </c>
      <c r="E6" s="115" t="s">
        <v>484</v>
      </c>
      <c r="F6" s="115" t="s">
        <v>492</v>
      </c>
      <c r="G6" s="116" t="s">
        <v>434</v>
      </c>
      <c r="H6" s="116" t="s">
        <v>447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11952.53</v>
      </c>
      <c r="H14" s="69">
        <v>12163.81</v>
      </c>
    </row>
    <row r="15" spans="1:8" s="2" customFormat="1" ht="14.25" x14ac:dyDescent="0.25">
      <c r="A15" s="197" t="s">
        <v>6</v>
      </c>
      <c r="B15" s="197"/>
      <c r="C15" s="197"/>
      <c r="D15" s="197"/>
      <c r="E15" s="70">
        <f>E14*12</f>
        <v>65885.16</v>
      </c>
      <c r="F15" s="70">
        <f>F14*12</f>
        <v>97280.52</v>
      </c>
      <c r="G15" s="70">
        <f>G14*12</f>
        <v>143430.36000000002</v>
      </c>
      <c r="H15" s="70">
        <f>H14*12</f>
        <v>145965.72</v>
      </c>
    </row>
    <row r="16" spans="1:8" s="2" customFormat="1" ht="14.25" x14ac:dyDescent="0.25">
      <c r="A16" s="197" t="s">
        <v>7</v>
      </c>
      <c r="B16" s="197"/>
      <c r="C16" s="197"/>
      <c r="D16" s="197"/>
      <c r="E16" s="71" t="s">
        <v>8</v>
      </c>
      <c r="F16" s="71">
        <f>(F15-$E15)/$E15</f>
        <v>0.47651641128290495</v>
      </c>
      <c r="G16" s="71">
        <f>(G15-$E15)/$E15</f>
        <v>1.1769752095919628</v>
      </c>
      <c r="H16" s="71">
        <f>(H15-$E15)/$E15</f>
        <v>1.2154567128621983</v>
      </c>
    </row>
    <row r="17" spans="1:8" s="3" customFormat="1" ht="14.25" x14ac:dyDescent="0.25">
      <c r="A17" s="195" t="s">
        <v>9</v>
      </c>
      <c r="B17" s="195"/>
      <c r="C17" s="195"/>
      <c r="D17" s="195"/>
      <c r="E17" s="72" t="s">
        <v>8</v>
      </c>
      <c r="F17" s="70">
        <f>F15-$E15</f>
        <v>31395.360000000001</v>
      </c>
      <c r="G17" s="70">
        <f>G15-$E15</f>
        <v>77545.200000000012</v>
      </c>
      <c r="H17" s="70">
        <f>H15-$E15</f>
        <v>80080.56</v>
      </c>
    </row>
    <row r="18" spans="1:8" s="3" customFormat="1" ht="14.25" x14ac:dyDescent="0.25">
      <c r="A18" s="195" t="s">
        <v>10</v>
      </c>
      <c r="B18" s="195"/>
      <c r="C18" s="195"/>
      <c r="D18" s="195"/>
      <c r="E18" s="72" t="s">
        <v>8</v>
      </c>
      <c r="F18" s="72">
        <f>F14-$E14</f>
        <v>2616.2799999999997</v>
      </c>
      <c r="G18" s="72">
        <f>G14-$E14</f>
        <v>6462.1</v>
      </c>
      <c r="H18" s="72">
        <f>H14-$E14</f>
        <v>6673.3799999999992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438</v>
      </c>
      <c r="H21" s="73" t="s">
        <v>318</v>
      </c>
    </row>
    <row r="22" spans="1:8" s="4" customFormat="1" ht="14.25" x14ac:dyDescent="0.25">
      <c r="A22" s="144" t="s">
        <v>12</v>
      </c>
      <c r="B22" s="145"/>
      <c r="C22" s="145"/>
      <c r="D22" s="146"/>
      <c r="E22" s="74" t="s">
        <v>243</v>
      </c>
      <c r="F22" s="75" t="s">
        <v>243</v>
      </c>
      <c r="G22" s="75" t="s">
        <v>435</v>
      </c>
      <c r="H22" s="75" t="s">
        <v>266</v>
      </c>
    </row>
    <row r="23" spans="1:8" s="4" customFormat="1" ht="28.5" x14ac:dyDescent="0.25">
      <c r="A23" s="153" t="s">
        <v>13</v>
      </c>
      <c r="B23" s="154"/>
      <c r="C23" s="154"/>
      <c r="D23" s="155"/>
      <c r="E23" s="76" t="s">
        <v>361</v>
      </c>
      <c r="F23" s="77" t="s">
        <v>361</v>
      </c>
      <c r="G23" s="77" t="s">
        <v>439</v>
      </c>
      <c r="H23" s="77" t="s">
        <v>249</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490</v>
      </c>
      <c r="F25" s="80" t="s">
        <v>490</v>
      </c>
      <c r="G25" s="79" t="s">
        <v>443</v>
      </c>
      <c r="H25" s="79" t="s">
        <v>321</v>
      </c>
    </row>
    <row r="26" spans="1:8" s="4" customFormat="1" ht="28.5" x14ac:dyDescent="0.25">
      <c r="A26" s="153" t="s">
        <v>16</v>
      </c>
      <c r="B26" s="154"/>
      <c r="C26" s="154"/>
      <c r="D26" s="155"/>
      <c r="E26" s="81" t="s">
        <v>490</v>
      </c>
      <c r="F26" s="82" t="s">
        <v>490</v>
      </c>
      <c r="G26" s="81" t="s">
        <v>444</v>
      </c>
      <c r="H26" s="81" t="s">
        <v>307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441</v>
      </c>
      <c r="H28" s="84" t="s">
        <v>414</v>
      </c>
    </row>
    <row r="29" spans="1:8" s="4" customFormat="1" ht="57" x14ac:dyDescent="0.25">
      <c r="A29" s="144" t="s">
        <v>19</v>
      </c>
      <c r="B29" s="145"/>
      <c r="C29" s="145"/>
      <c r="D29" s="146"/>
      <c r="E29" s="84" t="s">
        <v>251</v>
      </c>
      <c r="F29" s="80" t="s">
        <v>251</v>
      </c>
      <c r="G29" s="84" t="s">
        <v>441</v>
      </c>
      <c r="H29" s="84" t="s">
        <v>414</v>
      </c>
    </row>
    <row r="30" spans="1:8" s="4" customFormat="1" ht="42.75" x14ac:dyDescent="0.25">
      <c r="A30" s="153" t="s">
        <v>20</v>
      </c>
      <c r="B30" s="154"/>
      <c r="C30" s="154"/>
      <c r="D30" s="155"/>
      <c r="E30" s="77" t="s">
        <v>488</v>
      </c>
      <c r="F30" s="85" t="s">
        <v>495</v>
      </c>
      <c r="G30" s="81" t="s">
        <v>440</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491</v>
      </c>
      <c r="F32" s="87" t="s">
        <v>491</v>
      </c>
      <c r="G32" s="84" t="s">
        <v>445</v>
      </c>
      <c r="H32" s="84" t="s">
        <v>307</v>
      </c>
    </row>
    <row r="33" spans="1:8" s="4" customFormat="1" ht="28.5" x14ac:dyDescent="0.25">
      <c r="A33" s="144" t="s">
        <v>23</v>
      </c>
      <c r="B33" s="145"/>
      <c r="C33" s="145"/>
      <c r="D33" s="146"/>
      <c r="E33" s="81" t="s">
        <v>485</v>
      </c>
      <c r="F33" s="88" t="s">
        <v>493</v>
      </c>
      <c r="G33" s="81" t="s">
        <v>436</v>
      </c>
      <c r="H33" s="81" t="s">
        <v>326</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489</v>
      </c>
      <c r="F35" s="91" t="s">
        <v>496</v>
      </c>
      <c r="G35" s="84" t="s">
        <v>442</v>
      </c>
      <c r="H35" s="84" t="s">
        <v>415</v>
      </c>
    </row>
    <row r="36" spans="1:8" s="4" customFormat="1" ht="99.75" x14ac:dyDescent="0.25">
      <c r="A36" s="144" t="s">
        <v>26</v>
      </c>
      <c r="B36" s="145"/>
      <c r="C36" s="145"/>
      <c r="D36" s="146"/>
      <c r="E36" s="77" t="s">
        <v>486</v>
      </c>
      <c r="F36" s="92" t="s">
        <v>494</v>
      </c>
      <c r="G36" s="77" t="s">
        <v>437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255</v>
      </c>
    </row>
    <row r="45" spans="1:8" s="5" customFormat="1" ht="14.25" x14ac:dyDescent="0.25">
      <c r="A45" s="150" t="s">
        <v>71</v>
      </c>
      <c r="B45" s="151"/>
      <c r="C45" s="151"/>
      <c r="D45" s="152"/>
      <c r="E45" s="99" t="str">
        <f>IF("$10"="","None","$10")</f>
        <v>$10</v>
      </c>
      <c r="F45" s="99" t="str">
        <f>IF("$10"="","None","$10")</f>
        <v>$10</v>
      </c>
      <c r="G45" s="99" t="str">
        <f>IF("$10 after Rx deductible"="","None","$10 after Rx deductible")</f>
        <v>$10 after Rx deductible</v>
      </c>
      <c r="H45" s="99" t="str">
        <f>IF("$25"="","None","$25")</f>
        <v>$25</v>
      </c>
    </row>
    <row r="46" spans="1:8" s="5" customFormat="1" ht="14.25" x14ac:dyDescent="0.25">
      <c r="A46" s="150" t="s">
        <v>72</v>
      </c>
      <c r="B46" s="151"/>
      <c r="C46" s="151"/>
      <c r="D46" s="152"/>
      <c r="E46" s="99" t="str">
        <f>IF("$60"="","None","$60")</f>
        <v>$60</v>
      </c>
      <c r="F46" s="99" t="str">
        <f>IF("$60"="","None","$60")</f>
        <v>$60</v>
      </c>
      <c r="G46" s="99" t="str">
        <f>IF("$40 after Rx deductible"="","None","$40 after Rx deductible")</f>
        <v>$40 after Rx deductible</v>
      </c>
      <c r="H46" s="99" t="str">
        <f>IF("$50"="","None","$50")</f>
        <v>$50</v>
      </c>
    </row>
    <row r="47" spans="1:8" s="5" customFormat="1" ht="14.25" x14ac:dyDescent="0.25">
      <c r="A47" s="150" t="s">
        <v>73</v>
      </c>
      <c r="B47" s="151"/>
      <c r="C47" s="151"/>
      <c r="D47" s="152"/>
      <c r="E47" s="99" t="str">
        <f>IF("$90"="","None","$90")</f>
        <v>$90</v>
      </c>
      <c r="F47" s="99" t="str">
        <f>IF("$90"="","None","$90")</f>
        <v>$90</v>
      </c>
      <c r="G47" s="99" t="str">
        <f>IF("$75 after Rx deductible"="","None","$75 after Rx deductible")</f>
        <v>$75 after Rx deductible</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14.25" x14ac:dyDescent="0.25">
      <c r="A50" s="147" t="s">
        <v>27</v>
      </c>
      <c r="B50" s="148"/>
      <c r="C50" s="148"/>
      <c r="D50" s="149"/>
      <c r="E50" s="99" t="s">
        <v>256</v>
      </c>
      <c r="F50" s="99" t="s">
        <v>256</v>
      </c>
      <c r="G50" s="99" t="s">
        <v>446</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500-000000000000}"/>
    <hyperlink ref="F8" r:id="rId2" xr:uid="{00000000-0004-0000-2500-000001000000}"/>
    <hyperlink ref="F19" r:id="rId3" xr:uid="{00000000-0004-0000-2500-000002000000}"/>
    <hyperlink ref="G8" r:id="rId4" xr:uid="{00000000-0004-0000-2500-000003000000}"/>
    <hyperlink ref="G19" r:id="rId5" xr:uid="{00000000-0004-0000-2500-000004000000}"/>
    <hyperlink ref="H8" r:id="rId6" xr:uid="{00000000-0004-0000-2500-000005000000}"/>
    <hyperlink ref="H19" r:id="rId7" xr:uid="{00000000-0004-0000-25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52DEF-318D-4710-90A0-584216362342}">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207</v>
      </c>
      <c r="H5" s="57" t="s">
        <v>209</v>
      </c>
    </row>
    <row r="6" spans="1:8" s="2" customFormat="1" ht="45" x14ac:dyDescent="0.25">
      <c r="A6" s="186" t="s">
        <v>67</v>
      </c>
      <c r="B6" s="187"/>
      <c r="C6" s="187"/>
      <c r="D6" s="127">
        <v>4</v>
      </c>
      <c r="E6" s="115" t="s">
        <v>484</v>
      </c>
      <c r="F6" s="115" t="s">
        <v>492</v>
      </c>
      <c r="G6" s="116" t="s">
        <v>448</v>
      </c>
      <c r="H6" s="116" t="s">
        <v>449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12340.08</v>
      </c>
      <c r="H14" s="69">
        <v>12457.31</v>
      </c>
    </row>
    <row r="15" spans="1:8" s="2" customFormat="1" ht="14.25" x14ac:dyDescent="0.25">
      <c r="A15" s="197" t="s">
        <v>6</v>
      </c>
      <c r="B15" s="197"/>
      <c r="C15" s="197"/>
      <c r="D15" s="197"/>
      <c r="E15" s="70">
        <f>E14*12</f>
        <v>65885.16</v>
      </c>
      <c r="F15" s="70">
        <f>F14*12</f>
        <v>97280.52</v>
      </c>
      <c r="G15" s="70">
        <f>G14*12</f>
        <v>148080.95999999999</v>
      </c>
      <c r="H15" s="70">
        <f>H14*12</f>
        <v>149487.72</v>
      </c>
    </row>
    <row r="16" spans="1:8" s="2" customFormat="1" ht="14.25" x14ac:dyDescent="0.25">
      <c r="A16" s="197" t="s">
        <v>7</v>
      </c>
      <c r="B16" s="197"/>
      <c r="C16" s="197"/>
      <c r="D16" s="197"/>
      <c r="E16" s="71" t="s">
        <v>8</v>
      </c>
      <c r="F16" s="71">
        <f>(F15-$E15)/$E15</f>
        <v>0.47651641128290495</v>
      </c>
      <c r="G16" s="71">
        <f>(G15-$E15)/$E15</f>
        <v>1.2475616663904281</v>
      </c>
      <c r="H16" s="71">
        <f>(H15-$E15)/$E15</f>
        <v>1.2689133637984638</v>
      </c>
    </row>
    <row r="17" spans="1:8" s="3" customFormat="1" ht="14.25" x14ac:dyDescent="0.25">
      <c r="A17" s="195" t="s">
        <v>9</v>
      </c>
      <c r="B17" s="195"/>
      <c r="C17" s="195"/>
      <c r="D17" s="195"/>
      <c r="E17" s="72" t="s">
        <v>8</v>
      </c>
      <c r="F17" s="70">
        <f>F15-$E15</f>
        <v>31395.360000000001</v>
      </c>
      <c r="G17" s="70">
        <f>G15-$E15</f>
        <v>82195.799999999988</v>
      </c>
      <c r="H17" s="70">
        <f>H15-$E15</f>
        <v>83602.559999999998</v>
      </c>
    </row>
    <row r="18" spans="1:8" s="3" customFormat="1" ht="14.25" x14ac:dyDescent="0.25">
      <c r="A18" s="195" t="s">
        <v>10</v>
      </c>
      <c r="B18" s="195"/>
      <c r="C18" s="195"/>
      <c r="D18" s="195"/>
      <c r="E18" s="72" t="s">
        <v>8</v>
      </c>
      <c r="F18" s="72">
        <f>F14-$E14</f>
        <v>2616.2799999999997</v>
      </c>
      <c r="G18" s="72">
        <f>G14-$E14</f>
        <v>6849.65</v>
      </c>
      <c r="H18" s="72">
        <f>H14-$E14</f>
        <v>6966.8799999999992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361</v>
      </c>
      <c r="F23" s="77" t="s">
        <v>361</v>
      </c>
      <c r="G23" s="77" t="s">
        <v>319</v>
      </c>
      <c r="H23" s="77" t="s">
        <v>453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423</v>
      </c>
      <c r="H25" s="79" t="s">
        <v>274</v>
      </c>
    </row>
    <row r="26" spans="1:8" s="4" customFormat="1" ht="14.25" x14ac:dyDescent="0.25">
      <c r="A26" s="153" t="s">
        <v>16</v>
      </c>
      <c r="B26" s="154"/>
      <c r="C26" s="154"/>
      <c r="D26" s="155"/>
      <c r="E26" s="81" t="s">
        <v>490</v>
      </c>
      <c r="F26" s="82" t="s">
        <v>490</v>
      </c>
      <c r="G26" s="81" t="s">
        <v>274</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455</v>
      </c>
    </row>
    <row r="29" spans="1:8" s="4" customFormat="1" ht="14.25" x14ac:dyDescent="0.25">
      <c r="A29" s="144" t="s">
        <v>19</v>
      </c>
      <c r="B29" s="145"/>
      <c r="C29" s="145"/>
      <c r="D29" s="146"/>
      <c r="E29" s="84" t="s">
        <v>251</v>
      </c>
      <c r="F29" s="80" t="s">
        <v>251</v>
      </c>
      <c r="G29" s="84" t="s">
        <v>422</v>
      </c>
      <c r="H29" s="84" t="s">
        <v>455</v>
      </c>
    </row>
    <row r="30" spans="1:8" s="4" customFormat="1" ht="14.25" x14ac:dyDescent="0.25">
      <c r="A30" s="153" t="s">
        <v>20</v>
      </c>
      <c r="B30" s="154"/>
      <c r="C30" s="154"/>
      <c r="D30" s="155"/>
      <c r="E30" s="77" t="s">
        <v>488</v>
      </c>
      <c r="F30" s="85" t="s">
        <v>495</v>
      </c>
      <c r="G30" s="81" t="s">
        <v>420</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307</v>
      </c>
      <c r="H32" s="84" t="s">
        <v>307</v>
      </c>
    </row>
    <row r="33" spans="1:8" s="4" customFormat="1" ht="14.25" x14ac:dyDescent="0.25">
      <c r="A33" s="144" t="s">
        <v>23</v>
      </c>
      <c r="B33" s="145"/>
      <c r="C33" s="145"/>
      <c r="D33" s="146"/>
      <c r="E33" s="81" t="s">
        <v>485</v>
      </c>
      <c r="F33" s="88" t="s">
        <v>493</v>
      </c>
      <c r="G33" s="81" t="s">
        <v>418</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421</v>
      </c>
      <c r="H35" s="84" t="s">
        <v>456</v>
      </c>
    </row>
    <row r="36" spans="1:8" s="4" customFormat="1" ht="42.75" x14ac:dyDescent="0.25">
      <c r="A36" s="144" t="s">
        <v>26</v>
      </c>
      <c r="B36" s="145"/>
      <c r="C36" s="145"/>
      <c r="D36" s="146"/>
      <c r="E36" s="77" t="s">
        <v>486</v>
      </c>
      <c r="F36" s="92" t="s">
        <v>494</v>
      </c>
      <c r="G36" s="77" t="s">
        <v>419</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IF("$15"="","None","$15")</f>
        <v>$15</v>
      </c>
      <c r="H45" s="99" t="str">
        <f>IF("$25"="","None","$25")</f>
        <v>$25</v>
      </c>
    </row>
    <row r="46" spans="1:8" s="5" customFormat="1" ht="14.25" x14ac:dyDescent="0.25">
      <c r="A46" s="150" t="s">
        <v>72</v>
      </c>
      <c r="B46" s="151"/>
      <c r="C46" s="151"/>
      <c r="D46" s="152"/>
      <c r="E46" s="99" t="str">
        <f>IF("$60"="","None","$60")</f>
        <v>$60</v>
      </c>
      <c r="F46" s="99" t="str">
        <f>IF("$60"="","None","$60")</f>
        <v>$60</v>
      </c>
      <c r="G46" s="99" t="str">
        <f>IF("$50"="","None","$50")</f>
        <v>$50</v>
      </c>
      <c r="H46" s="99" t="str">
        <f>IF("50%"="","None","50%")</f>
        <v>50%</v>
      </c>
    </row>
    <row r="47" spans="1:8" s="5" customFormat="1" ht="14.25" x14ac:dyDescent="0.25">
      <c r="A47" s="150" t="s">
        <v>73</v>
      </c>
      <c r="B47" s="151"/>
      <c r="C47" s="151"/>
      <c r="D47" s="152"/>
      <c r="E47" s="99" t="str">
        <f>IF("$90"="","None","$90")</f>
        <v>$90</v>
      </c>
      <c r="F47" s="99" t="str">
        <f>IF("$90"="","None","$90")</f>
        <v>$90</v>
      </c>
      <c r="G47" s="99" t="str">
        <f>IF("$300"="","None","$300")</f>
        <v>$300</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425</v>
      </c>
      <c r="H49" s="99" t="s">
        <v>334</v>
      </c>
    </row>
    <row r="50" spans="1:8" s="2" customFormat="1" ht="14.25" x14ac:dyDescent="0.25">
      <c r="A50" s="147" t="s">
        <v>27</v>
      </c>
      <c r="B50" s="148"/>
      <c r="C50" s="148"/>
      <c r="D50" s="149"/>
      <c r="E50" s="99" t="s">
        <v>256</v>
      </c>
      <c r="F50" s="99" t="s">
        <v>256</v>
      </c>
      <c r="G50" s="99" t="s">
        <v>424</v>
      </c>
      <c r="H50" s="99" t="s">
        <v>457</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600-000000000000}"/>
    <hyperlink ref="F8" r:id="rId2" xr:uid="{00000000-0004-0000-2600-000001000000}"/>
    <hyperlink ref="F19" r:id="rId3" xr:uid="{00000000-0004-0000-2600-000002000000}"/>
    <hyperlink ref="G8" r:id="rId4" xr:uid="{00000000-0004-0000-2600-000003000000}"/>
    <hyperlink ref="G19" r:id="rId5" xr:uid="{00000000-0004-0000-2600-000004000000}"/>
    <hyperlink ref="H8" r:id="rId6" xr:uid="{00000000-0004-0000-2600-000005000000}"/>
    <hyperlink ref="H19" r:id="rId7" xr:uid="{00000000-0004-0000-26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86CF-174B-49B0-BF0C-6CAF24865E7F}">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211</v>
      </c>
      <c r="H5" s="57" t="s">
        <v>213</v>
      </c>
    </row>
    <row r="6" spans="1:8" s="2" customFormat="1" ht="45" x14ac:dyDescent="0.25">
      <c r="A6" s="186" t="s">
        <v>67</v>
      </c>
      <c r="B6" s="187"/>
      <c r="C6" s="187"/>
      <c r="D6" s="127">
        <v>4</v>
      </c>
      <c r="E6" s="115" t="s">
        <v>484</v>
      </c>
      <c r="F6" s="115" t="s">
        <v>492</v>
      </c>
      <c r="G6" s="116" t="s">
        <v>458</v>
      </c>
      <c r="H6" s="116" t="s">
        <v>469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13530.72</v>
      </c>
      <c r="H14" s="69">
        <v>13659.17</v>
      </c>
    </row>
    <row r="15" spans="1:8" s="2" customFormat="1" ht="14.25" x14ac:dyDescent="0.25">
      <c r="A15" s="197" t="s">
        <v>6</v>
      </c>
      <c r="B15" s="197"/>
      <c r="C15" s="197"/>
      <c r="D15" s="197"/>
      <c r="E15" s="70">
        <f>E14*12</f>
        <v>65885.16</v>
      </c>
      <c r="F15" s="70">
        <f>F14*12</f>
        <v>97280.52</v>
      </c>
      <c r="G15" s="70">
        <f>G14*12</f>
        <v>162368.63999999998</v>
      </c>
      <c r="H15" s="70">
        <f>H14*12</f>
        <v>163910.04</v>
      </c>
    </row>
    <row r="16" spans="1:8" s="2" customFormat="1" ht="14.25" x14ac:dyDescent="0.25">
      <c r="A16" s="197" t="s">
        <v>7</v>
      </c>
      <c r="B16" s="197"/>
      <c r="C16" s="197"/>
      <c r="D16" s="197"/>
      <c r="E16" s="71" t="s">
        <v>8</v>
      </c>
      <c r="F16" s="71">
        <f>(F15-$E15)/$E15</f>
        <v>0.47651641128290495</v>
      </c>
      <c r="G16" s="71">
        <f>(G15-$E15)/$E15</f>
        <v>1.4644189981476856</v>
      </c>
      <c r="H16" s="71">
        <f>(H15-$E15)/$E15</f>
        <v>1.487814251342791</v>
      </c>
    </row>
    <row r="17" spans="1:8" s="3" customFormat="1" ht="14.25" x14ac:dyDescent="0.25">
      <c r="A17" s="195" t="s">
        <v>9</v>
      </c>
      <c r="B17" s="195"/>
      <c r="C17" s="195"/>
      <c r="D17" s="195"/>
      <c r="E17" s="72" t="s">
        <v>8</v>
      </c>
      <c r="F17" s="70">
        <f>F15-$E15</f>
        <v>31395.360000000001</v>
      </c>
      <c r="G17" s="70">
        <f>G15-$E15</f>
        <v>96483.479999999981</v>
      </c>
      <c r="H17" s="70">
        <f>H15-$E15</f>
        <v>98024.88</v>
      </c>
    </row>
    <row r="18" spans="1:8" s="3" customFormat="1" ht="14.25" x14ac:dyDescent="0.25">
      <c r="A18" s="195" t="s">
        <v>10</v>
      </c>
      <c r="B18" s="195"/>
      <c r="C18" s="195"/>
      <c r="D18" s="195"/>
      <c r="E18" s="72" t="s">
        <v>8</v>
      </c>
      <c r="F18" s="72">
        <f>F14-$E14</f>
        <v>2616.2799999999997</v>
      </c>
      <c r="G18" s="72">
        <f>G14-$E14</f>
        <v>8040.2899999999991</v>
      </c>
      <c r="H18" s="72">
        <f>H14-$E14</f>
        <v>8168.74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461</v>
      </c>
      <c r="H21" s="73" t="s">
        <v>247</v>
      </c>
    </row>
    <row r="22" spans="1:8" s="4" customFormat="1" ht="14.25" x14ac:dyDescent="0.25">
      <c r="A22" s="144" t="s">
        <v>12</v>
      </c>
      <c r="B22" s="145"/>
      <c r="C22" s="145"/>
      <c r="D22" s="146"/>
      <c r="E22" s="74" t="s">
        <v>243</v>
      </c>
      <c r="F22" s="75" t="s">
        <v>243</v>
      </c>
      <c r="G22" s="75" t="s">
        <v>435</v>
      </c>
      <c r="H22" s="75" t="s">
        <v>243</v>
      </c>
    </row>
    <row r="23" spans="1:8" s="4" customFormat="1" ht="28.5" x14ac:dyDescent="0.25">
      <c r="A23" s="153" t="s">
        <v>13</v>
      </c>
      <c r="B23" s="154"/>
      <c r="C23" s="154"/>
      <c r="D23" s="155"/>
      <c r="E23" s="76" t="s">
        <v>361</v>
      </c>
      <c r="F23" s="77" t="s">
        <v>361</v>
      </c>
      <c r="G23" s="77" t="s">
        <v>462</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466</v>
      </c>
      <c r="H25" s="79" t="s">
        <v>411</v>
      </c>
    </row>
    <row r="26" spans="1:8" s="4" customFormat="1" ht="14.25" x14ac:dyDescent="0.25">
      <c r="A26" s="153" t="s">
        <v>16</v>
      </c>
      <c r="B26" s="154"/>
      <c r="C26" s="154"/>
      <c r="D26" s="155"/>
      <c r="E26" s="81" t="s">
        <v>490</v>
      </c>
      <c r="F26" s="82" t="s">
        <v>490</v>
      </c>
      <c r="G26" s="81" t="s">
        <v>467</v>
      </c>
      <c r="H26" s="81" t="s">
        <v>470</v>
      </c>
    </row>
    <row r="27" spans="1:8" s="4" customFormat="1" ht="18" customHeight="1" x14ac:dyDescent="0.25">
      <c r="A27" s="161" t="s">
        <v>17</v>
      </c>
      <c r="B27" s="162"/>
      <c r="C27" s="162"/>
      <c r="D27" s="163"/>
      <c r="E27" s="83"/>
      <c r="F27" s="83"/>
      <c r="G27" s="83"/>
      <c r="H27" s="83"/>
    </row>
    <row r="28" spans="1:8" s="4" customFormat="1" ht="42.75" x14ac:dyDescent="0.25">
      <c r="A28" s="144" t="s">
        <v>18</v>
      </c>
      <c r="B28" s="145"/>
      <c r="C28" s="145"/>
      <c r="D28" s="146"/>
      <c r="E28" s="79" t="s">
        <v>251</v>
      </c>
      <c r="F28" s="80" t="s">
        <v>251</v>
      </c>
      <c r="G28" s="84" t="s">
        <v>464</v>
      </c>
      <c r="H28" s="84" t="s">
        <v>455</v>
      </c>
    </row>
    <row r="29" spans="1:8" s="4" customFormat="1" ht="42.75" x14ac:dyDescent="0.25">
      <c r="A29" s="144" t="s">
        <v>19</v>
      </c>
      <c r="B29" s="145"/>
      <c r="C29" s="145"/>
      <c r="D29" s="146"/>
      <c r="E29" s="84" t="s">
        <v>251</v>
      </c>
      <c r="F29" s="80" t="s">
        <v>251</v>
      </c>
      <c r="G29" s="84" t="s">
        <v>464</v>
      </c>
      <c r="H29" s="84" t="s">
        <v>455</v>
      </c>
    </row>
    <row r="30" spans="1:8" s="4" customFormat="1" ht="42.75" x14ac:dyDescent="0.25">
      <c r="A30" s="153" t="s">
        <v>20</v>
      </c>
      <c r="B30" s="154"/>
      <c r="C30" s="154"/>
      <c r="D30" s="155"/>
      <c r="E30" s="77" t="s">
        <v>488</v>
      </c>
      <c r="F30" s="85" t="s">
        <v>495</v>
      </c>
      <c r="G30" s="81" t="s">
        <v>463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374</v>
      </c>
      <c r="H32" s="84" t="s">
        <v>307</v>
      </c>
    </row>
    <row r="33" spans="1:8" s="4" customFormat="1" ht="14.25" x14ac:dyDescent="0.25">
      <c r="A33" s="144" t="s">
        <v>23</v>
      </c>
      <c r="B33" s="145"/>
      <c r="C33" s="145"/>
      <c r="D33" s="146"/>
      <c r="E33" s="81" t="s">
        <v>485</v>
      </c>
      <c r="F33" s="88" t="s">
        <v>493</v>
      </c>
      <c r="G33" s="81" t="s">
        <v>459</v>
      </c>
      <c r="H33" s="81" t="s">
        <v>451</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489</v>
      </c>
      <c r="F35" s="91" t="s">
        <v>496</v>
      </c>
      <c r="G35" s="84" t="s">
        <v>465</v>
      </c>
      <c r="H35" s="84" t="s">
        <v>456</v>
      </c>
    </row>
    <row r="36" spans="1:8" s="4" customFormat="1" ht="85.5" x14ac:dyDescent="0.25">
      <c r="A36" s="144" t="s">
        <v>26</v>
      </c>
      <c r="B36" s="145"/>
      <c r="C36" s="145"/>
      <c r="D36" s="146"/>
      <c r="E36" s="77" t="s">
        <v>486</v>
      </c>
      <c r="F36" s="92" t="s">
        <v>494</v>
      </c>
      <c r="G36" s="77" t="s">
        <v>460</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450</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487</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IF("$5"="","None","$5")</f>
        <v>$5</v>
      </c>
      <c r="H45" s="99" t="str">
        <f>IF("$25"="","None","$25")</f>
        <v>$25</v>
      </c>
    </row>
    <row r="46" spans="1:8" s="5" customFormat="1" ht="14.25" x14ac:dyDescent="0.25">
      <c r="A46" s="150" t="s">
        <v>72</v>
      </c>
      <c r="B46" s="151"/>
      <c r="C46" s="151"/>
      <c r="D46" s="152"/>
      <c r="E46" s="99" t="str">
        <f>IF("$60"="","None","$60")</f>
        <v>$60</v>
      </c>
      <c r="F46" s="99" t="str">
        <f>IF("$60"="","None","$60")</f>
        <v>$60</v>
      </c>
      <c r="G46" s="99" t="str">
        <f>IF("$15"="","None","$15")</f>
        <v>$15</v>
      </c>
      <c r="H46" s="99" t="str">
        <f>IF("30%"="","None","30%")</f>
        <v>30%</v>
      </c>
    </row>
    <row r="47" spans="1:8" s="5" customFormat="1" ht="14.25" x14ac:dyDescent="0.25">
      <c r="A47" s="150" t="s">
        <v>73</v>
      </c>
      <c r="B47" s="151"/>
      <c r="C47" s="151"/>
      <c r="D47" s="152"/>
      <c r="E47" s="99" t="str">
        <f>IF("$90"="","None","$90")</f>
        <v>$90</v>
      </c>
      <c r="F47" s="99" t="str">
        <f>IF("$90"="","None","$90")</f>
        <v>$90</v>
      </c>
      <c r="G47" s="99" t="str">
        <f>IF("$30"="","None","$30")</f>
        <v>$30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334</v>
      </c>
      <c r="H49" s="99" t="s">
        <v>334</v>
      </c>
    </row>
    <row r="50" spans="1:8" s="2" customFormat="1" ht="14.25" x14ac:dyDescent="0.25">
      <c r="A50" s="147" t="s">
        <v>27</v>
      </c>
      <c r="B50" s="148"/>
      <c r="C50" s="148"/>
      <c r="D50" s="149"/>
      <c r="E50" s="99" t="s">
        <v>256</v>
      </c>
      <c r="F50" s="99" t="s">
        <v>256</v>
      </c>
      <c r="G50" s="99" t="s">
        <v>468</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700-000000000000}"/>
    <hyperlink ref="F8" r:id="rId2" xr:uid="{00000000-0004-0000-2700-000001000000}"/>
    <hyperlink ref="F19" r:id="rId3" xr:uid="{00000000-0004-0000-2700-000002000000}"/>
    <hyperlink ref="G8" r:id="rId4" xr:uid="{00000000-0004-0000-2700-000003000000}"/>
    <hyperlink ref="G19" r:id="rId5" xr:uid="{00000000-0004-0000-2700-000004000000}"/>
    <hyperlink ref="H8" r:id="rId6" xr:uid="{00000000-0004-0000-2700-000005000000}"/>
    <hyperlink ref="H19" r:id="rId7" xr:uid="{00000000-0004-0000-27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5A84-47EC-43C8-B4C8-25FC964303A2}">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215</v>
      </c>
      <c r="H5" s="57" t="s">
        <v>217</v>
      </c>
    </row>
    <row r="6" spans="1:8" s="2" customFormat="1" ht="45" x14ac:dyDescent="0.25">
      <c r="A6" s="186" t="s">
        <v>67</v>
      </c>
      <c r="B6" s="187"/>
      <c r="C6" s="187"/>
      <c r="D6" s="127">
        <v>4</v>
      </c>
      <c r="E6" s="115" t="s">
        <v>484</v>
      </c>
      <c r="F6" s="115" t="s">
        <v>492</v>
      </c>
      <c r="G6" s="116" t="s">
        <v>472</v>
      </c>
      <c r="H6" s="116" t="s">
        <v>482</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2</v>
      </c>
      <c r="E10" s="60">
        <v>746.11</v>
      </c>
      <c r="F10" s="60">
        <v>1090.3599999999999</v>
      </c>
      <c r="G10" s="61"/>
      <c r="H10" s="61"/>
    </row>
    <row r="11" spans="1:8" s="2" customFormat="1" ht="14.25" x14ac:dyDescent="0.25">
      <c r="A11" s="62"/>
      <c r="B11" s="188" t="s">
        <v>4</v>
      </c>
      <c r="C11" s="189"/>
      <c r="D11" s="63">
        <v>1</v>
      </c>
      <c r="E11" s="64">
        <v>1651.05</v>
      </c>
      <c r="F11" s="64">
        <v>2442.8200000000002</v>
      </c>
      <c r="G11" s="64"/>
      <c r="H11" s="64"/>
    </row>
    <row r="12" spans="1:8" s="2" customFormat="1" ht="14.25" x14ac:dyDescent="0.25">
      <c r="A12" s="65"/>
      <c r="B12" s="188" t="s">
        <v>78</v>
      </c>
      <c r="C12" s="189"/>
      <c r="D12" s="63">
        <v>0</v>
      </c>
      <c r="E12" s="64">
        <v>1407.41</v>
      </c>
      <c r="F12" s="64">
        <v>2078.69</v>
      </c>
      <c r="G12" s="64"/>
      <c r="H12" s="64"/>
    </row>
    <row r="13" spans="1:8" s="2" customFormat="1" ht="14.25" x14ac:dyDescent="0.25">
      <c r="A13" s="66"/>
      <c r="B13" s="198" t="s">
        <v>79</v>
      </c>
      <c r="C13" s="199"/>
      <c r="D13" s="56">
        <v>1</v>
      </c>
      <c r="E13" s="67">
        <v>2347.16</v>
      </c>
      <c r="F13" s="67">
        <v>3483.17</v>
      </c>
      <c r="G13" s="68"/>
      <c r="H13" s="68"/>
    </row>
    <row r="14" spans="1:8" s="2" customFormat="1" ht="14.25" x14ac:dyDescent="0.25">
      <c r="A14" s="196" t="s">
        <v>5</v>
      </c>
      <c r="B14" s="196"/>
      <c r="C14" s="196"/>
      <c r="D14" s="196"/>
      <c r="E14" s="69">
        <v>5490.43</v>
      </c>
      <c r="F14" s="69">
        <v>8106.71</v>
      </c>
      <c r="G14" s="69">
        <v>13747.41</v>
      </c>
      <c r="H14" s="69">
        <v>14927.31</v>
      </c>
    </row>
    <row r="15" spans="1:8" s="2" customFormat="1" ht="14.25" x14ac:dyDescent="0.25">
      <c r="A15" s="197" t="s">
        <v>6</v>
      </c>
      <c r="B15" s="197"/>
      <c r="C15" s="197"/>
      <c r="D15" s="197"/>
      <c r="E15" s="70">
        <f>E14*12</f>
        <v>65885.16</v>
      </c>
      <c r="F15" s="70">
        <f>F14*12</f>
        <v>97280.52</v>
      </c>
      <c r="G15" s="70">
        <f>G14*12</f>
        <v>164968.91999999998</v>
      </c>
      <c r="H15" s="70">
        <f>H14*12</f>
        <v>179127.72</v>
      </c>
    </row>
    <row r="16" spans="1:8" s="2" customFormat="1" ht="14.25" x14ac:dyDescent="0.25">
      <c r="A16" s="197" t="s">
        <v>7</v>
      </c>
      <c r="B16" s="197"/>
      <c r="C16" s="197"/>
      <c r="D16" s="197"/>
      <c r="E16" s="71" t="s">
        <v>8</v>
      </c>
      <c r="F16" s="71">
        <f>(F15-$E15)/$E15</f>
        <v>0.47651641128290495</v>
      </c>
      <c r="G16" s="71">
        <f>(G15-$E15)/$E15</f>
        <v>1.5038858522920788</v>
      </c>
      <c r="H16" s="71">
        <f>(H15-$E15)/$E15</f>
        <v>1.7187870531087728</v>
      </c>
    </row>
    <row r="17" spans="1:8" s="3" customFormat="1" ht="14.25" x14ac:dyDescent="0.25">
      <c r="A17" s="195" t="s">
        <v>9</v>
      </c>
      <c r="B17" s="195"/>
      <c r="C17" s="195"/>
      <c r="D17" s="195"/>
      <c r="E17" s="72" t="s">
        <v>8</v>
      </c>
      <c r="F17" s="70">
        <f>F15-$E15</f>
        <v>31395.360000000001</v>
      </c>
      <c r="G17" s="70">
        <f>G15-$E15</f>
        <v>99083.75999999998</v>
      </c>
      <c r="H17" s="70">
        <f>H15-$E15</f>
        <v>113242.56</v>
      </c>
    </row>
    <row r="18" spans="1:8" s="3" customFormat="1" ht="14.25" x14ac:dyDescent="0.25">
      <c r="A18" s="195" t="s">
        <v>10</v>
      </c>
      <c r="B18" s="195"/>
      <c r="C18" s="195"/>
      <c r="D18" s="195"/>
      <c r="E18" s="72" t="s">
        <v>8</v>
      </c>
      <c r="F18" s="72">
        <f>F14-$E14</f>
        <v>2616.2799999999997</v>
      </c>
      <c r="G18" s="72">
        <f>G14-$E14</f>
        <v>8256.98</v>
      </c>
      <c r="H18" s="72">
        <f>H14-$E14</f>
        <v>9436.8799999999992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361</v>
      </c>
      <c r="F23" s="77" t="s">
        <v>361</v>
      </c>
      <c r="G23" s="77" t="s">
        <v>474</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490</v>
      </c>
      <c r="F25" s="80" t="s">
        <v>490</v>
      </c>
      <c r="G25" s="79" t="s">
        <v>479</v>
      </c>
      <c r="H25" s="79" t="s">
        <v>411</v>
      </c>
    </row>
    <row r="26" spans="1:8" s="4" customFormat="1" ht="14.25" x14ac:dyDescent="0.25">
      <c r="A26" s="153" t="s">
        <v>16</v>
      </c>
      <c r="B26" s="154"/>
      <c r="C26" s="154"/>
      <c r="D26" s="155"/>
      <c r="E26" s="81" t="s">
        <v>490</v>
      </c>
      <c r="F26" s="82" t="s">
        <v>490</v>
      </c>
      <c r="G26" s="81" t="s">
        <v>470</v>
      </c>
      <c r="H26" s="81" t="s">
        <v>470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429</v>
      </c>
      <c r="H28" s="84" t="s">
        <v>455</v>
      </c>
    </row>
    <row r="29" spans="1:8" s="4" customFormat="1" ht="14.25" x14ac:dyDescent="0.25">
      <c r="A29" s="144" t="s">
        <v>19</v>
      </c>
      <c r="B29" s="145"/>
      <c r="C29" s="145"/>
      <c r="D29" s="146"/>
      <c r="E29" s="84" t="s">
        <v>251</v>
      </c>
      <c r="F29" s="80" t="s">
        <v>251</v>
      </c>
      <c r="G29" s="84" t="s">
        <v>251</v>
      </c>
      <c r="H29" s="84" t="s">
        <v>455</v>
      </c>
    </row>
    <row r="30" spans="1:8" s="4" customFormat="1" ht="14.25" x14ac:dyDescent="0.25">
      <c r="A30" s="153" t="s">
        <v>20</v>
      </c>
      <c r="B30" s="154"/>
      <c r="C30" s="154"/>
      <c r="D30" s="155"/>
      <c r="E30" s="77" t="s">
        <v>488</v>
      </c>
      <c r="F30" s="85" t="s">
        <v>495</v>
      </c>
      <c r="G30" s="81" t="s">
        <v>423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491</v>
      </c>
      <c r="F32" s="87" t="s">
        <v>491</v>
      </c>
      <c r="G32" s="84" t="s">
        <v>321</v>
      </c>
      <c r="H32" s="84" t="s">
        <v>307</v>
      </c>
    </row>
    <row r="33" spans="1:8" s="4" customFormat="1" ht="14.25" x14ac:dyDescent="0.25">
      <c r="A33" s="144" t="s">
        <v>23</v>
      </c>
      <c r="B33" s="145"/>
      <c r="C33" s="145"/>
      <c r="D33" s="146"/>
      <c r="E33" s="81" t="s">
        <v>485</v>
      </c>
      <c r="F33" s="88" t="s">
        <v>493</v>
      </c>
      <c r="G33" s="81" t="s">
        <v>336</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489</v>
      </c>
      <c r="F35" s="91" t="s">
        <v>496</v>
      </c>
      <c r="G35" s="84" t="s">
        <v>478</v>
      </c>
      <c r="H35" s="84" t="s">
        <v>456</v>
      </c>
    </row>
    <row r="36" spans="1:8" s="4" customFormat="1" ht="42.75" x14ac:dyDescent="0.25">
      <c r="A36" s="144" t="s">
        <v>26</v>
      </c>
      <c r="B36" s="145"/>
      <c r="C36" s="145"/>
      <c r="D36" s="146"/>
      <c r="E36" s="77" t="s">
        <v>486</v>
      </c>
      <c r="F36" s="92" t="s">
        <v>494</v>
      </c>
      <c r="G36" s="77" t="s">
        <v>473</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476</v>
      </c>
      <c r="H40" s="94" t="s">
        <v>261</v>
      </c>
    </row>
    <row r="41" spans="1:8" s="4" customFormat="1" ht="14.25" x14ac:dyDescent="0.25">
      <c r="A41" s="144" t="s">
        <v>12</v>
      </c>
      <c r="B41" s="145"/>
      <c r="C41" s="145"/>
      <c r="D41" s="146"/>
      <c r="E41" s="74" t="s">
        <v>243</v>
      </c>
      <c r="F41" s="95" t="s">
        <v>8</v>
      </c>
      <c r="G41" s="96" t="s">
        <v>475</v>
      </c>
      <c r="H41" s="96" t="s">
        <v>8</v>
      </c>
    </row>
    <row r="42" spans="1:8" s="4" customFormat="1" ht="14.25" x14ac:dyDescent="0.25">
      <c r="A42" s="153" t="s">
        <v>13</v>
      </c>
      <c r="B42" s="154"/>
      <c r="C42" s="154"/>
      <c r="D42" s="155"/>
      <c r="E42" s="77" t="s">
        <v>487</v>
      </c>
      <c r="F42" s="76" t="s">
        <v>261</v>
      </c>
      <c r="G42" s="77" t="s">
        <v>477</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IF("$10"="","None","$10")</f>
        <v>$10</v>
      </c>
      <c r="F45" s="99" t="str">
        <f>IF("$10"="","None","$10")</f>
        <v>$10</v>
      </c>
      <c r="G45" s="99" t="str">
        <f>IF("$5"="","None","$5")</f>
        <v>$5</v>
      </c>
      <c r="H45" s="99" t="str">
        <f>IF("$25"="","None","$25")</f>
        <v>$25</v>
      </c>
    </row>
    <row r="46" spans="1:8" s="5" customFormat="1" ht="14.25" x14ac:dyDescent="0.25">
      <c r="A46" s="150" t="s">
        <v>72</v>
      </c>
      <c r="B46" s="151"/>
      <c r="C46" s="151"/>
      <c r="D46" s="152"/>
      <c r="E46" s="99" t="str">
        <f>IF("$60"="","None","$60")</f>
        <v>$60</v>
      </c>
      <c r="F46" s="99" t="str">
        <f>IF("$60"="","None","$60")</f>
        <v>$60</v>
      </c>
      <c r="G46" s="99" t="str">
        <f>IF("$25"="","None","$25")</f>
        <v>$25</v>
      </c>
      <c r="H46" s="99" t="str">
        <f>IF("30%"="","None","30%")</f>
        <v>30%</v>
      </c>
    </row>
    <row r="47" spans="1:8" s="5" customFormat="1" ht="14.25" x14ac:dyDescent="0.25">
      <c r="A47" s="150" t="s">
        <v>73</v>
      </c>
      <c r="B47" s="151"/>
      <c r="C47" s="151"/>
      <c r="D47" s="152"/>
      <c r="E47" s="99" t="str">
        <f>IF("$90"="","None","$90")</f>
        <v>$90</v>
      </c>
      <c r="F47" s="99" t="str">
        <f>IF("$90"="","None","$90")</f>
        <v>$90</v>
      </c>
      <c r="G47" s="99" t="str">
        <f>IF("$50"="","None","$50")</f>
        <v>$50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257</v>
      </c>
      <c r="F49" s="99" t="s">
        <v>257</v>
      </c>
      <c r="G49" s="99" t="s">
        <v>481</v>
      </c>
      <c r="H49" s="99" t="s">
        <v>334</v>
      </c>
    </row>
    <row r="50" spans="1:8" s="2" customFormat="1" ht="14.25" x14ac:dyDescent="0.25">
      <c r="A50" s="147" t="s">
        <v>27</v>
      </c>
      <c r="B50" s="148"/>
      <c r="C50" s="148"/>
      <c r="D50" s="149"/>
      <c r="E50" s="99" t="s">
        <v>256</v>
      </c>
      <c r="F50" s="99" t="s">
        <v>256</v>
      </c>
      <c r="G50" s="99" t="s">
        <v>480</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800-000000000000}"/>
    <hyperlink ref="F8" r:id="rId2" xr:uid="{00000000-0004-0000-2800-000001000000}"/>
    <hyperlink ref="F19" r:id="rId3" xr:uid="{00000000-0004-0000-2800-000002000000}"/>
    <hyperlink ref="G8" r:id="rId4" xr:uid="{00000000-0004-0000-2800-000003000000}"/>
    <hyperlink ref="G19" r:id="rId5" xr:uid="{00000000-0004-0000-2800-000004000000}"/>
    <hyperlink ref="H8" r:id="rId6" xr:uid="{00000000-0004-0000-2800-000005000000}"/>
    <hyperlink ref="H19" r:id="rId7" xr:uid="{00000000-0004-0000-28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0CC8-72FB-40A4-AA19-09854B5260B4}">
  <sheetPr>
    <pageSetUpPr fitToPage="1"/>
  </sheetPr>
  <dimension ref="A1:G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7" width="32.25" style="1" customWidth="1" collapsed="1"/>
    <col min="8" max="16384" width="9.25" style="1" collapsed="1"/>
  </cols>
  <sheetData>
    <row r="1" spans="1:7" ht="4.9000000000000004" customHeight="1" x14ac:dyDescent="0.25"/>
    <row r="2" spans="1:7" ht="31.15" customHeight="1" x14ac:dyDescent="0.25">
      <c r="A2" s="167" t="str">
        <f>group_name</f>
        <v>Tuckerton Lumber Company</v>
      </c>
      <c r="B2" s="168"/>
      <c r="C2" s="168"/>
      <c r="D2" s="168"/>
      <c r="E2" s="168"/>
      <c r="F2" s="168"/>
      <c r="G2" s="169"/>
    </row>
    <row r="3" spans="1:7" ht="31.15" customHeight="1" x14ac:dyDescent="0.25">
      <c r="A3" s="170" t="s">
        <v>34</v>
      </c>
      <c r="B3" s="171"/>
      <c r="C3" s="171"/>
      <c r="D3" s="171"/>
      <c r="E3" s="171"/>
      <c r="F3" s="171"/>
      <c r="G3" s="172"/>
    </row>
    <row r="4" spans="1:7" s="2" customFormat="1" ht="31.15" customHeight="1" x14ac:dyDescent="0.25">
      <c r="A4" s="173" t="str">
        <f>"Effective Date: "&amp;TEXT(effective_date,"MM/DD/YYYY")</f>
        <v>Effective Date: 06/01/2026</v>
      </c>
      <c r="B4" s="174"/>
      <c r="C4" s="174"/>
      <c r="D4" s="174"/>
      <c r="E4" s="174"/>
      <c r="F4" s="174"/>
      <c r="G4" s="175"/>
    </row>
    <row r="5" spans="1:7" s="2" customFormat="1" ht="14.25" x14ac:dyDescent="0.25">
      <c r="A5" s="180" t="s">
        <v>3</v>
      </c>
      <c r="B5" s="181"/>
      <c r="C5" s="182"/>
      <c r="D5" s="55" t="str">
        <f>TEXT(effective_date,"MM/DD/YYYY")</f>
        <v>06/01/2026</v>
      </c>
      <c r="E5" s="132" t="s">
        <v>1</v>
      </c>
      <c r="F5" s="132" t="s">
        <v>2</v>
      </c>
      <c r="G5" s="57" t="s">
        <v>219</v>
      </c>
    </row>
    <row r="6" spans="1:7" s="2" customFormat="1" ht="45" x14ac:dyDescent="0.25">
      <c r="A6" s="186" t="s">
        <v>67</v>
      </c>
      <c r="B6" s="187"/>
      <c r="C6" s="187"/>
      <c r="D6" s="127">
        <v>4</v>
      </c>
      <c r="E6" s="115" t="s">
        <v>484</v>
      </c>
      <c r="F6" s="115" t="s">
        <v>492</v>
      </c>
      <c r="G6" s="116" t="s">
        <v>483</v>
      </c>
    </row>
    <row r="7" spans="1:7" s="2" customFormat="1" ht="14.25" x14ac:dyDescent="0.25">
      <c r="A7" s="190"/>
      <c r="B7" s="191"/>
      <c r="C7" s="191"/>
      <c r="D7" s="192"/>
      <c r="E7" s="131" t="s">
        <v>242</v>
      </c>
      <c r="F7" s="131" t="s">
        <v>242</v>
      </c>
      <c r="G7" s="131" t="s">
        <v>265</v>
      </c>
    </row>
    <row r="8" spans="1:7" s="2" customFormat="1" x14ac:dyDescent="0.25">
      <c r="A8" s="183"/>
      <c r="B8" s="183"/>
      <c r="C8" s="183"/>
      <c r="D8" s="183"/>
      <c r="E8" s="113"/>
      <c r="F8" s="113" t="s">
        <v>58</v>
      </c>
      <c r="G8" s="113" t="s">
        <v>58</v>
      </c>
    </row>
    <row r="9" spans="1:7" s="2" customFormat="1" ht="14.25" x14ac:dyDescent="0.25">
      <c r="A9" s="184" t="s">
        <v>80</v>
      </c>
      <c r="B9" s="185"/>
      <c r="C9" s="185"/>
      <c r="D9" s="112" t="s">
        <v>76</v>
      </c>
      <c r="E9" s="112"/>
      <c r="F9" s="112"/>
      <c r="G9" s="112"/>
    </row>
    <row r="10" spans="1:7" s="2" customFormat="1" ht="14.25" x14ac:dyDescent="0.25">
      <c r="A10" s="58"/>
      <c r="B10" s="193" t="s">
        <v>77</v>
      </c>
      <c r="C10" s="194"/>
      <c r="D10" s="59">
        <v>2</v>
      </c>
      <c r="E10" s="60">
        <v>746.11</v>
      </c>
      <c r="F10" s="60">
        <v>1090.3599999999999</v>
      </c>
      <c r="G10" s="61"/>
    </row>
    <row r="11" spans="1:7" s="2" customFormat="1" ht="14.25" x14ac:dyDescent="0.25">
      <c r="A11" s="62"/>
      <c r="B11" s="188" t="s">
        <v>4</v>
      </c>
      <c r="C11" s="189"/>
      <c r="D11" s="63">
        <v>1</v>
      </c>
      <c r="E11" s="64">
        <v>1651.05</v>
      </c>
      <c r="F11" s="64">
        <v>2442.8200000000002</v>
      </c>
      <c r="G11" s="64"/>
    </row>
    <row r="12" spans="1:7" s="2" customFormat="1" ht="14.25" x14ac:dyDescent="0.25">
      <c r="A12" s="65"/>
      <c r="B12" s="188" t="s">
        <v>78</v>
      </c>
      <c r="C12" s="189"/>
      <c r="D12" s="63">
        <v>0</v>
      </c>
      <c r="E12" s="64">
        <v>1407.41</v>
      </c>
      <c r="F12" s="64">
        <v>2078.69</v>
      </c>
      <c r="G12" s="64"/>
    </row>
    <row r="13" spans="1:7" s="2" customFormat="1" ht="14.25" x14ac:dyDescent="0.25">
      <c r="A13" s="66"/>
      <c r="B13" s="198" t="s">
        <v>79</v>
      </c>
      <c r="C13" s="199"/>
      <c r="D13" s="56">
        <v>1</v>
      </c>
      <c r="E13" s="67">
        <v>2347.16</v>
      </c>
      <c r="F13" s="67">
        <v>3483.17</v>
      </c>
      <c r="G13" s="68"/>
    </row>
    <row r="14" spans="1:7" s="2" customFormat="1" ht="14.25" x14ac:dyDescent="0.25">
      <c r="A14" s="196" t="s">
        <v>5</v>
      </c>
      <c r="B14" s="196"/>
      <c r="C14" s="196"/>
      <c r="D14" s="196"/>
      <c r="E14" s="69">
        <v>5490.43</v>
      </c>
      <c r="F14" s="69">
        <v>8106.71</v>
      </c>
      <c r="G14" s="69">
        <v>14945.88</v>
      </c>
    </row>
    <row r="15" spans="1:7" s="2" customFormat="1" ht="14.25" x14ac:dyDescent="0.25">
      <c r="A15" s="197" t="s">
        <v>6</v>
      </c>
      <c r="B15" s="197"/>
      <c r="C15" s="197"/>
      <c r="D15" s="197"/>
      <c r="E15" s="70">
        <f>E14*12</f>
        <v>65885.16</v>
      </c>
      <c r="F15" s="70">
        <f>F14*12</f>
        <v>97280.52</v>
      </c>
      <c r="G15" s="70">
        <f>G14*12</f>
        <v>179350.56</v>
      </c>
    </row>
    <row r="16" spans="1:7" s="2" customFormat="1" ht="14.25" x14ac:dyDescent="0.25">
      <c r="A16" s="197" t="s">
        <v>7</v>
      </c>
      <c r="B16" s="197"/>
      <c r="C16" s="197"/>
      <c r="D16" s="197"/>
      <c r="E16" s="71" t="s">
        <v>8</v>
      </c>
      <c r="F16" s="71">
        <f>(F15-$E15)/$E15</f>
        <v>0.47651641128290495</v>
      </c>
      <c r="G16" s="71">
        <f>(G15-$E15)/$E15</f>
        <v>1.72216930185796</v>
      </c>
    </row>
    <row r="17" spans="1:7" s="3" customFormat="1" ht="14.25" x14ac:dyDescent="0.25">
      <c r="A17" s="195" t="s">
        <v>9</v>
      </c>
      <c r="B17" s="195"/>
      <c r="C17" s="195"/>
      <c r="D17" s="195"/>
      <c r="E17" s="72" t="s">
        <v>8</v>
      </c>
      <c r="F17" s="70">
        <f>F15-$E15</f>
        <v>31395.360000000001</v>
      </c>
      <c r="G17" s="70">
        <f>G15-$E15</f>
        <v>113465.4</v>
      </c>
    </row>
    <row r="18" spans="1:7" s="3" customFormat="1" ht="14.25" x14ac:dyDescent="0.25">
      <c r="A18" s="195" t="s">
        <v>10</v>
      </c>
      <c r="B18" s="195"/>
      <c r="C18" s="195"/>
      <c r="D18" s="195"/>
      <c r="E18" s="72" t="s">
        <v>8</v>
      </c>
      <c r="F18" s="72">
        <f>F14-$E14</f>
        <v>2616.2799999999997</v>
      </c>
      <c r="G18" s="72">
        <f>G14-$E14</f>
        <v>9455.4499999999989</v>
      </c>
    </row>
    <row r="19" spans="1:7" s="3" customFormat="1" x14ac:dyDescent="0.25">
      <c r="A19" s="179" t="s">
        <v>30</v>
      </c>
      <c r="B19" s="179"/>
      <c r="C19" s="179"/>
      <c r="D19" s="179"/>
      <c r="E19" s="114" t="s">
        <v>29</v>
      </c>
      <c r="F19" s="114" t="s">
        <v>29</v>
      </c>
      <c r="G19" s="114" t="s">
        <v>29</v>
      </c>
    </row>
    <row r="20" spans="1:7" s="3" customFormat="1" ht="19.899999999999999" customHeight="1" x14ac:dyDescent="0.25">
      <c r="A20" s="159" t="s">
        <v>54</v>
      </c>
      <c r="B20" s="160"/>
      <c r="C20" s="160"/>
      <c r="D20" s="160"/>
      <c r="E20" s="12"/>
      <c r="F20" s="12"/>
      <c r="G20" s="12"/>
    </row>
    <row r="21" spans="1:7" s="3" customFormat="1" ht="14.25" x14ac:dyDescent="0.25">
      <c r="A21" s="156" t="s">
        <v>11</v>
      </c>
      <c r="B21" s="157"/>
      <c r="C21" s="157"/>
      <c r="D21" s="158"/>
      <c r="E21" s="73" t="s">
        <v>247</v>
      </c>
      <c r="F21" s="73" t="s">
        <v>247</v>
      </c>
      <c r="G21" s="73" t="s">
        <v>247</v>
      </c>
    </row>
    <row r="22" spans="1:7" s="4" customFormat="1" ht="14.25" x14ac:dyDescent="0.25">
      <c r="A22" s="144" t="s">
        <v>12</v>
      </c>
      <c r="B22" s="145"/>
      <c r="C22" s="145"/>
      <c r="D22" s="146"/>
      <c r="E22" s="74" t="s">
        <v>243</v>
      </c>
      <c r="F22" s="75" t="s">
        <v>243</v>
      </c>
      <c r="G22" s="75" t="s">
        <v>243</v>
      </c>
    </row>
    <row r="23" spans="1:7" s="4" customFormat="1" ht="14.25" x14ac:dyDescent="0.25">
      <c r="A23" s="153" t="s">
        <v>13</v>
      </c>
      <c r="B23" s="154"/>
      <c r="C23" s="154"/>
      <c r="D23" s="155"/>
      <c r="E23" s="76" t="s">
        <v>361</v>
      </c>
      <c r="F23" s="77" t="s">
        <v>361</v>
      </c>
      <c r="G23" s="77" t="s">
        <v>319</v>
      </c>
    </row>
    <row r="24" spans="1:7" s="4" customFormat="1" ht="18" customHeight="1" x14ac:dyDescent="0.25">
      <c r="A24" s="176" t="s">
        <v>14</v>
      </c>
      <c r="B24" s="177"/>
      <c r="C24" s="177"/>
      <c r="D24" s="178"/>
      <c r="E24" s="78"/>
      <c r="F24" s="78"/>
      <c r="G24" s="78"/>
    </row>
    <row r="25" spans="1:7" s="4" customFormat="1" ht="14.25" x14ac:dyDescent="0.25">
      <c r="A25" s="144" t="s">
        <v>15</v>
      </c>
      <c r="B25" s="145"/>
      <c r="C25" s="145"/>
      <c r="D25" s="146"/>
      <c r="E25" s="79" t="s">
        <v>490</v>
      </c>
      <c r="F25" s="80" t="s">
        <v>490</v>
      </c>
      <c r="G25" s="79" t="s">
        <v>423</v>
      </c>
    </row>
    <row r="26" spans="1:7" s="4" customFormat="1" ht="14.25" x14ac:dyDescent="0.25">
      <c r="A26" s="153" t="s">
        <v>16</v>
      </c>
      <c r="B26" s="154"/>
      <c r="C26" s="154"/>
      <c r="D26" s="155"/>
      <c r="E26" s="81" t="s">
        <v>490</v>
      </c>
      <c r="F26" s="82" t="s">
        <v>490</v>
      </c>
      <c r="G26" s="81" t="s">
        <v>274</v>
      </c>
    </row>
    <row r="27" spans="1:7" s="4" customFormat="1" ht="18" customHeight="1" x14ac:dyDescent="0.25">
      <c r="A27" s="161" t="s">
        <v>17</v>
      </c>
      <c r="B27" s="162"/>
      <c r="C27" s="162"/>
      <c r="D27" s="163"/>
      <c r="E27" s="83"/>
      <c r="F27" s="83"/>
      <c r="G27" s="83"/>
    </row>
    <row r="28" spans="1:7" s="4" customFormat="1" ht="14.25" x14ac:dyDescent="0.25">
      <c r="A28" s="144" t="s">
        <v>18</v>
      </c>
      <c r="B28" s="145"/>
      <c r="C28" s="145"/>
      <c r="D28" s="146"/>
      <c r="E28" s="79" t="s">
        <v>251</v>
      </c>
      <c r="F28" s="80" t="s">
        <v>251</v>
      </c>
      <c r="G28" s="84" t="s">
        <v>251</v>
      </c>
    </row>
    <row r="29" spans="1:7" s="4" customFormat="1" ht="14.25" x14ac:dyDescent="0.25">
      <c r="A29" s="144" t="s">
        <v>19</v>
      </c>
      <c r="B29" s="145"/>
      <c r="C29" s="145"/>
      <c r="D29" s="146"/>
      <c r="E29" s="84" t="s">
        <v>251</v>
      </c>
      <c r="F29" s="80" t="s">
        <v>251</v>
      </c>
      <c r="G29" s="84" t="s">
        <v>422</v>
      </c>
    </row>
    <row r="30" spans="1:7" s="4" customFormat="1" ht="14.25" x14ac:dyDescent="0.25">
      <c r="A30" s="153" t="s">
        <v>20</v>
      </c>
      <c r="B30" s="154"/>
      <c r="C30" s="154"/>
      <c r="D30" s="155"/>
      <c r="E30" s="77" t="s">
        <v>488</v>
      </c>
      <c r="F30" s="85" t="s">
        <v>495</v>
      </c>
      <c r="G30" s="81" t="s">
        <v>420</v>
      </c>
    </row>
    <row r="31" spans="1:7" s="4" customFormat="1" ht="18" customHeight="1" x14ac:dyDescent="0.25">
      <c r="A31" s="161" t="s">
        <v>21</v>
      </c>
      <c r="B31" s="162"/>
      <c r="C31" s="162"/>
      <c r="D31" s="163"/>
      <c r="E31" s="78"/>
      <c r="F31" s="86"/>
      <c r="G31" s="83"/>
    </row>
    <row r="32" spans="1:7" s="4" customFormat="1" ht="14.25" x14ac:dyDescent="0.25">
      <c r="A32" s="144" t="s">
        <v>22</v>
      </c>
      <c r="B32" s="145"/>
      <c r="C32" s="145"/>
      <c r="D32" s="146"/>
      <c r="E32" s="79" t="s">
        <v>491</v>
      </c>
      <c r="F32" s="87" t="s">
        <v>491</v>
      </c>
      <c r="G32" s="84" t="s">
        <v>307</v>
      </c>
    </row>
    <row r="33" spans="1:7" s="4" customFormat="1" ht="14.25" x14ac:dyDescent="0.25">
      <c r="A33" s="144" t="s">
        <v>23</v>
      </c>
      <c r="B33" s="145"/>
      <c r="C33" s="145"/>
      <c r="D33" s="146"/>
      <c r="E33" s="81" t="s">
        <v>485</v>
      </c>
      <c r="F33" s="88" t="s">
        <v>493</v>
      </c>
      <c r="G33" s="81" t="s">
        <v>418</v>
      </c>
    </row>
    <row r="34" spans="1:7" s="4" customFormat="1" ht="18" customHeight="1" x14ac:dyDescent="0.25">
      <c r="A34" s="161" t="s">
        <v>24</v>
      </c>
      <c r="B34" s="162"/>
      <c r="C34" s="162"/>
      <c r="D34" s="163"/>
      <c r="E34" s="83"/>
      <c r="F34" s="89"/>
      <c r="G34" s="78"/>
    </row>
    <row r="35" spans="1:7" s="4" customFormat="1" ht="28.5" x14ac:dyDescent="0.25">
      <c r="A35" s="144" t="s">
        <v>25</v>
      </c>
      <c r="B35" s="145"/>
      <c r="C35" s="145"/>
      <c r="D35" s="146"/>
      <c r="E35" s="90" t="s">
        <v>489</v>
      </c>
      <c r="F35" s="91" t="s">
        <v>496</v>
      </c>
      <c r="G35" s="84" t="s">
        <v>421</v>
      </c>
    </row>
    <row r="36" spans="1:7" s="4" customFormat="1" ht="42.75" x14ac:dyDescent="0.25">
      <c r="A36" s="144" t="s">
        <v>26</v>
      </c>
      <c r="B36" s="145"/>
      <c r="C36" s="145"/>
      <c r="D36" s="146"/>
      <c r="E36" s="77" t="s">
        <v>486</v>
      </c>
      <c r="F36" s="92" t="s">
        <v>494</v>
      </c>
      <c r="G36" s="77" t="s">
        <v>419</v>
      </c>
    </row>
    <row r="37" spans="1:7" s="4" customFormat="1" ht="14.25" x14ac:dyDescent="0.25">
      <c r="A37" s="161" t="s">
        <v>69</v>
      </c>
      <c r="B37" s="162"/>
      <c r="C37" s="162"/>
      <c r="D37" s="163"/>
      <c r="E37" s="83"/>
      <c r="F37" s="83"/>
      <c r="G37" s="83"/>
    </row>
    <row r="38" spans="1:7" s="4" customFormat="1" ht="14.25" x14ac:dyDescent="0.25">
      <c r="A38" s="144" t="s">
        <v>70</v>
      </c>
      <c r="B38" s="145"/>
      <c r="C38" s="145"/>
      <c r="D38" s="146"/>
      <c r="E38" s="77" t="s">
        <v>244</v>
      </c>
      <c r="F38" s="77" t="s">
        <v>244</v>
      </c>
      <c r="G38" s="77" t="s">
        <v>251</v>
      </c>
    </row>
    <row r="39" spans="1:7" s="2" customFormat="1" ht="19.899999999999999" customHeight="1" x14ac:dyDescent="0.25">
      <c r="A39" s="159" t="s">
        <v>53</v>
      </c>
      <c r="B39" s="160"/>
      <c r="C39" s="160"/>
      <c r="D39" s="160"/>
      <c r="E39" s="11"/>
      <c r="F39" s="11"/>
      <c r="G39" s="11"/>
    </row>
    <row r="40" spans="1:7" s="4" customFormat="1" ht="14.25" x14ac:dyDescent="0.25">
      <c r="A40" s="156" t="s">
        <v>11</v>
      </c>
      <c r="B40" s="157"/>
      <c r="C40" s="157"/>
      <c r="D40" s="158"/>
      <c r="E40" s="93" t="s">
        <v>247</v>
      </c>
      <c r="F40" s="93" t="s">
        <v>261</v>
      </c>
      <c r="G40" s="94" t="s">
        <v>261</v>
      </c>
    </row>
    <row r="41" spans="1:7" s="4" customFormat="1" ht="14.25" x14ac:dyDescent="0.25">
      <c r="A41" s="144" t="s">
        <v>12</v>
      </c>
      <c r="B41" s="145"/>
      <c r="C41" s="145"/>
      <c r="D41" s="146"/>
      <c r="E41" s="74" t="s">
        <v>243</v>
      </c>
      <c r="F41" s="95" t="s">
        <v>8</v>
      </c>
      <c r="G41" s="96" t="s">
        <v>8</v>
      </c>
    </row>
    <row r="42" spans="1:7" s="4" customFormat="1" ht="14.25" x14ac:dyDescent="0.25">
      <c r="A42" s="153" t="s">
        <v>13</v>
      </c>
      <c r="B42" s="154"/>
      <c r="C42" s="154"/>
      <c r="D42" s="155"/>
      <c r="E42" s="77" t="s">
        <v>487</v>
      </c>
      <c r="F42" s="76" t="s">
        <v>261</v>
      </c>
      <c r="G42" s="77" t="s">
        <v>261</v>
      </c>
    </row>
    <row r="43" spans="1:7" s="2" customFormat="1" ht="19.899999999999999" customHeight="1" x14ac:dyDescent="0.25">
      <c r="A43" s="159" t="s">
        <v>52</v>
      </c>
      <c r="B43" s="160"/>
      <c r="C43" s="160"/>
      <c r="D43" s="160"/>
      <c r="E43" s="10"/>
      <c r="F43" s="10"/>
      <c r="G43" s="10"/>
    </row>
    <row r="44" spans="1:7" s="5" customFormat="1" ht="14.25" x14ac:dyDescent="0.25">
      <c r="A44" s="164" t="s">
        <v>33</v>
      </c>
      <c r="B44" s="165"/>
      <c r="C44" s="165"/>
      <c r="D44" s="166"/>
      <c r="E44" s="97" t="s">
        <v>255</v>
      </c>
      <c r="F44" s="98" t="s">
        <v>255</v>
      </c>
      <c r="G44" s="97" t="s">
        <v>255</v>
      </c>
    </row>
    <row r="45" spans="1:7" s="5" customFormat="1" ht="14.25" x14ac:dyDescent="0.25">
      <c r="A45" s="150" t="s">
        <v>71</v>
      </c>
      <c r="B45" s="151"/>
      <c r="C45" s="151"/>
      <c r="D45" s="152"/>
      <c r="E45" s="99" t="str">
        <f>IF("$10"="","None","$10")</f>
        <v>$10</v>
      </c>
      <c r="F45" s="99" t="str">
        <f>IF("$10"="","None","$10")</f>
        <v>$10</v>
      </c>
      <c r="G45" s="99" t="str">
        <f>IF("$15"="","None","$15")</f>
        <v>$15</v>
      </c>
    </row>
    <row r="46" spans="1:7" s="5" customFormat="1" ht="14.25" x14ac:dyDescent="0.25">
      <c r="A46" s="150" t="s">
        <v>72</v>
      </c>
      <c r="B46" s="151"/>
      <c r="C46" s="151"/>
      <c r="D46" s="152"/>
      <c r="E46" s="99" t="str">
        <f>IF("$60"="","None","$60")</f>
        <v>$60</v>
      </c>
      <c r="F46" s="99" t="str">
        <f>IF("$60"="","None","$60")</f>
        <v>$60</v>
      </c>
      <c r="G46" s="99" t="str">
        <f>IF("$50"="","None","$50")</f>
        <v>$50</v>
      </c>
    </row>
    <row r="47" spans="1:7" s="5" customFormat="1" ht="14.25" x14ac:dyDescent="0.25">
      <c r="A47" s="150" t="s">
        <v>73</v>
      </c>
      <c r="B47" s="151"/>
      <c r="C47" s="151"/>
      <c r="D47" s="152"/>
      <c r="E47" s="99" t="str">
        <f>IF("$90"="","None","$90")</f>
        <v>$90</v>
      </c>
      <c r="F47" s="99" t="str">
        <f>IF("$90"="","None","$90")</f>
        <v>$90</v>
      </c>
      <c r="G47" s="99" t="str">
        <f>IF("$300"="","None","$300")</f>
        <v>$300</v>
      </c>
    </row>
    <row r="48" spans="1:7" s="5" customFormat="1" ht="14.25" x14ac:dyDescent="0.25">
      <c r="A48" s="150" t="s">
        <v>74</v>
      </c>
      <c r="B48" s="151"/>
      <c r="C48" s="151"/>
      <c r="D48" s="152"/>
      <c r="E48" s="99" t="str">
        <f>IF("None"="","None","None")</f>
        <v>None</v>
      </c>
      <c r="F48" s="99" t="str">
        <f>IF("None"="","None","None")</f>
        <v>None</v>
      </c>
      <c r="G48" s="99" t="str">
        <f>IF("None"="","None","None")</f>
        <v>None</v>
      </c>
    </row>
    <row r="49" spans="1:7" s="5" customFormat="1" ht="14.25" x14ac:dyDescent="0.25">
      <c r="A49" s="147" t="s">
        <v>75</v>
      </c>
      <c r="B49" s="148"/>
      <c r="C49" s="148"/>
      <c r="D49" s="149"/>
      <c r="E49" s="99" t="s">
        <v>257</v>
      </c>
      <c r="F49" s="99" t="s">
        <v>257</v>
      </c>
      <c r="G49" s="99" t="s">
        <v>425</v>
      </c>
    </row>
    <row r="50" spans="1:7" s="2" customFormat="1" ht="14.25" x14ac:dyDescent="0.25">
      <c r="A50" s="147" t="s">
        <v>27</v>
      </c>
      <c r="B50" s="148"/>
      <c r="C50" s="148"/>
      <c r="D50" s="149"/>
      <c r="E50" s="99" t="s">
        <v>256</v>
      </c>
      <c r="F50" s="99" t="s">
        <v>256</v>
      </c>
      <c r="G50" s="99" t="s">
        <v>424</v>
      </c>
    </row>
    <row r="51" spans="1:7" s="2" customFormat="1" ht="55.15" customHeight="1" x14ac:dyDescent="0.25">
      <c r="A51" s="140" t="s">
        <v>31</v>
      </c>
      <c r="B51" s="140"/>
      <c r="C51" s="140"/>
      <c r="D51" s="140"/>
      <c r="E51" s="140"/>
      <c r="F51" s="140"/>
      <c r="G51" s="140"/>
    </row>
  </sheetData>
  <mergeCells count="50">
    <mergeCell ref="A2:G2"/>
    <mergeCell ref="A3:G3"/>
    <mergeCell ref="A4:G4"/>
    <mergeCell ref="A5:C5"/>
    <mergeCell ref="A8:D8"/>
    <mergeCell ref="A6:C6"/>
    <mergeCell ref="B12:C12"/>
    <mergeCell ref="B13:C13"/>
    <mergeCell ref="A7:D7"/>
    <mergeCell ref="A24:D24"/>
    <mergeCell ref="A25:D25"/>
    <mergeCell ref="A19:D19"/>
    <mergeCell ref="A17:D17"/>
    <mergeCell ref="A18:D18"/>
    <mergeCell ref="A14:D14"/>
    <mergeCell ref="A15:D15"/>
    <mergeCell ref="A16:D16"/>
    <mergeCell ref="B10:C10"/>
    <mergeCell ref="B11:C11"/>
    <mergeCell ref="A9:C9"/>
    <mergeCell ref="A45:D45"/>
    <mergeCell ref="A46:D46"/>
    <mergeCell ref="A47:D47"/>
    <mergeCell ref="A39:D39"/>
    <mergeCell ref="A40:D40"/>
    <mergeCell ref="A41:D41"/>
    <mergeCell ref="A42:D42"/>
    <mergeCell ref="A44:D44"/>
    <mergeCell ref="A43:D43"/>
    <mergeCell ref="A30:D30"/>
    <mergeCell ref="A21:D21"/>
    <mergeCell ref="A23:D23"/>
    <mergeCell ref="A20:D20"/>
    <mergeCell ref="A22:D22"/>
    <mergeCell ref="A51:G51"/>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38:D38"/>
  </mergeCells>
  <hyperlinks>
    <hyperlink ref="E19" r:id="rId1" xr:uid="{00000000-0004-0000-2900-000000000000}"/>
    <hyperlink ref="F8" r:id="rId2" xr:uid="{00000000-0004-0000-2900-000001000000}"/>
    <hyperlink ref="F19" r:id="rId3" xr:uid="{00000000-0004-0000-2900-000002000000}"/>
    <hyperlink ref="G8" r:id="rId4" xr:uid="{00000000-0004-0000-2900-000003000000}"/>
    <hyperlink ref="G19" r:id="rId5" xr:uid="{00000000-0004-0000-2900-000004000000}"/>
  </hyperlinks>
  <printOptions horizontalCentered="1"/>
  <pageMargins left="0.25" right="0.25" top="0.25" bottom="0.3" header="0" footer="0.05"/>
  <pageSetup scale="47" orientation="landscape"/>
  <headerFooter>
    <oddFooter>&amp;C&amp;"Tahoma,Regular"Page &amp;P of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732C-6062-4828-B111-729B56664AF6}">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51</v>
      </c>
      <c r="H5" s="57" t="s">
        <v>36</v>
      </c>
    </row>
    <row r="6" spans="1:8" s="2" customFormat="1" ht="60" x14ac:dyDescent="0.25">
      <c r="A6" s="186" t="s">
        <v>67</v>
      </c>
      <c r="B6" s="187"/>
      <c r="C6" s="187"/>
      <c r="D6" s="127">
        <v>10</v>
      </c>
      <c r="E6" s="115" t="s">
        <v>497</v>
      </c>
      <c r="F6" s="115" t="s">
        <v>506</v>
      </c>
      <c r="G6" s="116" t="s">
        <v>264</v>
      </c>
      <c r="H6" s="116" t="s">
        <v>279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6840.58</v>
      </c>
      <c r="H14" s="69">
        <v>7450.85</v>
      </c>
    </row>
    <row r="15" spans="1:8" s="2" customFormat="1" ht="14.25" x14ac:dyDescent="0.25">
      <c r="A15" s="197" t="s">
        <v>6</v>
      </c>
      <c r="B15" s="197"/>
      <c r="C15" s="197"/>
      <c r="D15" s="197"/>
      <c r="E15" s="70">
        <f>E14*12</f>
        <v>127731.72</v>
      </c>
      <c r="F15" s="70">
        <f>F14*12</f>
        <v>191706.72</v>
      </c>
      <c r="G15" s="70">
        <f>G14*12</f>
        <v>82086.959999999992</v>
      </c>
      <c r="H15" s="70">
        <f>H14*12</f>
        <v>89410.200000000012</v>
      </c>
    </row>
    <row r="16" spans="1:8" s="2" customFormat="1" ht="14.25" x14ac:dyDescent="0.25">
      <c r="A16" s="197" t="s">
        <v>7</v>
      </c>
      <c r="B16" s="197"/>
      <c r="C16" s="197"/>
      <c r="D16" s="197"/>
      <c r="E16" s="71" t="s">
        <v>8</v>
      </c>
      <c r="F16" s="71">
        <f>(F15-$E15)/$E15</f>
        <v>0.50085444711775584</v>
      </c>
      <c r="G16" s="71">
        <f>(G15-$E15)/$E15</f>
        <v>-0.35734866797378134</v>
      </c>
      <c r="H16" s="71">
        <f>(H15-$E15)/$E15</f>
        <v>-0.30001568913344306</v>
      </c>
    </row>
    <row r="17" spans="1:8" s="3" customFormat="1" ht="14.25" x14ac:dyDescent="0.25">
      <c r="A17" s="195" t="s">
        <v>9</v>
      </c>
      <c r="B17" s="195"/>
      <c r="C17" s="195"/>
      <c r="D17" s="195"/>
      <c r="E17" s="72" t="s">
        <v>8</v>
      </c>
      <c r="F17" s="70">
        <f>F15-$E15</f>
        <v>63975</v>
      </c>
      <c r="G17" s="70">
        <f>G15-$E15</f>
        <v>-45644.760000000009</v>
      </c>
      <c r="H17" s="70">
        <f>H15-$E15</f>
        <v>-38321.51999999999</v>
      </c>
    </row>
    <row r="18" spans="1:8" s="3" customFormat="1" ht="14.25" x14ac:dyDescent="0.25">
      <c r="A18" s="195" t="s">
        <v>10</v>
      </c>
      <c r="B18" s="195"/>
      <c r="C18" s="195"/>
      <c r="D18" s="195"/>
      <c r="E18" s="72" t="s">
        <v>8</v>
      </c>
      <c r="F18" s="72">
        <f>F14-$E14</f>
        <v>5331.25</v>
      </c>
      <c r="G18" s="72">
        <f>G14-$E14</f>
        <v>-3803.7299999999996</v>
      </c>
      <c r="H18" s="72">
        <f>H14-$E14</f>
        <v>-3193.4599999999991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270</v>
      </c>
      <c r="H21" s="73" t="s">
        <v>270</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270</v>
      </c>
      <c r="F23" s="77" t="s">
        <v>270</v>
      </c>
      <c r="G23" s="77" t="s">
        <v>271</v>
      </c>
      <c r="H23" s="77" t="s">
        <v>271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274</v>
      </c>
      <c r="H25" s="79" t="s">
        <v>274</v>
      </c>
    </row>
    <row r="26" spans="1:8" s="4" customFormat="1" ht="14.25" x14ac:dyDescent="0.25">
      <c r="A26" s="153" t="s">
        <v>16</v>
      </c>
      <c r="B26" s="154"/>
      <c r="C26" s="154"/>
      <c r="D26" s="155"/>
      <c r="E26" s="81" t="s">
        <v>502</v>
      </c>
      <c r="F26" s="82" t="s">
        <v>502</v>
      </c>
      <c r="G26" s="81" t="s">
        <v>275</v>
      </c>
      <c r="H26" s="81" t="s">
        <v>275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500</v>
      </c>
      <c r="F30" s="85" t="s">
        <v>509</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276</v>
      </c>
      <c r="H32" s="84" t="s">
        <v>276</v>
      </c>
    </row>
    <row r="33" spans="1:8" s="4" customFormat="1" ht="14.25" x14ac:dyDescent="0.25">
      <c r="A33" s="144" t="s">
        <v>23</v>
      </c>
      <c r="B33" s="145"/>
      <c r="C33" s="145"/>
      <c r="D33" s="146"/>
      <c r="E33" s="81" t="s">
        <v>485</v>
      </c>
      <c r="F33" s="88" t="s">
        <v>507</v>
      </c>
      <c r="G33" s="81" t="s">
        <v>268</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267</v>
      </c>
      <c r="H35" s="84" t="s">
        <v>267</v>
      </c>
    </row>
    <row r="36" spans="1:8" s="4" customFormat="1" ht="42.75" x14ac:dyDescent="0.25">
      <c r="A36" s="144" t="s">
        <v>26</v>
      </c>
      <c r="B36" s="145"/>
      <c r="C36" s="145"/>
      <c r="D36" s="146"/>
      <c r="E36" s="77" t="s">
        <v>498</v>
      </c>
      <c r="F36" s="92" t="s">
        <v>508</v>
      </c>
      <c r="G36" s="77" t="s">
        <v>269</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IF("$7"="","None","$7")</f>
        <v>$7</v>
      </c>
      <c r="H45" s="99" t="str">
        <f>IF("$7"="","None","$7")</f>
        <v>$7</v>
      </c>
    </row>
    <row r="46" spans="1:8" s="5" customFormat="1" ht="14.25" x14ac:dyDescent="0.25">
      <c r="A46" s="150" t="s">
        <v>72</v>
      </c>
      <c r="B46" s="151"/>
      <c r="C46" s="151"/>
      <c r="D46" s="152"/>
      <c r="E46" s="99" t="str">
        <f>IF("$90"="","None","$90")</f>
        <v>$90</v>
      </c>
      <c r="F46" s="99" t="str">
        <f>IF("$90"="","None","$90")</f>
        <v>$90</v>
      </c>
      <c r="G46" s="99" t="str">
        <f>IF("50% after deductible"="","None","50% after deductible")</f>
        <v>50% after deductible</v>
      </c>
      <c r="H46" s="99" t="str">
        <f>IF("50% after deductible"="","None","50% after deductible")</f>
        <v>50% after deductible</v>
      </c>
    </row>
    <row r="47" spans="1:8" s="5" customFormat="1" ht="14.25" x14ac:dyDescent="0.25">
      <c r="A47" s="150" t="s">
        <v>73</v>
      </c>
      <c r="B47" s="151"/>
      <c r="C47" s="151"/>
      <c r="D47" s="152"/>
      <c r="E47" s="99" t="str">
        <f>IF("$150"="","None","$150")</f>
        <v>$150</v>
      </c>
      <c r="F47" s="99" t="str">
        <f>IF("$150"="","None","$150")</f>
        <v>$150</v>
      </c>
      <c r="G47" s="99" t="str">
        <f>IF("50% after deductible"="","None","50% after deductible")</f>
        <v>50% after deductible</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505</v>
      </c>
      <c r="F49" s="99" t="s">
        <v>505</v>
      </c>
      <c r="G49" s="99" t="s">
        <v>267</v>
      </c>
      <c r="H49" s="99" t="s">
        <v>267</v>
      </c>
    </row>
    <row r="50" spans="1:8" s="2" customFormat="1" ht="28.5" x14ac:dyDescent="0.25">
      <c r="A50" s="147" t="s">
        <v>27</v>
      </c>
      <c r="B50" s="148"/>
      <c r="C50" s="148"/>
      <c r="D50" s="149"/>
      <c r="E50" s="99" t="s">
        <v>504</v>
      </c>
      <c r="F50" s="99" t="s">
        <v>504</v>
      </c>
      <c r="G50" s="99" t="s">
        <v>278</v>
      </c>
      <c r="H50" s="99" t="s">
        <v>278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A00-000000000000}"/>
    <hyperlink ref="F8" r:id="rId2" xr:uid="{00000000-0004-0000-2A00-000001000000}"/>
    <hyperlink ref="F19" r:id="rId3" xr:uid="{00000000-0004-0000-2A00-000002000000}"/>
    <hyperlink ref="G8" r:id="rId4" xr:uid="{00000000-0004-0000-2A00-000003000000}"/>
    <hyperlink ref="G19" r:id="rId5" xr:uid="{00000000-0004-0000-2A00-000004000000}"/>
    <hyperlink ref="H8" r:id="rId6" xr:uid="{00000000-0004-0000-2A00-000005000000}"/>
    <hyperlink ref="H19" r:id="rId7" xr:uid="{00000000-0004-0000-2A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943A-F456-4789-9975-FAFE0D252AE2}">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47</v>
      </c>
      <c r="H5" s="57" t="s">
        <v>48</v>
      </c>
    </row>
    <row r="6" spans="1:8" s="2" customFormat="1" ht="60" x14ac:dyDescent="0.25">
      <c r="A6" s="186" t="s">
        <v>67</v>
      </c>
      <c r="B6" s="187"/>
      <c r="C6" s="187"/>
      <c r="D6" s="127">
        <v>10</v>
      </c>
      <c r="E6" s="115" t="s">
        <v>497</v>
      </c>
      <c r="F6" s="115" t="s">
        <v>506</v>
      </c>
      <c r="G6" s="116" t="s">
        <v>280</v>
      </c>
      <c r="H6" s="116" t="s">
        <v>291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7505.22</v>
      </c>
      <c r="H14" s="69">
        <v>7836.01</v>
      </c>
    </row>
    <row r="15" spans="1:8" s="2" customFormat="1" ht="14.25" x14ac:dyDescent="0.25">
      <c r="A15" s="197" t="s">
        <v>6</v>
      </c>
      <c r="B15" s="197"/>
      <c r="C15" s="197"/>
      <c r="D15" s="197"/>
      <c r="E15" s="70">
        <f>E14*12</f>
        <v>127731.72</v>
      </c>
      <c r="F15" s="70">
        <f>F14*12</f>
        <v>191706.72</v>
      </c>
      <c r="G15" s="70">
        <f>G14*12</f>
        <v>90062.64</v>
      </c>
      <c r="H15" s="70">
        <f>H14*12</f>
        <v>94032.12</v>
      </c>
    </row>
    <row r="16" spans="1:8" s="2" customFormat="1" ht="14.25" x14ac:dyDescent="0.25">
      <c r="A16" s="197" t="s">
        <v>7</v>
      </c>
      <c r="B16" s="197"/>
      <c r="C16" s="197"/>
      <c r="D16" s="197"/>
      <c r="E16" s="71" t="s">
        <v>8</v>
      </c>
      <c r="F16" s="71">
        <f>(F15-$E15)/$E15</f>
        <v>0.50085444711775584</v>
      </c>
      <c r="G16" s="71">
        <f>(G15-$E15)/$E15</f>
        <v>-0.29490779580827692</v>
      </c>
      <c r="H16" s="71">
        <f>(H15-$E15)/$E15</f>
        <v>-0.26383109849299768</v>
      </c>
    </row>
    <row r="17" spans="1:8" s="3" customFormat="1" ht="14.25" x14ac:dyDescent="0.25">
      <c r="A17" s="195" t="s">
        <v>9</v>
      </c>
      <c r="B17" s="195"/>
      <c r="C17" s="195"/>
      <c r="D17" s="195"/>
      <c r="E17" s="72" t="s">
        <v>8</v>
      </c>
      <c r="F17" s="70">
        <f>F15-$E15</f>
        <v>63975</v>
      </c>
      <c r="G17" s="70">
        <f>G15-$E15</f>
        <v>-37669.08</v>
      </c>
      <c r="H17" s="70">
        <f>H15-$E15</f>
        <v>-33699.600000000006</v>
      </c>
    </row>
    <row r="18" spans="1:8" s="3" customFormat="1" ht="14.25" x14ac:dyDescent="0.25">
      <c r="A18" s="195" t="s">
        <v>10</v>
      </c>
      <c r="B18" s="195"/>
      <c r="C18" s="195"/>
      <c r="D18" s="195"/>
      <c r="E18" s="72" t="s">
        <v>8</v>
      </c>
      <c r="F18" s="72">
        <f>F14-$E14</f>
        <v>5331.25</v>
      </c>
      <c r="G18" s="72">
        <f>G14-$E14</f>
        <v>-3139.0899999999992</v>
      </c>
      <c r="H18" s="72">
        <f>H14-$E14</f>
        <v>-2808.2999999999993</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270</v>
      </c>
      <c r="F23" s="77" t="s">
        <v>270</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502</v>
      </c>
      <c r="F25" s="80" t="s">
        <v>502</v>
      </c>
      <c r="G25" s="79" t="s">
        <v>286</v>
      </c>
      <c r="H25" s="79" t="s">
        <v>294</v>
      </c>
    </row>
    <row r="26" spans="1:8" s="4" customFormat="1" ht="28.5" x14ac:dyDescent="0.25">
      <c r="A26" s="153" t="s">
        <v>16</v>
      </c>
      <c r="B26" s="154"/>
      <c r="C26" s="154"/>
      <c r="D26" s="155"/>
      <c r="E26" s="81" t="s">
        <v>502</v>
      </c>
      <c r="F26" s="82" t="s">
        <v>502</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500</v>
      </c>
      <c r="F30" s="85" t="s">
        <v>509</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288</v>
      </c>
      <c r="H32" s="84" t="s">
        <v>267</v>
      </c>
    </row>
    <row r="33" spans="1:8" s="4" customFormat="1" ht="28.5" x14ac:dyDescent="0.25">
      <c r="A33" s="144" t="s">
        <v>23</v>
      </c>
      <c r="B33" s="145"/>
      <c r="C33" s="145"/>
      <c r="D33" s="146"/>
      <c r="E33" s="81" t="s">
        <v>485</v>
      </c>
      <c r="F33" s="88" t="s">
        <v>507</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282</v>
      </c>
      <c r="H35" s="84" t="s">
        <v>267</v>
      </c>
    </row>
    <row r="36" spans="1:8" s="4" customFormat="1" ht="42.75" x14ac:dyDescent="0.25">
      <c r="A36" s="144" t="s">
        <v>26</v>
      </c>
      <c r="B36" s="145"/>
      <c r="C36" s="145"/>
      <c r="D36" s="146"/>
      <c r="E36" s="77" t="s">
        <v>498</v>
      </c>
      <c r="F36" s="92" t="s">
        <v>508</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IF("$90"="","None","$90")</f>
        <v>$90</v>
      </c>
      <c r="F46" s="99" t="str">
        <f>IF("$90"="","None","$90")</f>
        <v>$90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IF("$150"="","None","$150")</f>
        <v>$150</v>
      </c>
      <c r="F47" s="99" t="str">
        <f>IF("$150"="","None","$150")</f>
        <v>$150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505</v>
      </c>
      <c r="F49" s="99" t="s">
        <v>505</v>
      </c>
      <c r="G49" s="99" t="s">
        <v>290</v>
      </c>
      <c r="H49" s="99" t="s">
        <v>297</v>
      </c>
    </row>
    <row r="50" spans="1:8" s="2" customFormat="1" ht="42.75" x14ac:dyDescent="0.25">
      <c r="A50" s="147" t="s">
        <v>27</v>
      </c>
      <c r="B50" s="148"/>
      <c r="C50" s="148"/>
      <c r="D50" s="149"/>
      <c r="E50" s="99" t="s">
        <v>504</v>
      </c>
      <c r="F50" s="99" t="s">
        <v>504</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B00-000000000000}"/>
    <hyperlink ref="F8" r:id="rId2" xr:uid="{00000000-0004-0000-2B00-000001000000}"/>
    <hyperlink ref="F19" r:id="rId3" xr:uid="{00000000-0004-0000-2B00-000002000000}"/>
    <hyperlink ref="G8" r:id="rId4" xr:uid="{00000000-0004-0000-2B00-000003000000}"/>
    <hyperlink ref="G19" r:id="rId5" xr:uid="{00000000-0004-0000-2B00-000004000000}"/>
    <hyperlink ref="H8" r:id="rId6" xr:uid="{00000000-0004-0000-2B00-000005000000}"/>
    <hyperlink ref="H19" r:id="rId7" xr:uid="{00000000-0004-0000-2B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76D3-8E05-484F-BB67-4E06F2C737B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49</v>
      </c>
      <c r="H5" s="57" t="s">
        <v>50</v>
      </c>
    </row>
    <row r="6" spans="1:8" s="2" customFormat="1" ht="60" x14ac:dyDescent="0.25">
      <c r="A6" s="186" t="s">
        <v>67</v>
      </c>
      <c r="B6" s="187"/>
      <c r="C6" s="187"/>
      <c r="D6" s="127">
        <v>10</v>
      </c>
      <c r="E6" s="115" t="s">
        <v>497</v>
      </c>
      <c r="F6" s="115" t="s">
        <v>506</v>
      </c>
      <c r="G6" s="116" t="s">
        <v>298</v>
      </c>
      <c r="H6" s="116" t="s">
        <v>299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8287.01</v>
      </c>
      <c r="H14" s="69">
        <v>8538.2099999999991</v>
      </c>
    </row>
    <row r="15" spans="1:8" s="2" customFormat="1" ht="14.25" x14ac:dyDescent="0.25">
      <c r="A15" s="197" t="s">
        <v>6</v>
      </c>
      <c r="B15" s="197"/>
      <c r="C15" s="197"/>
      <c r="D15" s="197"/>
      <c r="E15" s="70">
        <f>E14*12</f>
        <v>127731.72</v>
      </c>
      <c r="F15" s="70">
        <f>F14*12</f>
        <v>191706.72</v>
      </c>
      <c r="G15" s="70">
        <f>G14*12</f>
        <v>99444.12</v>
      </c>
      <c r="H15" s="70">
        <f>H14*12</f>
        <v>102458.51999999999</v>
      </c>
    </row>
    <row r="16" spans="1:8" s="2" customFormat="1" ht="14.25" x14ac:dyDescent="0.25">
      <c r="A16" s="197" t="s">
        <v>7</v>
      </c>
      <c r="B16" s="197"/>
      <c r="C16" s="197"/>
      <c r="D16" s="197"/>
      <c r="E16" s="71" t="s">
        <v>8</v>
      </c>
      <c r="F16" s="71">
        <f>(F15-$E15)/$E15</f>
        <v>0.50085444711775584</v>
      </c>
      <c r="G16" s="71">
        <f>(G15-$E15)/$E15</f>
        <v>-0.22146104350587315</v>
      </c>
      <c r="H16" s="71">
        <f>(H15-$E15)/$E15</f>
        <v>-0.19786158050639271</v>
      </c>
    </row>
    <row r="17" spans="1:8" s="3" customFormat="1" ht="14.25" x14ac:dyDescent="0.25">
      <c r="A17" s="195" t="s">
        <v>9</v>
      </c>
      <c r="B17" s="195"/>
      <c r="C17" s="195"/>
      <c r="D17" s="195"/>
      <c r="E17" s="72" t="s">
        <v>8</v>
      </c>
      <c r="F17" s="70">
        <f>F15-$E15</f>
        <v>63975</v>
      </c>
      <c r="G17" s="70">
        <f>G15-$E15</f>
        <v>-28287.600000000006</v>
      </c>
      <c r="H17" s="70">
        <f>H15-$E15</f>
        <v>-25273.200000000012</v>
      </c>
    </row>
    <row r="18" spans="1:8" s="3" customFormat="1" ht="14.25" x14ac:dyDescent="0.25">
      <c r="A18" s="195" t="s">
        <v>10</v>
      </c>
      <c r="B18" s="195"/>
      <c r="C18" s="195"/>
      <c r="D18" s="195"/>
      <c r="E18" s="72" t="s">
        <v>8</v>
      </c>
      <c r="F18" s="72">
        <f>F14-$E14</f>
        <v>5331.25</v>
      </c>
      <c r="G18" s="72">
        <f>G14-$E14</f>
        <v>-2357.2999999999993</v>
      </c>
      <c r="H18" s="72">
        <f>H14-$E14</f>
        <v>-2106.1000000000004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292</v>
      </c>
    </row>
    <row r="22" spans="1:8" s="4" customFormat="1" ht="14.25" x14ac:dyDescent="0.25">
      <c r="A22" s="144" t="s">
        <v>12</v>
      </c>
      <c r="B22" s="145"/>
      <c r="C22" s="145"/>
      <c r="D22" s="146"/>
      <c r="E22" s="74" t="s">
        <v>243</v>
      </c>
      <c r="F22" s="75" t="s">
        <v>243</v>
      </c>
      <c r="G22" s="75" t="s">
        <v>281</v>
      </c>
      <c r="H22" s="75" t="s">
        <v>266</v>
      </c>
    </row>
    <row r="23" spans="1:8" s="4" customFormat="1" ht="14.25" x14ac:dyDescent="0.25">
      <c r="A23" s="153" t="s">
        <v>13</v>
      </c>
      <c r="B23" s="154"/>
      <c r="C23" s="154"/>
      <c r="D23" s="155"/>
      <c r="E23" s="76" t="s">
        <v>270</v>
      </c>
      <c r="F23" s="77" t="s">
        <v>270</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502</v>
      </c>
      <c r="F25" s="80" t="s">
        <v>502</v>
      </c>
      <c r="G25" s="79" t="s">
        <v>286</v>
      </c>
      <c r="H25" s="79" t="s">
        <v>294</v>
      </c>
    </row>
    <row r="26" spans="1:8" s="4" customFormat="1" ht="28.5" x14ac:dyDescent="0.25">
      <c r="A26" s="153" t="s">
        <v>16</v>
      </c>
      <c r="B26" s="154"/>
      <c r="C26" s="154"/>
      <c r="D26" s="155"/>
      <c r="E26" s="81" t="s">
        <v>502</v>
      </c>
      <c r="F26" s="82" t="s">
        <v>502</v>
      </c>
      <c r="G26" s="81" t="s">
        <v>287</v>
      </c>
      <c r="H26" s="81" t="s">
        <v>295</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500</v>
      </c>
      <c r="F30" s="85" t="s">
        <v>509</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288</v>
      </c>
      <c r="H32" s="84" t="s">
        <v>267</v>
      </c>
    </row>
    <row r="33" spans="1:8" s="4" customFormat="1" ht="28.5" x14ac:dyDescent="0.25">
      <c r="A33" s="144" t="s">
        <v>23</v>
      </c>
      <c r="B33" s="145"/>
      <c r="C33" s="145"/>
      <c r="D33" s="146"/>
      <c r="E33" s="81" t="s">
        <v>485</v>
      </c>
      <c r="F33" s="88" t="s">
        <v>507</v>
      </c>
      <c r="G33" s="81" t="s">
        <v>282</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282</v>
      </c>
      <c r="H35" s="84" t="s">
        <v>267</v>
      </c>
    </row>
    <row r="36" spans="1:8" s="4" customFormat="1" ht="42.75" x14ac:dyDescent="0.25">
      <c r="A36" s="144" t="s">
        <v>26</v>
      </c>
      <c r="B36" s="145"/>
      <c r="C36" s="145"/>
      <c r="D36" s="146"/>
      <c r="E36" s="77" t="s">
        <v>498</v>
      </c>
      <c r="F36" s="92" t="s">
        <v>508</v>
      </c>
      <c r="G36" s="77" t="s">
        <v>283</v>
      </c>
      <c r="H36" s="77" t="s">
        <v>269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IF("50% after deductible - $125 max"="","None","50% after deductible - $125 max")</f>
        <v>50% after deductible - $125 max</v>
      </c>
      <c r="H45" s="99" t="str">
        <f>IF("$25"="","None","$25")</f>
        <v>$25</v>
      </c>
    </row>
    <row r="46" spans="1:8" s="5" customFormat="1" ht="14.25" x14ac:dyDescent="0.25">
      <c r="A46" s="150" t="s">
        <v>72</v>
      </c>
      <c r="B46" s="151"/>
      <c r="C46" s="151"/>
      <c r="D46" s="152"/>
      <c r="E46" s="99" t="str">
        <f>IF("$90"="","None","$90")</f>
        <v>$90</v>
      </c>
      <c r="F46" s="99" t="str">
        <f>IF("$90"="","None","$90")</f>
        <v>$90</v>
      </c>
      <c r="G46" s="99" t="str">
        <f>IF("50% after deductible - $125 max"="","None","50% after deductible - $125 max")</f>
        <v>50% after deductible - $125 max</v>
      </c>
      <c r="H46" s="99" t="str">
        <f>IF("50% after deductible - $250 max"="","None","50% after deductible - $250 max")</f>
        <v>50% after deductible - $250 max</v>
      </c>
    </row>
    <row r="47" spans="1:8" s="5" customFormat="1" ht="14.25" x14ac:dyDescent="0.25">
      <c r="A47" s="150" t="s">
        <v>73</v>
      </c>
      <c r="B47" s="151"/>
      <c r="C47" s="151"/>
      <c r="D47" s="152"/>
      <c r="E47" s="99" t="str">
        <f>IF("$150"="","None","$150")</f>
        <v>$150</v>
      </c>
      <c r="F47" s="99" t="str">
        <f>IF("$150"="","None","$150")</f>
        <v>$150</v>
      </c>
      <c r="G47" s="99" t="str">
        <f>IF("50% after deductible - $125 max"="","None","50% after deductible - $125 max")</f>
        <v>50% after deductible - $125 max</v>
      </c>
      <c r="H47" s="99" t="str">
        <f>IF("50% after deductible - $250 max"="","None","50% after deductible - $250 max")</f>
        <v>50% after deductible - $250 max</v>
      </c>
    </row>
    <row r="48" spans="1:8" s="5" customFormat="1" ht="14.25" x14ac:dyDescent="0.25">
      <c r="A48" s="150" t="s">
        <v>74</v>
      </c>
      <c r="B48" s="151"/>
      <c r="C48" s="151"/>
      <c r="D48" s="152"/>
      <c r="E48" s="99" t="str">
        <f>IF("None"="","None","None")</f>
        <v>None</v>
      </c>
      <c r="F48" s="99" t="str">
        <f>IF("None"="","None","None")</f>
        <v>None</v>
      </c>
      <c r="G48" s="99" t="str">
        <f>IF("50% after deductible - $125 max"="","None","50% after deductible - $125 max")</f>
        <v>50% after deductible - $125 max</v>
      </c>
      <c r="H48" s="99" t="str">
        <f>IF("None"="","None","None")</f>
        <v>None</v>
      </c>
    </row>
    <row r="49" spans="1:8" s="5" customFormat="1" ht="28.5" x14ac:dyDescent="0.25">
      <c r="A49" s="147" t="s">
        <v>75</v>
      </c>
      <c r="B49" s="148"/>
      <c r="C49" s="148"/>
      <c r="D49" s="149"/>
      <c r="E49" s="99" t="s">
        <v>505</v>
      </c>
      <c r="F49" s="99" t="s">
        <v>505</v>
      </c>
      <c r="G49" s="99" t="s">
        <v>290</v>
      </c>
      <c r="H49" s="99" t="s">
        <v>297</v>
      </c>
    </row>
    <row r="50" spans="1:8" s="2" customFormat="1" ht="42.75" x14ac:dyDescent="0.25">
      <c r="A50" s="147" t="s">
        <v>27</v>
      </c>
      <c r="B50" s="148"/>
      <c r="C50" s="148"/>
      <c r="D50" s="149"/>
      <c r="E50" s="99" t="s">
        <v>504</v>
      </c>
      <c r="F50" s="99" t="s">
        <v>504</v>
      </c>
      <c r="G50" s="99" t="s">
        <v>289</v>
      </c>
      <c r="H50" s="99" t="s">
        <v>296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C00-000000000000}"/>
    <hyperlink ref="F8" r:id="rId2" xr:uid="{00000000-0004-0000-2C00-000001000000}"/>
    <hyperlink ref="F19" r:id="rId3" xr:uid="{00000000-0004-0000-2C00-000002000000}"/>
    <hyperlink ref="G8" r:id="rId4" xr:uid="{00000000-0004-0000-2C00-000003000000}"/>
    <hyperlink ref="G19" r:id="rId5" xr:uid="{00000000-0004-0000-2C00-000004000000}"/>
    <hyperlink ref="H8" r:id="rId6" xr:uid="{00000000-0004-0000-2C00-000005000000}"/>
    <hyperlink ref="H19" r:id="rId7" xr:uid="{00000000-0004-0000-2C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AA1B-8B07-4E91-9E98-AC6533C54711}">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153</v>
      </c>
      <c r="H5" s="57" t="s">
        <v>155</v>
      </c>
    </row>
    <row r="6" spans="1:8" s="2" customFormat="1" ht="60" x14ac:dyDescent="0.25">
      <c r="A6" s="186" t="s">
        <v>67</v>
      </c>
      <c r="B6" s="187"/>
      <c r="C6" s="187"/>
      <c r="D6" s="127">
        <v>10</v>
      </c>
      <c r="E6" s="115" t="s">
        <v>497</v>
      </c>
      <c r="F6" s="115" t="s">
        <v>506</v>
      </c>
      <c r="G6" s="116" t="s">
        <v>300</v>
      </c>
      <c r="H6" s="116" t="s">
        <v>301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8651.9599999999991</v>
      </c>
      <c r="H14" s="69">
        <v>9426.83</v>
      </c>
    </row>
    <row r="15" spans="1:8" s="2" customFormat="1" ht="14.25" x14ac:dyDescent="0.25">
      <c r="A15" s="197" t="s">
        <v>6</v>
      </c>
      <c r="B15" s="197"/>
      <c r="C15" s="197"/>
      <c r="D15" s="197"/>
      <c r="E15" s="70">
        <f>E14*12</f>
        <v>127731.72</v>
      </c>
      <c r="F15" s="70">
        <f>F14*12</f>
        <v>191706.72</v>
      </c>
      <c r="G15" s="70">
        <f>G14*12</f>
        <v>103823.51999999999</v>
      </c>
      <c r="H15" s="70">
        <f>H14*12</f>
        <v>113121.95999999999</v>
      </c>
    </row>
    <row r="16" spans="1:8" s="2" customFormat="1" ht="14.25" x14ac:dyDescent="0.25">
      <c r="A16" s="197" t="s">
        <v>7</v>
      </c>
      <c r="B16" s="197"/>
      <c r="C16" s="197"/>
      <c r="D16" s="197"/>
      <c r="E16" s="71" t="s">
        <v>8</v>
      </c>
      <c r="F16" s="71">
        <f>(F15-$E15)/$E15</f>
        <v>0.50085444711775584</v>
      </c>
      <c r="G16" s="71">
        <f>(G15-$E15)/$E15</f>
        <v>-0.1871751198527665</v>
      </c>
      <c r="H16" s="71">
        <f>(H15-$E15)/$E15</f>
        <v>-0.11437848014573052</v>
      </c>
    </row>
    <row r="17" spans="1:8" s="3" customFormat="1" ht="14.25" x14ac:dyDescent="0.25">
      <c r="A17" s="195" t="s">
        <v>9</v>
      </c>
      <c r="B17" s="195"/>
      <c r="C17" s="195"/>
      <c r="D17" s="195"/>
      <c r="E17" s="72" t="s">
        <v>8</v>
      </c>
      <c r="F17" s="70">
        <f>F15-$E15</f>
        <v>63975</v>
      </c>
      <c r="G17" s="70">
        <f>G15-$E15</f>
        <v>-23908.200000000012</v>
      </c>
      <c r="H17" s="70">
        <f>H15-$E15</f>
        <v>-14609.760000000009</v>
      </c>
    </row>
    <row r="18" spans="1:8" s="3" customFormat="1" ht="14.25" x14ac:dyDescent="0.25">
      <c r="A18" s="195" t="s">
        <v>10</v>
      </c>
      <c r="B18" s="195"/>
      <c r="C18" s="195"/>
      <c r="D18" s="195"/>
      <c r="E18" s="72" t="s">
        <v>8</v>
      </c>
      <c r="F18" s="72">
        <f>F14-$E14</f>
        <v>5331.25</v>
      </c>
      <c r="G18" s="72">
        <f>G14-$E14</f>
        <v>-1992.3500000000004</v>
      </c>
      <c r="H18" s="72">
        <f>H14-$E14</f>
        <v>-1217.4799999999996</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270</v>
      </c>
      <c r="F23" s="77" t="s">
        <v>270</v>
      </c>
      <c r="G23" s="77" t="s">
        <v>285</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267</v>
      </c>
      <c r="H25" s="79" t="s">
        <v>267</v>
      </c>
    </row>
    <row r="26" spans="1:8" s="4" customFormat="1" ht="14.25" x14ac:dyDescent="0.25">
      <c r="A26" s="153" t="s">
        <v>16</v>
      </c>
      <c r="B26" s="154"/>
      <c r="C26" s="154"/>
      <c r="D26" s="155"/>
      <c r="E26" s="81" t="s">
        <v>502</v>
      </c>
      <c r="F26" s="82" t="s">
        <v>502</v>
      </c>
      <c r="G26" s="81" t="s">
        <v>267</v>
      </c>
      <c r="H26" s="81" t="s">
        <v>267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267</v>
      </c>
      <c r="H28" s="84" t="s">
        <v>267</v>
      </c>
    </row>
    <row r="29" spans="1:8" s="4" customFormat="1" ht="14.25" x14ac:dyDescent="0.25">
      <c r="A29" s="144" t="s">
        <v>19</v>
      </c>
      <c r="B29" s="145"/>
      <c r="C29" s="145"/>
      <c r="D29" s="146"/>
      <c r="E29" s="84" t="s">
        <v>251</v>
      </c>
      <c r="F29" s="80" t="s">
        <v>251</v>
      </c>
      <c r="G29" s="84" t="s">
        <v>267</v>
      </c>
      <c r="H29" s="84" t="s">
        <v>267</v>
      </c>
    </row>
    <row r="30" spans="1:8" s="4" customFormat="1" ht="28.5" x14ac:dyDescent="0.25">
      <c r="A30" s="153" t="s">
        <v>20</v>
      </c>
      <c r="B30" s="154"/>
      <c r="C30" s="154"/>
      <c r="D30" s="155"/>
      <c r="E30" s="77" t="s">
        <v>500</v>
      </c>
      <c r="F30" s="85" t="s">
        <v>509</v>
      </c>
      <c r="G30" s="81" t="s">
        <v>272</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267</v>
      </c>
      <c r="H32" s="84" t="s">
        <v>267</v>
      </c>
    </row>
    <row r="33" spans="1:8" s="4" customFormat="1" ht="14.25" x14ac:dyDescent="0.25">
      <c r="A33" s="144" t="s">
        <v>23</v>
      </c>
      <c r="B33" s="145"/>
      <c r="C33" s="145"/>
      <c r="D33" s="146"/>
      <c r="E33" s="81" t="s">
        <v>485</v>
      </c>
      <c r="F33" s="88" t="s">
        <v>507</v>
      </c>
      <c r="G33" s="81" t="s">
        <v>267</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267</v>
      </c>
      <c r="H35" s="84" t="s">
        <v>267</v>
      </c>
    </row>
    <row r="36" spans="1:8" s="4" customFormat="1" ht="28.5" x14ac:dyDescent="0.25">
      <c r="A36" s="144" t="s">
        <v>26</v>
      </c>
      <c r="B36" s="145"/>
      <c r="C36" s="145"/>
      <c r="D36" s="146"/>
      <c r="E36" s="77" t="s">
        <v>498</v>
      </c>
      <c r="F36" s="92" t="s">
        <v>508</v>
      </c>
      <c r="G36" s="77" t="s">
        <v>272</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 t="shared" ref="G45:H48" si="0">IF("50% after deductible - $125 max"="","None","50% after deductible - $125 max")</f>
        <v>50% after deductible - $125 max</v>
      </c>
      <c r="H45" s="99" t="str">
        <f t="shared" si="0"/>
        <v>50% after deductible - $125 max</v>
      </c>
    </row>
    <row r="46" spans="1:8" s="5" customFormat="1" ht="14.25" x14ac:dyDescent="0.25">
      <c r="A46" s="150" t="s">
        <v>72</v>
      </c>
      <c r="B46" s="151"/>
      <c r="C46" s="151"/>
      <c r="D46" s="152"/>
      <c r="E46" s="99" t="str">
        <f>IF("$90"="","None","$90")</f>
        <v>$90</v>
      </c>
      <c r="F46" s="99" t="str">
        <f>IF("$90"="","None","$90")</f>
        <v>$90</v>
      </c>
      <c r="G46" s="99" t="str">
        <f t="shared" si="0"/>
        <v>50% after deductible - $125 max</v>
      </c>
      <c r="H46" s="99" t="str">
        <f t="shared" si="0"/>
        <v>50% after deductible - $125 max</v>
      </c>
    </row>
    <row r="47" spans="1:8" s="5" customFormat="1" ht="14.25" x14ac:dyDescent="0.25">
      <c r="A47" s="150" t="s">
        <v>73</v>
      </c>
      <c r="B47" s="151"/>
      <c r="C47" s="151"/>
      <c r="D47" s="152"/>
      <c r="E47" s="99" t="str">
        <f>IF("$150"="","None","$150")</f>
        <v>$150</v>
      </c>
      <c r="F47" s="99" t="str">
        <f>IF("$150"="","None","$150")</f>
        <v>$150</v>
      </c>
      <c r="G47" s="99" t="str">
        <f t="shared" si="0"/>
        <v>50% after deductible - $125 max</v>
      </c>
      <c r="H47" s="99" t="str">
        <f t="shared" si="0"/>
        <v>50% after deductible - $125 max</v>
      </c>
    </row>
    <row r="48" spans="1:8" s="5" customFormat="1" ht="14.25" x14ac:dyDescent="0.25">
      <c r="A48" s="150" t="s">
        <v>74</v>
      </c>
      <c r="B48" s="151"/>
      <c r="C48" s="151"/>
      <c r="D48" s="152"/>
      <c r="E48" s="99" t="str">
        <f>IF("None"="","None","None")</f>
        <v>None</v>
      </c>
      <c r="F48" s="99" t="str">
        <f>IF("None"="","None","None")</f>
        <v>None</v>
      </c>
      <c r="G48" s="99" t="str">
        <f t="shared" si="0"/>
        <v>50% after deductible - $125 max</v>
      </c>
      <c r="H48" s="99" t="str">
        <f t="shared" si="0"/>
        <v>50% after deductible - $125 max</v>
      </c>
    </row>
    <row r="49" spans="1:8" s="5" customFormat="1" ht="28.5" x14ac:dyDescent="0.25">
      <c r="A49" s="147" t="s">
        <v>75</v>
      </c>
      <c r="B49" s="148"/>
      <c r="C49" s="148"/>
      <c r="D49" s="149"/>
      <c r="E49" s="99" t="s">
        <v>505</v>
      </c>
      <c r="F49" s="99" t="s">
        <v>505</v>
      </c>
      <c r="G49" s="99" t="s">
        <v>290</v>
      </c>
      <c r="H49" s="99" t="s">
        <v>290</v>
      </c>
    </row>
    <row r="50" spans="1:8" s="2" customFormat="1" ht="14.25" x14ac:dyDescent="0.25">
      <c r="A50" s="147" t="s">
        <v>27</v>
      </c>
      <c r="B50" s="148"/>
      <c r="C50" s="148"/>
      <c r="D50" s="149"/>
      <c r="E50" s="99" t="s">
        <v>504</v>
      </c>
      <c r="F50" s="99" t="s">
        <v>504</v>
      </c>
      <c r="G50" s="99" t="s">
        <v>289</v>
      </c>
      <c r="H50" s="99" t="s">
        <v>289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D00-000000000000}"/>
    <hyperlink ref="F8" r:id="rId2" xr:uid="{00000000-0004-0000-2D00-000001000000}"/>
    <hyperlink ref="F19" r:id="rId3" xr:uid="{00000000-0004-0000-2D00-000002000000}"/>
    <hyperlink ref="G8" r:id="rId4" xr:uid="{00000000-0004-0000-2D00-000003000000}"/>
    <hyperlink ref="G19" r:id="rId5" xr:uid="{00000000-0004-0000-2D00-000004000000}"/>
    <hyperlink ref="H8" r:id="rId6" xr:uid="{00000000-0004-0000-2D00-000005000000}"/>
    <hyperlink ref="H19" r:id="rId7" xr:uid="{00000000-0004-0000-2D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E142-CFFB-4C45-BA5D-51B05D84290D}">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157</v>
      </c>
      <c r="H5" s="57" t="s">
        <v>159</v>
      </c>
    </row>
    <row r="6" spans="1:8" s="2" customFormat="1" ht="45" x14ac:dyDescent="0.25">
      <c r="A6" s="186" t="s">
        <v>67</v>
      </c>
      <c r="B6" s="187"/>
      <c r="C6" s="187"/>
      <c r="D6" s="127">
        <v>10</v>
      </c>
      <c r="E6" s="115" t="s">
        <v>497</v>
      </c>
      <c r="F6" s="115" t="s">
        <v>506</v>
      </c>
      <c r="G6" s="116" t="s">
        <v>302</v>
      </c>
      <c r="H6" s="116" t="s">
        <v>309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10617.28</v>
      </c>
      <c r="H14" s="69">
        <v>10990.17</v>
      </c>
    </row>
    <row r="15" spans="1:8" s="2" customFormat="1" ht="14.25" x14ac:dyDescent="0.25">
      <c r="A15" s="197" t="s">
        <v>6</v>
      </c>
      <c r="B15" s="197"/>
      <c r="C15" s="197"/>
      <c r="D15" s="197"/>
      <c r="E15" s="70">
        <f>E14*12</f>
        <v>127731.72</v>
      </c>
      <c r="F15" s="70">
        <f>F14*12</f>
        <v>191706.72</v>
      </c>
      <c r="G15" s="70">
        <f>G14*12</f>
        <v>127407.36000000002</v>
      </c>
      <c r="H15" s="70">
        <f>H14*12</f>
        <v>131882.04</v>
      </c>
    </row>
    <row r="16" spans="1:8" s="2" customFormat="1" ht="14.25" x14ac:dyDescent="0.25">
      <c r="A16" s="197" t="s">
        <v>7</v>
      </c>
      <c r="B16" s="197"/>
      <c r="C16" s="197"/>
      <c r="D16" s="197"/>
      <c r="E16" s="71" t="s">
        <v>8</v>
      </c>
      <c r="F16" s="71">
        <f>(F15-$E15)/$E15</f>
        <v>0.50085444711775584</v>
      </c>
      <c r="G16" s="71">
        <f>(G15-$E15)/$E15</f>
        <v>-2.5393848920220131E-3</v>
      </c>
      <c r="H16" s="71">
        <f>(H15-$E15)/$E15</f>
        <v>3.2492477201434437E-2</v>
      </c>
    </row>
    <row r="17" spans="1:8" s="3" customFormat="1" ht="14.25" x14ac:dyDescent="0.25">
      <c r="A17" s="195" t="s">
        <v>9</v>
      </c>
      <c r="B17" s="195"/>
      <c r="C17" s="195"/>
      <c r="D17" s="195"/>
      <c r="E17" s="72" t="s">
        <v>8</v>
      </c>
      <c r="F17" s="70">
        <f>F15-$E15</f>
        <v>63975</v>
      </c>
      <c r="G17" s="70">
        <f>G15-$E15</f>
        <v>-324.35999999998603</v>
      </c>
      <c r="H17" s="70">
        <f>H15-$E15</f>
        <v>4150.320000000007</v>
      </c>
    </row>
    <row r="18" spans="1:8" s="3" customFormat="1" ht="14.25" x14ac:dyDescent="0.25">
      <c r="A18" s="195" t="s">
        <v>10</v>
      </c>
      <c r="B18" s="195"/>
      <c r="C18" s="195"/>
      <c r="D18" s="195"/>
      <c r="E18" s="72" t="s">
        <v>8</v>
      </c>
      <c r="F18" s="72">
        <f>F14-$E14</f>
        <v>5331.25</v>
      </c>
      <c r="G18" s="72">
        <f>G14-$E14</f>
        <v>-27.029999999998836</v>
      </c>
      <c r="H18" s="72">
        <f>H14-$E14</f>
        <v>345.86000000000058</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284</v>
      </c>
    </row>
    <row r="22" spans="1:8" s="4" customFormat="1" ht="14.25" x14ac:dyDescent="0.25">
      <c r="A22" s="144" t="s">
        <v>12</v>
      </c>
      <c r="B22" s="145"/>
      <c r="C22" s="145"/>
      <c r="D22" s="146"/>
      <c r="E22" s="74" t="s">
        <v>243</v>
      </c>
      <c r="F22" s="75" t="s">
        <v>243</v>
      </c>
      <c r="G22" s="75" t="s">
        <v>266</v>
      </c>
      <c r="H22" s="75" t="s">
        <v>243</v>
      </c>
    </row>
    <row r="23" spans="1:8" s="4" customFormat="1" ht="14.25" x14ac:dyDescent="0.25">
      <c r="A23" s="153" t="s">
        <v>13</v>
      </c>
      <c r="B23" s="154"/>
      <c r="C23" s="154"/>
      <c r="D23" s="155"/>
      <c r="E23" s="76" t="s">
        <v>270</v>
      </c>
      <c r="F23" s="77" t="s">
        <v>270</v>
      </c>
      <c r="G23" s="77" t="s">
        <v>303</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274</v>
      </c>
      <c r="H25" s="79" t="s">
        <v>273</v>
      </c>
    </row>
    <row r="26" spans="1:8" s="4" customFormat="1" ht="14.25" x14ac:dyDescent="0.25">
      <c r="A26" s="153" t="s">
        <v>16</v>
      </c>
      <c r="B26" s="154"/>
      <c r="C26" s="154"/>
      <c r="D26" s="155"/>
      <c r="E26" s="81" t="s">
        <v>502</v>
      </c>
      <c r="F26" s="82" t="s">
        <v>502</v>
      </c>
      <c r="G26" s="81" t="s">
        <v>307</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306</v>
      </c>
      <c r="H29" s="84" t="s">
        <v>273</v>
      </c>
    </row>
    <row r="30" spans="1:8" s="4" customFormat="1" ht="28.5" x14ac:dyDescent="0.25">
      <c r="A30" s="153" t="s">
        <v>20</v>
      </c>
      <c r="B30" s="154"/>
      <c r="C30" s="154"/>
      <c r="D30" s="155"/>
      <c r="E30" s="77" t="s">
        <v>500</v>
      </c>
      <c r="F30" s="85" t="s">
        <v>509</v>
      </c>
      <c r="G30" s="81" t="s">
        <v>304</v>
      </c>
      <c r="H30" s="81" t="s">
        <v>311</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275</v>
      </c>
      <c r="H32" s="84" t="s">
        <v>273</v>
      </c>
    </row>
    <row r="33" spans="1:8" s="4" customFormat="1" ht="14.25" x14ac:dyDescent="0.25">
      <c r="A33" s="144" t="s">
        <v>23</v>
      </c>
      <c r="B33" s="145"/>
      <c r="C33" s="145"/>
      <c r="D33" s="146"/>
      <c r="E33" s="81" t="s">
        <v>485</v>
      </c>
      <c r="F33" s="88" t="s">
        <v>507</v>
      </c>
      <c r="G33" s="81" t="s">
        <v>268</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305</v>
      </c>
      <c r="H35" s="84" t="s">
        <v>312</v>
      </c>
    </row>
    <row r="36" spans="1:8" s="4" customFormat="1" ht="42.75" x14ac:dyDescent="0.25">
      <c r="A36" s="144" t="s">
        <v>26</v>
      </c>
      <c r="B36" s="145"/>
      <c r="C36" s="145"/>
      <c r="D36" s="146"/>
      <c r="E36" s="77" t="s">
        <v>498</v>
      </c>
      <c r="F36" s="92" t="s">
        <v>508</v>
      </c>
      <c r="G36" s="77" t="s">
        <v>272</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IF("$20"="","None","$20")</f>
        <v>$20</v>
      </c>
      <c r="F45" s="99" t="str">
        <f>IF("$20"="","None","$20")</f>
        <v>$20</v>
      </c>
      <c r="G45" s="99" t="str">
        <f>IF("$10"="","None","$10")</f>
        <v>$10</v>
      </c>
      <c r="H45" s="99" t="str">
        <f>IF("$25 after deductible"="","None","$25 after deductible")</f>
        <v>$25 after deductible</v>
      </c>
    </row>
    <row r="46" spans="1:8" s="5" customFormat="1" ht="14.25" x14ac:dyDescent="0.25">
      <c r="A46" s="150" t="s">
        <v>72</v>
      </c>
      <c r="B46" s="151"/>
      <c r="C46" s="151"/>
      <c r="D46" s="152"/>
      <c r="E46" s="99" t="str">
        <f>IF("$90"="","None","$90")</f>
        <v>$90</v>
      </c>
      <c r="F46" s="99" t="str">
        <f>IF("$90"="","None","$90")</f>
        <v>$90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IF("$150"="","None","$150")</f>
        <v>$150</v>
      </c>
      <c r="F47" s="99" t="str">
        <f>IF("$150"="","None","$150")</f>
        <v>$150</v>
      </c>
      <c r="G47" s="99" t="str">
        <f>IF("50%"="","None","50%")</f>
        <v>50%</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266</v>
      </c>
      <c r="H49" s="99" t="s">
        <v>290</v>
      </c>
    </row>
    <row r="50" spans="1:8" s="2" customFormat="1" ht="28.5" x14ac:dyDescent="0.25">
      <c r="A50" s="147" t="s">
        <v>27</v>
      </c>
      <c r="B50" s="148"/>
      <c r="C50" s="148"/>
      <c r="D50" s="149"/>
      <c r="E50" s="99" t="s">
        <v>504</v>
      </c>
      <c r="F50" s="99" t="s">
        <v>504</v>
      </c>
      <c r="G50" s="99" t="s">
        <v>308</v>
      </c>
      <c r="H50" s="99" t="s">
        <v>313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E00-000000000000}"/>
    <hyperlink ref="F8" r:id="rId2" xr:uid="{00000000-0004-0000-2E00-000001000000}"/>
    <hyperlink ref="F19" r:id="rId3" xr:uid="{00000000-0004-0000-2E00-000002000000}"/>
    <hyperlink ref="G8" r:id="rId4" xr:uid="{00000000-0004-0000-2E00-000003000000}"/>
    <hyperlink ref="G19" r:id="rId5" xr:uid="{00000000-0004-0000-2E00-000004000000}"/>
    <hyperlink ref="H8" r:id="rId6" xr:uid="{00000000-0004-0000-2E00-000005000000}"/>
    <hyperlink ref="H19" r:id="rId7" xr:uid="{00000000-0004-0000-2E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AEC88-DFEA-43AB-BCFB-F685D5711A7A}">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161</v>
      </c>
      <c r="H5" s="57" t="s">
        <v>163</v>
      </c>
    </row>
    <row r="6" spans="1:8" s="2" customFormat="1" ht="60" x14ac:dyDescent="0.25">
      <c r="A6" s="186" t="s">
        <v>67</v>
      </c>
      <c r="B6" s="187"/>
      <c r="C6" s="187"/>
      <c r="D6" s="127">
        <v>10</v>
      </c>
      <c r="E6" s="115" t="s">
        <v>497</v>
      </c>
      <c r="F6" s="115" t="s">
        <v>506</v>
      </c>
      <c r="G6" s="116" t="s">
        <v>314</v>
      </c>
      <c r="H6" s="116" t="s">
        <v>323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11394.28</v>
      </c>
      <c r="H14" s="69">
        <v>11568.78</v>
      </c>
    </row>
    <row r="15" spans="1:8" s="2" customFormat="1" ht="14.25" x14ac:dyDescent="0.25">
      <c r="A15" s="197" t="s">
        <v>6</v>
      </c>
      <c r="B15" s="197"/>
      <c r="C15" s="197"/>
      <c r="D15" s="197"/>
      <c r="E15" s="70">
        <f>E14*12</f>
        <v>127731.72</v>
      </c>
      <c r="F15" s="70">
        <f>F14*12</f>
        <v>191706.72</v>
      </c>
      <c r="G15" s="70">
        <f>G14*12</f>
        <v>136731.36000000002</v>
      </c>
      <c r="H15" s="70">
        <f>H14*12</f>
        <v>138825.36000000002</v>
      </c>
    </row>
    <row r="16" spans="1:8" s="2" customFormat="1" ht="14.25" x14ac:dyDescent="0.25">
      <c r="A16" s="197" t="s">
        <v>7</v>
      </c>
      <c r="B16" s="197"/>
      <c r="C16" s="197"/>
      <c r="D16" s="197"/>
      <c r="E16" s="71" t="s">
        <v>8</v>
      </c>
      <c r="F16" s="71">
        <f>(F15-$E15)/$E15</f>
        <v>0.50085444711775584</v>
      </c>
      <c r="G16" s="71">
        <f>(G15-$E15)/$E15</f>
        <v>7.0457361726593948E-2</v>
      </c>
      <c r="H16" s="71">
        <f>(H15-$E15)/$E15</f>
        <v>8.685109697105789E-2</v>
      </c>
    </row>
    <row r="17" spans="1:8" s="3" customFormat="1" ht="14.25" x14ac:dyDescent="0.25">
      <c r="A17" s="195" t="s">
        <v>9</v>
      </c>
      <c r="B17" s="195"/>
      <c r="C17" s="195"/>
      <c r="D17" s="195"/>
      <c r="E17" s="72" t="s">
        <v>8</v>
      </c>
      <c r="F17" s="70">
        <f>F15-$E15</f>
        <v>63975</v>
      </c>
      <c r="G17" s="70">
        <f>G15-$E15</f>
        <v>8999.640000000014</v>
      </c>
      <c r="H17" s="70">
        <f>H15-$E15</f>
        <v>11093.640000000014</v>
      </c>
    </row>
    <row r="18" spans="1:8" s="3" customFormat="1" ht="14.25" x14ac:dyDescent="0.25">
      <c r="A18" s="195" t="s">
        <v>10</v>
      </c>
      <c r="B18" s="195"/>
      <c r="C18" s="195"/>
      <c r="D18" s="195"/>
      <c r="E18" s="72" t="s">
        <v>8</v>
      </c>
      <c r="F18" s="72">
        <f>F14-$E14</f>
        <v>5331.25</v>
      </c>
      <c r="G18" s="72">
        <f>G14-$E14</f>
        <v>749.97000000000116</v>
      </c>
      <c r="H18" s="72">
        <f>H14-$E14</f>
        <v>924.47000000000116</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318</v>
      </c>
      <c r="H21" s="73" t="s">
        <v>284</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270</v>
      </c>
      <c r="F23" s="77" t="s">
        <v>270</v>
      </c>
      <c r="G23" s="77" t="s">
        <v>319</v>
      </c>
      <c r="H23" s="77" t="s">
        <v>303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321</v>
      </c>
      <c r="H25" s="79" t="s">
        <v>274</v>
      </c>
    </row>
    <row r="26" spans="1:8" s="4" customFormat="1" ht="14.25" x14ac:dyDescent="0.25">
      <c r="A26" s="153" t="s">
        <v>16</v>
      </c>
      <c r="B26" s="154"/>
      <c r="C26" s="154"/>
      <c r="D26" s="155"/>
      <c r="E26" s="81" t="s">
        <v>502</v>
      </c>
      <c r="F26" s="82" t="s">
        <v>502</v>
      </c>
      <c r="G26" s="81" t="s">
        <v>307</v>
      </c>
      <c r="H26" s="81" t="s">
        <v>307</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251</v>
      </c>
    </row>
    <row r="29" spans="1:8" s="4" customFormat="1" ht="14.25" x14ac:dyDescent="0.25">
      <c r="A29" s="144" t="s">
        <v>19</v>
      </c>
      <c r="B29" s="145"/>
      <c r="C29" s="145"/>
      <c r="D29" s="146"/>
      <c r="E29" s="84" t="s">
        <v>251</v>
      </c>
      <c r="F29" s="80" t="s">
        <v>251</v>
      </c>
      <c r="G29" s="84" t="s">
        <v>267</v>
      </c>
      <c r="H29" s="84" t="s">
        <v>306</v>
      </c>
    </row>
    <row r="30" spans="1:8" s="4" customFormat="1" ht="28.5" x14ac:dyDescent="0.25">
      <c r="A30" s="153" t="s">
        <v>20</v>
      </c>
      <c r="B30" s="154"/>
      <c r="C30" s="154"/>
      <c r="D30" s="155"/>
      <c r="E30" s="77" t="s">
        <v>500</v>
      </c>
      <c r="F30" s="85" t="s">
        <v>509</v>
      </c>
      <c r="G30" s="81" t="s">
        <v>272</v>
      </c>
      <c r="H30" s="81" t="s">
        <v>304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275</v>
      </c>
      <c r="H32" s="84" t="s">
        <v>275</v>
      </c>
    </row>
    <row r="33" spans="1:8" s="4" customFormat="1" ht="28.5" x14ac:dyDescent="0.25">
      <c r="A33" s="144" t="s">
        <v>23</v>
      </c>
      <c r="B33" s="145"/>
      <c r="C33" s="145"/>
      <c r="D33" s="146"/>
      <c r="E33" s="81" t="s">
        <v>485</v>
      </c>
      <c r="F33" s="88" t="s">
        <v>507</v>
      </c>
      <c r="G33" s="81" t="s">
        <v>316</v>
      </c>
      <c r="H33" s="81" t="s">
        <v>268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320</v>
      </c>
      <c r="H35" s="84" t="s">
        <v>305</v>
      </c>
    </row>
    <row r="36" spans="1:8" s="4" customFormat="1" ht="42.75" x14ac:dyDescent="0.25">
      <c r="A36" s="144" t="s">
        <v>26</v>
      </c>
      <c r="B36" s="145"/>
      <c r="C36" s="145"/>
      <c r="D36" s="146"/>
      <c r="E36" s="77" t="s">
        <v>498</v>
      </c>
      <c r="F36" s="92" t="s">
        <v>508</v>
      </c>
      <c r="G36" s="77" t="s">
        <v>317</v>
      </c>
      <c r="H36" s="77" t="s">
        <v>272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255</v>
      </c>
    </row>
    <row r="45" spans="1:8" s="5" customFormat="1" ht="14.25" x14ac:dyDescent="0.25">
      <c r="A45" s="150" t="s">
        <v>71</v>
      </c>
      <c r="B45" s="151"/>
      <c r="C45" s="151"/>
      <c r="D45" s="152"/>
      <c r="E45" s="99" t="str">
        <f>IF("$20"="","None","$20")</f>
        <v>$20</v>
      </c>
      <c r="F45" s="99" t="str">
        <f>IF("$20"="","None","$20")</f>
        <v>$20</v>
      </c>
      <c r="G45" s="99" t="str">
        <f>IF("$20"="","None","$20")</f>
        <v>$20</v>
      </c>
      <c r="H45" s="99" t="str">
        <f>IF("$10"="","None","$10")</f>
        <v>$10</v>
      </c>
    </row>
    <row r="46" spans="1:8" s="5" customFormat="1" ht="14.25" x14ac:dyDescent="0.25">
      <c r="A46" s="150" t="s">
        <v>72</v>
      </c>
      <c r="B46" s="151"/>
      <c r="C46" s="151"/>
      <c r="D46" s="152"/>
      <c r="E46" s="99" t="str">
        <f>IF("$90"="","None","$90")</f>
        <v>$90</v>
      </c>
      <c r="F46" s="99" t="str">
        <f>IF("$90"="","None","$90")</f>
        <v>$90</v>
      </c>
      <c r="G46" s="99" t="str">
        <f>IF("50% after deductible - $125 max"="","None","50% after deductible - $125 max")</f>
        <v>50% after deductible - $125 max</v>
      </c>
      <c r="H46" s="99" t="str">
        <f>IF("50%"="","None","50%")</f>
        <v>50%</v>
      </c>
    </row>
    <row r="47" spans="1:8" s="5" customFormat="1" ht="14.25" x14ac:dyDescent="0.25">
      <c r="A47" s="150" t="s">
        <v>73</v>
      </c>
      <c r="B47" s="151"/>
      <c r="C47" s="151"/>
      <c r="D47" s="152"/>
      <c r="E47" s="99" t="str">
        <f>IF("$150"="","None","$150")</f>
        <v>$150</v>
      </c>
      <c r="F47" s="99" t="str">
        <f>IF("$150"="","None","$150")</f>
        <v>$150</v>
      </c>
      <c r="G47" s="99" t="str">
        <f>IF("50% after deductible - $125 max"="","None","50% after deductible - $125 max")</f>
        <v>50% after deductible - $125 max</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290</v>
      </c>
      <c r="H49" s="99" t="s">
        <v>266</v>
      </c>
    </row>
    <row r="50" spans="1:8" s="2" customFormat="1" ht="42.75" x14ac:dyDescent="0.25">
      <c r="A50" s="147" t="s">
        <v>27</v>
      </c>
      <c r="B50" s="148"/>
      <c r="C50" s="148"/>
      <c r="D50" s="149"/>
      <c r="E50" s="99" t="s">
        <v>504</v>
      </c>
      <c r="F50" s="99" t="s">
        <v>504</v>
      </c>
      <c r="G50" s="99" t="s">
        <v>322</v>
      </c>
      <c r="H50" s="99" t="s">
        <v>308</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2F00-000000000000}"/>
    <hyperlink ref="F8" r:id="rId2" xr:uid="{00000000-0004-0000-2F00-000001000000}"/>
    <hyperlink ref="F19" r:id="rId3" xr:uid="{00000000-0004-0000-2F00-000002000000}"/>
    <hyperlink ref="G8" r:id="rId4" xr:uid="{00000000-0004-0000-2F00-000003000000}"/>
    <hyperlink ref="G19" r:id="rId5" xr:uid="{00000000-0004-0000-2F00-000004000000}"/>
    <hyperlink ref="H8" r:id="rId6" xr:uid="{00000000-0004-0000-2F00-000005000000}"/>
    <hyperlink ref="H19" r:id="rId7" xr:uid="{00000000-0004-0000-2F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93A7-2C14-4446-A5F7-471CC7C7665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165</v>
      </c>
      <c r="H5" s="57" t="s">
        <v>168</v>
      </c>
    </row>
    <row r="6" spans="1:8" s="2" customFormat="1" ht="60" x14ac:dyDescent="0.25">
      <c r="A6" s="186" t="s">
        <v>67</v>
      </c>
      <c r="B6" s="187"/>
      <c r="C6" s="187"/>
      <c r="D6" s="127">
        <v>10</v>
      </c>
      <c r="E6" s="115" t="s">
        <v>497</v>
      </c>
      <c r="F6" s="115" t="s">
        <v>506</v>
      </c>
      <c r="G6" s="116" t="s">
        <v>324</v>
      </c>
      <c r="H6" s="116" t="s">
        <v>325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11974.72</v>
      </c>
      <c r="H14" s="69">
        <v>13700.57</v>
      </c>
    </row>
    <row r="15" spans="1:8" s="2" customFormat="1" ht="14.25" x14ac:dyDescent="0.25">
      <c r="A15" s="197" t="s">
        <v>6</v>
      </c>
      <c r="B15" s="197"/>
      <c r="C15" s="197"/>
      <c r="D15" s="197"/>
      <c r="E15" s="70">
        <f>E14*12</f>
        <v>127731.72</v>
      </c>
      <c r="F15" s="70">
        <f>F14*12</f>
        <v>191706.72</v>
      </c>
      <c r="G15" s="70">
        <f>G14*12</f>
        <v>143696.63999999998</v>
      </c>
      <c r="H15" s="70">
        <f>H14*12</f>
        <v>164406.84</v>
      </c>
    </row>
    <row r="16" spans="1:8" s="2" customFormat="1" ht="14.25" x14ac:dyDescent="0.25">
      <c r="A16" s="197" t="s">
        <v>7</v>
      </c>
      <c r="B16" s="197"/>
      <c r="C16" s="197"/>
      <c r="D16" s="197"/>
      <c r="E16" s="71" t="s">
        <v>8</v>
      </c>
      <c r="F16" s="71">
        <f>(F15-$E15)/$E15</f>
        <v>0.50085444711775584</v>
      </c>
      <c r="G16" s="71">
        <f>(G15-$E15)/$E15</f>
        <v>0.12498790433574357</v>
      </c>
      <c r="H16" s="71">
        <f>(H15-$E15)/$E15</f>
        <v>0.28712617351430009</v>
      </c>
    </row>
    <row r="17" spans="1:8" s="3" customFormat="1" ht="14.25" x14ac:dyDescent="0.25">
      <c r="A17" s="195" t="s">
        <v>9</v>
      </c>
      <c r="B17" s="195"/>
      <c r="C17" s="195"/>
      <c r="D17" s="195"/>
      <c r="E17" s="72" t="s">
        <v>8</v>
      </c>
      <c r="F17" s="70">
        <f>F15-$E15</f>
        <v>63975</v>
      </c>
      <c r="G17" s="70">
        <f>G15-$E15</f>
        <v>15964.919999999984</v>
      </c>
      <c r="H17" s="70">
        <f>H15-$E15</f>
        <v>36675.119999999995</v>
      </c>
    </row>
    <row r="18" spans="1:8" s="3" customFormat="1" ht="14.25" x14ac:dyDescent="0.25">
      <c r="A18" s="195" t="s">
        <v>10</v>
      </c>
      <c r="B18" s="195"/>
      <c r="C18" s="195"/>
      <c r="D18" s="195"/>
      <c r="E18" s="72" t="s">
        <v>8</v>
      </c>
      <c r="F18" s="72">
        <f>F14-$E14</f>
        <v>5331.25</v>
      </c>
      <c r="G18" s="72">
        <f>G14-$E14</f>
        <v>1330.4099999999999</v>
      </c>
      <c r="H18" s="72">
        <f>H14-$E14</f>
        <v>3056.26</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284</v>
      </c>
      <c r="H21" s="73" t="s">
        <v>328</v>
      </c>
    </row>
    <row r="22" spans="1:8" s="4" customFormat="1" ht="14.25" x14ac:dyDescent="0.25">
      <c r="A22" s="144" t="s">
        <v>12</v>
      </c>
      <c r="B22" s="145"/>
      <c r="C22" s="145"/>
      <c r="D22" s="146"/>
      <c r="E22" s="74" t="s">
        <v>243</v>
      </c>
      <c r="F22" s="75" t="s">
        <v>243</v>
      </c>
      <c r="G22" s="75" t="s">
        <v>243</v>
      </c>
      <c r="H22" s="75" t="s">
        <v>266</v>
      </c>
    </row>
    <row r="23" spans="1:8" s="4" customFormat="1" ht="14.25" x14ac:dyDescent="0.25">
      <c r="A23" s="153" t="s">
        <v>13</v>
      </c>
      <c r="B23" s="154"/>
      <c r="C23" s="154"/>
      <c r="D23" s="155"/>
      <c r="E23" s="76" t="s">
        <v>270</v>
      </c>
      <c r="F23" s="77" t="s">
        <v>270</v>
      </c>
      <c r="G23" s="77" t="s">
        <v>285</v>
      </c>
      <c r="H23" s="77" t="s">
        <v>293</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502</v>
      </c>
      <c r="F25" s="80" t="s">
        <v>502</v>
      </c>
      <c r="G25" s="79" t="s">
        <v>273</v>
      </c>
      <c r="H25" s="79" t="s">
        <v>331</v>
      </c>
    </row>
    <row r="26" spans="1:8" s="4" customFormat="1" ht="28.5" x14ac:dyDescent="0.25">
      <c r="A26" s="153" t="s">
        <v>16</v>
      </c>
      <c r="B26" s="154"/>
      <c r="C26" s="154"/>
      <c r="D26" s="155"/>
      <c r="E26" s="81" t="s">
        <v>502</v>
      </c>
      <c r="F26" s="82" t="s">
        <v>502</v>
      </c>
      <c r="G26" s="81" t="s">
        <v>273</v>
      </c>
      <c r="H26" s="81" t="s">
        <v>332</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273</v>
      </c>
      <c r="H28" s="84" t="s">
        <v>329</v>
      </c>
    </row>
    <row r="29" spans="1:8" s="4" customFormat="1" ht="28.5" x14ac:dyDescent="0.25">
      <c r="A29" s="144" t="s">
        <v>19</v>
      </c>
      <c r="B29" s="145"/>
      <c r="C29" s="145"/>
      <c r="D29" s="146"/>
      <c r="E29" s="84" t="s">
        <v>251</v>
      </c>
      <c r="F29" s="80" t="s">
        <v>251</v>
      </c>
      <c r="G29" s="84" t="s">
        <v>273</v>
      </c>
      <c r="H29" s="84" t="s">
        <v>329</v>
      </c>
    </row>
    <row r="30" spans="1:8" s="4" customFormat="1" ht="28.5" x14ac:dyDescent="0.25">
      <c r="A30" s="153" t="s">
        <v>20</v>
      </c>
      <c r="B30" s="154"/>
      <c r="C30" s="154"/>
      <c r="D30" s="155"/>
      <c r="E30" s="77" t="s">
        <v>500</v>
      </c>
      <c r="F30" s="85" t="s">
        <v>509</v>
      </c>
      <c r="G30" s="81" t="s">
        <v>311</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503</v>
      </c>
      <c r="F32" s="87" t="s">
        <v>503</v>
      </c>
      <c r="G32" s="84" t="s">
        <v>273</v>
      </c>
      <c r="H32" s="84" t="s">
        <v>332</v>
      </c>
    </row>
    <row r="33" spans="1:8" s="4" customFormat="1" ht="28.5" x14ac:dyDescent="0.25">
      <c r="A33" s="144" t="s">
        <v>23</v>
      </c>
      <c r="B33" s="145"/>
      <c r="C33" s="145"/>
      <c r="D33" s="146"/>
      <c r="E33" s="81" t="s">
        <v>485</v>
      </c>
      <c r="F33" s="88" t="s">
        <v>507</v>
      </c>
      <c r="G33" s="81" t="s">
        <v>267</v>
      </c>
      <c r="H33" s="81" t="s">
        <v>326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501</v>
      </c>
      <c r="F35" s="91" t="s">
        <v>510</v>
      </c>
      <c r="G35" s="84" t="s">
        <v>312</v>
      </c>
      <c r="H35" s="84" t="s">
        <v>330</v>
      </c>
    </row>
    <row r="36" spans="1:8" s="4" customFormat="1" ht="42.75" x14ac:dyDescent="0.25">
      <c r="A36" s="144" t="s">
        <v>26</v>
      </c>
      <c r="B36" s="145"/>
      <c r="C36" s="145"/>
      <c r="D36" s="146"/>
      <c r="E36" s="77" t="s">
        <v>498</v>
      </c>
      <c r="F36" s="92" t="s">
        <v>508</v>
      </c>
      <c r="G36" s="77" t="s">
        <v>310</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273</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IF("$25 after deductible"="","None","$25 after deductible")</f>
        <v>$25 after deductible</v>
      </c>
      <c r="H45" s="99" t="str">
        <f>IF("$25"="","None","$25")</f>
        <v>$25</v>
      </c>
    </row>
    <row r="46" spans="1:8" s="5" customFormat="1" ht="14.25" x14ac:dyDescent="0.25">
      <c r="A46" s="150" t="s">
        <v>72</v>
      </c>
      <c r="B46" s="151"/>
      <c r="C46" s="151"/>
      <c r="D46" s="152"/>
      <c r="E46" s="99" t="str">
        <f>IF("$90"="","None","$90")</f>
        <v>$90</v>
      </c>
      <c r="F46" s="99" t="str">
        <f>IF("$90"="","None","$90")</f>
        <v>$90</v>
      </c>
      <c r="G46" s="99" t="str">
        <f>IF("50% after deductible - $125 max"="","None","50% after deductible - $125 max")</f>
        <v>50% after deductible - $125 max</v>
      </c>
      <c r="H46" s="99" t="str">
        <f>IF("50% after deductible"="","None","50% after deductible")</f>
        <v>50% after deductible</v>
      </c>
    </row>
    <row r="47" spans="1:8" s="5" customFormat="1" ht="14.25" x14ac:dyDescent="0.25">
      <c r="A47" s="150" t="s">
        <v>73</v>
      </c>
      <c r="B47" s="151"/>
      <c r="C47" s="151"/>
      <c r="D47" s="152"/>
      <c r="E47" s="99" t="str">
        <f>IF("$150"="","None","$150")</f>
        <v>$150</v>
      </c>
      <c r="F47" s="99" t="str">
        <f>IF("$150"="","None","$150")</f>
        <v>$150</v>
      </c>
      <c r="G47" s="99" t="str">
        <f>IF("50% after deductible - $125 max"="","None","50% after deductible - $125 max")</f>
        <v>50% after deductible - $125 max</v>
      </c>
      <c r="H47" s="99" t="str">
        <f>IF("50% after deductible"="","None","50% after deductible")</f>
        <v>50% after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290</v>
      </c>
      <c r="H49" s="99" t="s">
        <v>334</v>
      </c>
    </row>
    <row r="50" spans="1:8" s="2" customFormat="1" ht="28.5" x14ac:dyDescent="0.25">
      <c r="A50" s="147" t="s">
        <v>27</v>
      </c>
      <c r="B50" s="148"/>
      <c r="C50" s="148"/>
      <c r="D50" s="149"/>
      <c r="E50" s="99" t="s">
        <v>504</v>
      </c>
      <c r="F50" s="99" t="s">
        <v>504</v>
      </c>
      <c r="G50" s="99" t="s">
        <v>313</v>
      </c>
      <c r="H50" s="99" t="s">
        <v>333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000-000000000000}"/>
    <hyperlink ref="F8" r:id="rId2" xr:uid="{00000000-0004-0000-3000-000001000000}"/>
    <hyperlink ref="F19" r:id="rId3" xr:uid="{00000000-0004-0000-3000-000002000000}"/>
    <hyperlink ref="G8" r:id="rId4" xr:uid="{00000000-0004-0000-3000-000003000000}"/>
    <hyperlink ref="G19" r:id="rId5" xr:uid="{00000000-0004-0000-3000-000004000000}"/>
    <hyperlink ref="H8" r:id="rId6" xr:uid="{00000000-0004-0000-3000-000005000000}"/>
    <hyperlink ref="H19" r:id="rId7" xr:uid="{00000000-0004-0000-30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DAF9-5993-426E-801B-CA56BB358E7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170</v>
      </c>
      <c r="H5" s="57" t="s">
        <v>173</v>
      </c>
    </row>
    <row r="6" spans="1:8" s="2" customFormat="1" ht="60" x14ac:dyDescent="0.25">
      <c r="A6" s="186" t="s">
        <v>67</v>
      </c>
      <c r="B6" s="187"/>
      <c r="C6" s="187"/>
      <c r="D6" s="127">
        <v>10</v>
      </c>
      <c r="E6" s="115" t="s">
        <v>497</v>
      </c>
      <c r="F6" s="115" t="s">
        <v>506</v>
      </c>
      <c r="G6" s="116" t="s">
        <v>335</v>
      </c>
      <c r="H6" s="116" t="s">
        <v>345</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14612.92</v>
      </c>
      <c r="H14" s="69">
        <v>15563.46</v>
      </c>
    </row>
    <row r="15" spans="1:8" s="2" customFormat="1" ht="14.25" x14ac:dyDescent="0.25">
      <c r="A15" s="197" t="s">
        <v>6</v>
      </c>
      <c r="B15" s="197"/>
      <c r="C15" s="197"/>
      <c r="D15" s="197"/>
      <c r="E15" s="70">
        <f>E14*12</f>
        <v>127731.72</v>
      </c>
      <c r="F15" s="70">
        <f>F14*12</f>
        <v>191706.72</v>
      </c>
      <c r="G15" s="70">
        <f>G14*12</f>
        <v>175355.04</v>
      </c>
      <c r="H15" s="70">
        <f>H14*12</f>
        <v>186761.52</v>
      </c>
    </row>
    <row r="16" spans="1:8" s="2" customFormat="1" ht="14.25" x14ac:dyDescent="0.25">
      <c r="A16" s="197" t="s">
        <v>7</v>
      </c>
      <c r="B16" s="197"/>
      <c r="C16" s="197"/>
      <c r="D16" s="197"/>
      <c r="E16" s="71" t="s">
        <v>8</v>
      </c>
      <c r="F16" s="71">
        <f>(F15-$E15)/$E15</f>
        <v>0.50085444711775584</v>
      </c>
      <c r="G16" s="71">
        <f>(G15-$E15)/$E15</f>
        <v>0.37283863397439576</v>
      </c>
      <c r="H16" s="71">
        <f>(H15-$E15)/$E15</f>
        <v>0.46213892680690427</v>
      </c>
    </row>
    <row r="17" spans="1:8" s="3" customFormat="1" ht="14.25" x14ac:dyDescent="0.25">
      <c r="A17" s="195" t="s">
        <v>9</v>
      </c>
      <c r="B17" s="195"/>
      <c r="C17" s="195"/>
      <c r="D17" s="195"/>
      <c r="E17" s="72" t="s">
        <v>8</v>
      </c>
      <c r="F17" s="70">
        <f>F15-$E15</f>
        <v>63975</v>
      </c>
      <c r="G17" s="70">
        <f>G15-$E15</f>
        <v>47623.320000000007</v>
      </c>
      <c r="H17" s="70">
        <f>H15-$E15</f>
        <v>59029.799999999988</v>
      </c>
    </row>
    <row r="18" spans="1:8" s="3" customFormat="1" ht="14.25" x14ac:dyDescent="0.25">
      <c r="A18" s="195" t="s">
        <v>10</v>
      </c>
      <c r="B18" s="195"/>
      <c r="C18" s="195"/>
      <c r="D18" s="195"/>
      <c r="E18" s="72" t="s">
        <v>8</v>
      </c>
      <c r="F18" s="72">
        <f>F14-$E14</f>
        <v>5331.25</v>
      </c>
      <c r="G18" s="72">
        <f>G14-$E14</f>
        <v>3968.6100000000006</v>
      </c>
      <c r="H18" s="72">
        <f>H14-$E14</f>
        <v>4919.1499999999996</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318</v>
      </c>
    </row>
    <row r="22" spans="1:8" s="4" customFormat="1" ht="14.25" x14ac:dyDescent="0.25">
      <c r="A22" s="144" t="s">
        <v>12</v>
      </c>
      <c r="B22" s="145"/>
      <c r="C22" s="145"/>
      <c r="D22" s="146"/>
      <c r="E22" s="74" t="s">
        <v>243</v>
      </c>
      <c r="F22" s="75" t="s">
        <v>243</v>
      </c>
      <c r="G22" s="75" t="s">
        <v>315</v>
      </c>
      <c r="H22" s="75" t="s">
        <v>266</v>
      </c>
    </row>
    <row r="23" spans="1:8" s="4" customFormat="1" ht="14.25" x14ac:dyDescent="0.25">
      <c r="A23" s="153" t="s">
        <v>13</v>
      </c>
      <c r="B23" s="154"/>
      <c r="C23" s="154"/>
      <c r="D23" s="155"/>
      <c r="E23" s="76" t="s">
        <v>270</v>
      </c>
      <c r="F23" s="77" t="s">
        <v>270</v>
      </c>
      <c r="G23" s="77" t="s">
        <v>338</v>
      </c>
      <c r="H23" s="77" t="s">
        <v>319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341</v>
      </c>
      <c r="H25" s="79" t="s">
        <v>321</v>
      </c>
    </row>
    <row r="26" spans="1:8" s="4" customFormat="1" ht="14.25" x14ac:dyDescent="0.25">
      <c r="A26" s="153" t="s">
        <v>16</v>
      </c>
      <c r="B26" s="154"/>
      <c r="C26" s="154"/>
      <c r="D26" s="155"/>
      <c r="E26" s="81" t="s">
        <v>502</v>
      </c>
      <c r="F26" s="82" t="s">
        <v>502</v>
      </c>
      <c r="G26" s="81" t="s">
        <v>342</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348</v>
      </c>
    </row>
    <row r="29" spans="1:8" s="4" customFormat="1" ht="14.25" x14ac:dyDescent="0.25">
      <c r="A29" s="144" t="s">
        <v>19</v>
      </c>
      <c r="B29" s="145"/>
      <c r="C29" s="145"/>
      <c r="D29" s="146"/>
      <c r="E29" s="84" t="s">
        <v>251</v>
      </c>
      <c r="F29" s="80" t="s">
        <v>251</v>
      </c>
      <c r="G29" s="84" t="s">
        <v>340</v>
      </c>
      <c r="H29" s="84" t="s">
        <v>267</v>
      </c>
    </row>
    <row r="30" spans="1:8" s="4" customFormat="1" ht="28.5" x14ac:dyDescent="0.25">
      <c r="A30" s="153" t="s">
        <v>20</v>
      </c>
      <c r="B30" s="154"/>
      <c r="C30" s="154"/>
      <c r="D30" s="155"/>
      <c r="E30" s="77" t="s">
        <v>500</v>
      </c>
      <c r="F30" s="85" t="s">
        <v>509</v>
      </c>
      <c r="G30" s="81" t="s">
        <v>339</v>
      </c>
      <c r="H30" s="81" t="s">
        <v>347</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307</v>
      </c>
    </row>
    <row r="33" spans="1:8" s="4" customFormat="1" ht="28.5" x14ac:dyDescent="0.25">
      <c r="A33" s="144" t="s">
        <v>23</v>
      </c>
      <c r="B33" s="145"/>
      <c r="C33" s="145"/>
      <c r="D33" s="146"/>
      <c r="E33" s="81" t="s">
        <v>485</v>
      </c>
      <c r="F33" s="88" t="s">
        <v>507</v>
      </c>
      <c r="G33" s="81" t="s">
        <v>336</v>
      </c>
      <c r="H33" s="81" t="s">
        <v>346</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501</v>
      </c>
      <c r="F35" s="91" t="s">
        <v>510</v>
      </c>
      <c r="G35" s="84" t="s">
        <v>320</v>
      </c>
      <c r="H35" s="84" t="s">
        <v>349</v>
      </c>
    </row>
    <row r="36" spans="1:8" s="4" customFormat="1" ht="42.75" x14ac:dyDescent="0.25">
      <c r="A36" s="144" t="s">
        <v>26</v>
      </c>
      <c r="B36" s="145"/>
      <c r="C36" s="145"/>
      <c r="D36" s="146"/>
      <c r="E36" s="77" t="s">
        <v>498</v>
      </c>
      <c r="F36" s="92" t="s">
        <v>508</v>
      </c>
      <c r="G36" s="77" t="s">
        <v>317</v>
      </c>
      <c r="H36" s="77" t="s">
        <v>267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350</v>
      </c>
    </row>
    <row r="45" spans="1:8" s="5" customFormat="1" ht="14.25" x14ac:dyDescent="0.25">
      <c r="A45" s="150" t="s">
        <v>71</v>
      </c>
      <c r="B45" s="151"/>
      <c r="C45" s="151"/>
      <c r="D45" s="152"/>
      <c r="E45" s="99" t="str">
        <f>IF("$20"="","None","$20")</f>
        <v>$20</v>
      </c>
      <c r="F45" s="99" t="str">
        <f>IF("$20"="","None","$20")</f>
        <v>$20</v>
      </c>
      <c r="G45" s="99" t="str">
        <f>IF("$20"="","None","$20")</f>
        <v>$20</v>
      </c>
      <c r="H45" s="99" t="str">
        <f>IF("$15"="","None","$15")</f>
        <v>$15</v>
      </c>
    </row>
    <row r="46" spans="1:8" s="5" customFormat="1" ht="14.25" x14ac:dyDescent="0.25">
      <c r="A46" s="150" t="s">
        <v>72</v>
      </c>
      <c r="B46" s="151"/>
      <c r="C46" s="151"/>
      <c r="D46" s="152"/>
      <c r="E46" s="99" t="str">
        <f>IF("$90"="","None","$90")</f>
        <v>$90</v>
      </c>
      <c r="F46" s="99" t="str">
        <f>IF("$90"="","None","$90")</f>
        <v>$90</v>
      </c>
      <c r="G46" s="99" t="str">
        <f>IF("$40"="","None","$40")</f>
        <v>$40</v>
      </c>
      <c r="H46" s="99" t="str">
        <f>IF("$50 after Rx deductible"="","None","$50 after Rx deductible")</f>
        <v>$50 after Rx deductible</v>
      </c>
    </row>
    <row r="47" spans="1:8" s="5" customFormat="1" ht="14.25" x14ac:dyDescent="0.25">
      <c r="A47" s="150" t="s">
        <v>73</v>
      </c>
      <c r="B47" s="151"/>
      <c r="C47" s="151"/>
      <c r="D47" s="152"/>
      <c r="E47" s="99" t="str">
        <f>IF("$150"="","None","$150")</f>
        <v>$150</v>
      </c>
      <c r="F47" s="99" t="str">
        <f>IF("$150"="","None","$150")</f>
        <v>$150</v>
      </c>
      <c r="G47" s="99" t="str">
        <f>IF("$75"="","None","$75")</f>
        <v>$75</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505</v>
      </c>
      <c r="F49" s="99" t="s">
        <v>505</v>
      </c>
      <c r="G49" s="99" t="s">
        <v>344</v>
      </c>
      <c r="H49" s="99" t="s">
        <v>352</v>
      </c>
    </row>
    <row r="50" spans="1:8" s="2" customFormat="1" ht="28.5" x14ac:dyDescent="0.25">
      <c r="A50" s="147" t="s">
        <v>27</v>
      </c>
      <c r="B50" s="148"/>
      <c r="C50" s="148"/>
      <c r="D50" s="149"/>
      <c r="E50" s="99" t="s">
        <v>504</v>
      </c>
      <c r="F50" s="99" t="s">
        <v>504</v>
      </c>
      <c r="G50" s="99" t="s">
        <v>343</v>
      </c>
      <c r="H50" s="99" t="s">
        <v>351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100-000000000000}"/>
    <hyperlink ref="F8" r:id="rId2" xr:uid="{00000000-0004-0000-3100-000001000000}"/>
    <hyperlink ref="F19" r:id="rId3" xr:uid="{00000000-0004-0000-3100-000002000000}"/>
    <hyperlink ref="G8" r:id="rId4" xr:uid="{00000000-0004-0000-3100-000003000000}"/>
    <hyperlink ref="G19" r:id="rId5" xr:uid="{00000000-0004-0000-3100-000004000000}"/>
    <hyperlink ref="H8" r:id="rId6" xr:uid="{00000000-0004-0000-3100-000005000000}"/>
    <hyperlink ref="H19" r:id="rId7" xr:uid="{00000000-0004-0000-31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54B1-1501-4047-8052-B89D04411670}">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175</v>
      </c>
      <c r="H5" s="57" t="s">
        <v>177</v>
      </c>
    </row>
    <row r="6" spans="1:8" s="2" customFormat="1" ht="45" x14ac:dyDescent="0.25">
      <c r="A6" s="186" t="s">
        <v>67</v>
      </c>
      <c r="B6" s="187"/>
      <c r="C6" s="187"/>
      <c r="D6" s="127">
        <v>10</v>
      </c>
      <c r="E6" s="115" t="s">
        <v>497</v>
      </c>
      <c r="F6" s="115" t="s">
        <v>506</v>
      </c>
      <c r="G6" s="116" t="s">
        <v>353</v>
      </c>
      <c r="H6" s="116" t="s">
        <v>354</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15716.56</v>
      </c>
      <c r="H14" s="69">
        <v>15928.56</v>
      </c>
    </row>
    <row r="15" spans="1:8" s="2" customFormat="1" ht="14.25" x14ac:dyDescent="0.25">
      <c r="A15" s="197" t="s">
        <v>6</v>
      </c>
      <c r="B15" s="197"/>
      <c r="C15" s="197"/>
      <c r="D15" s="197"/>
      <c r="E15" s="70">
        <f>E14*12</f>
        <v>127731.72</v>
      </c>
      <c r="F15" s="70">
        <f>F14*12</f>
        <v>191706.72</v>
      </c>
      <c r="G15" s="70">
        <f>G14*12</f>
        <v>188598.72</v>
      </c>
      <c r="H15" s="70">
        <f>H14*12</f>
        <v>191142.72</v>
      </c>
    </row>
    <row r="16" spans="1:8" s="2" customFormat="1" ht="14.25" x14ac:dyDescent="0.25">
      <c r="A16" s="197" t="s">
        <v>7</v>
      </c>
      <c r="B16" s="197"/>
      <c r="C16" s="197"/>
      <c r="D16" s="197"/>
      <c r="E16" s="71" t="s">
        <v>8</v>
      </c>
      <c r="F16" s="71">
        <f>(F15-$E15)/$E15</f>
        <v>0.50085444711775584</v>
      </c>
      <c r="G16" s="71">
        <f>(G15-$E15)/$E15</f>
        <v>0.4765221982448839</v>
      </c>
      <c r="H16" s="71">
        <f>(H15-$E15)/$E15</f>
        <v>0.49643894249603776</v>
      </c>
    </row>
    <row r="17" spans="1:8" s="3" customFormat="1" ht="14.25" x14ac:dyDescent="0.25">
      <c r="A17" s="195" t="s">
        <v>9</v>
      </c>
      <c r="B17" s="195"/>
      <c r="C17" s="195"/>
      <c r="D17" s="195"/>
      <c r="E17" s="72" t="s">
        <v>8</v>
      </c>
      <c r="F17" s="70">
        <f>F15-$E15</f>
        <v>63975</v>
      </c>
      <c r="G17" s="70">
        <f>G15-$E15</f>
        <v>60867</v>
      </c>
      <c r="H17" s="70">
        <f>H15-$E15</f>
        <v>63411</v>
      </c>
    </row>
    <row r="18" spans="1:8" s="3" customFormat="1" ht="14.25" x14ac:dyDescent="0.25">
      <c r="A18" s="195" t="s">
        <v>10</v>
      </c>
      <c r="B18" s="195"/>
      <c r="C18" s="195"/>
      <c r="D18" s="195"/>
      <c r="E18" s="72" t="s">
        <v>8</v>
      </c>
      <c r="F18" s="72">
        <f>F14-$E14</f>
        <v>5331.25</v>
      </c>
      <c r="G18" s="72">
        <f>G14-$E14</f>
        <v>5072.25</v>
      </c>
      <c r="H18" s="72">
        <f>H14-$E14</f>
        <v>5284.25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284</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270</v>
      </c>
      <c r="F23" s="77" t="s">
        <v>270</v>
      </c>
      <c r="G23" s="77" t="s">
        <v>284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273</v>
      </c>
      <c r="H25" s="79" t="s">
        <v>340</v>
      </c>
    </row>
    <row r="26" spans="1:8" s="4" customFormat="1" ht="14.25" x14ac:dyDescent="0.25">
      <c r="A26" s="153" t="s">
        <v>16</v>
      </c>
      <c r="B26" s="154"/>
      <c r="C26" s="154"/>
      <c r="D26" s="155"/>
      <c r="E26" s="81" t="s">
        <v>502</v>
      </c>
      <c r="F26" s="82" t="s">
        <v>502</v>
      </c>
      <c r="G26" s="81" t="s">
        <v>273</v>
      </c>
      <c r="H26" s="81" t="s">
        <v>340</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273</v>
      </c>
      <c r="H28" s="84" t="s">
        <v>273</v>
      </c>
    </row>
    <row r="29" spans="1:8" s="4" customFormat="1" ht="14.25" x14ac:dyDescent="0.25">
      <c r="A29" s="144" t="s">
        <v>19</v>
      </c>
      <c r="B29" s="145"/>
      <c r="C29" s="145"/>
      <c r="D29" s="146"/>
      <c r="E29" s="84" t="s">
        <v>251</v>
      </c>
      <c r="F29" s="80" t="s">
        <v>251</v>
      </c>
      <c r="G29" s="84" t="s">
        <v>273</v>
      </c>
      <c r="H29" s="84" t="s">
        <v>340</v>
      </c>
    </row>
    <row r="30" spans="1:8" s="4" customFormat="1" ht="28.5" x14ac:dyDescent="0.25">
      <c r="A30" s="153" t="s">
        <v>20</v>
      </c>
      <c r="B30" s="154"/>
      <c r="C30" s="154"/>
      <c r="D30" s="155"/>
      <c r="E30" s="77" t="s">
        <v>500</v>
      </c>
      <c r="F30" s="85" t="s">
        <v>509</v>
      </c>
      <c r="G30" s="81" t="s">
        <v>311</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273</v>
      </c>
      <c r="H32" s="84" t="s">
        <v>340</v>
      </c>
    </row>
    <row r="33" spans="1:8" s="4" customFormat="1" ht="14.25" x14ac:dyDescent="0.25">
      <c r="A33" s="144" t="s">
        <v>23</v>
      </c>
      <c r="B33" s="145"/>
      <c r="C33" s="145"/>
      <c r="D33" s="146"/>
      <c r="E33" s="81" t="s">
        <v>485</v>
      </c>
      <c r="F33" s="88" t="s">
        <v>507</v>
      </c>
      <c r="G33" s="81" t="s">
        <v>273</v>
      </c>
      <c r="H33" s="81" t="s">
        <v>267</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312</v>
      </c>
      <c r="H35" s="84" t="s">
        <v>340</v>
      </c>
    </row>
    <row r="36" spans="1:8" s="4" customFormat="1" ht="42.75" x14ac:dyDescent="0.25">
      <c r="A36" s="144" t="s">
        <v>26</v>
      </c>
      <c r="B36" s="145"/>
      <c r="C36" s="145"/>
      <c r="D36" s="146"/>
      <c r="E36" s="77" t="s">
        <v>498</v>
      </c>
      <c r="F36" s="92" t="s">
        <v>508</v>
      </c>
      <c r="G36" s="77" t="s">
        <v>310</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273</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277</v>
      </c>
      <c r="H44" s="97" t="s">
        <v>277</v>
      </c>
    </row>
    <row r="45" spans="1:8" s="5" customFormat="1" ht="14.25" x14ac:dyDescent="0.25">
      <c r="A45" s="150" t="s">
        <v>71</v>
      </c>
      <c r="B45" s="151"/>
      <c r="C45" s="151"/>
      <c r="D45" s="152"/>
      <c r="E45" s="99" t="str">
        <f>IF("$20"="","None","$20")</f>
        <v>$20</v>
      </c>
      <c r="F45" s="99" t="str">
        <f>IF("$20"="","None","$20")</f>
        <v>$20</v>
      </c>
      <c r="G45" s="99" t="str">
        <f>IF("$0 after deductible"="","None","$0 after deductible")</f>
        <v>$0 after deductible</v>
      </c>
      <c r="H45" s="99" t="str">
        <f>IF("$20 after deductible"="","None","$20 after deductible")</f>
        <v>$20 after deductible</v>
      </c>
    </row>
    <row r="46" spans="1:8" s="5" customFormat="1" ht="14.25" x14ac:dyDescent="0.25">
      <c r="A46" s="150" t="s">
        <v>72</v>
      </c>
      <c r="B46" s="151"/>
      <c r="C46" s="151"/>
      <c r="D46" s="152"/>
      <c r="E46" s="99" t="str">
        <f>IF("$90"="","None","$90")</f>
        <v>$90</v>
      </c>
      <c r="F46" s="99" t="str">
        <f>IF("$90"="","None","$90")</f>
        <v>$90</v>
      </c>
      <c r="G46" s="99" t="str">
        <f>IF("$0 after deductible"="","None","$0 after deductible")</f>
        <v>$0 after deductible</v>
      </c>
      <c r="H46" s="99" t="str">
        <f>IF("50% after deductible - $125 max"="","None","50% after deductible - $125 max")</f>
        <v>50% after deductible - $125 max</v>
      </c>
    </row>
    <row r="47" spans="1:8" s="5" customFormat="1" ht="14.25" x14ac:dyDescent="0.25">
      <c r="A47" s="150" t="s">
        <v>73</v>
      </c>
      <c r="B47" s="151"/>
      <c r="C47" s="151"/>
      <c r="D47" s="152"/>
      <c r="E47" s="99" t="str">
        <f>IF("$150"="","None","$150")</f>
        <v>$150</v>
      </c>
      <c r="F47" s="99" t="str">
        <f>IF("$150"="","None","$150")</f>
        <v>$150</v>
      </c>
      <c r="G47" s="99" t="str">
        <f>IF("$0 after deductible"="","None","$0 after deductible")</f>
        <v>$0 after deductible</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IF("$0 after deductible"="","None","$0 after deductible")</f>
        <v>$0 after deductible</v>
      </c>
      <c r="H48" s="99" t="str">
        <f>IF("None"="","None","None")</f>
        <v>None</v>
      </c>
    </row>
    <row r="49" spans="1:8" s="5" customFormat="1" ht="28.5" x14ac:dyDescent="0.25">
      <c r="A49" s="147" t="s">
        <v>75</v>
      </c>
      <c r="B49" s="148"/>
      <c r="C49" s="148"/>
      <c r="D49" s="149"/>
      <c r="E49" s="99" t="s">
        <v>505</v>
      </c>
      <c r="F49" s="99" t="s">
        <v>505</v>
      </c>
      <c r="G49" s="99" t="s">
        <v>273</v>
      </c>
      <c r="H49" s="99" t="s">
        <v>290</v>
      </c>
    </row>
    <row r="50" spans="1:8" s="2" customFormat="1" ht="28.5" x14ac:dyDescent="0.25">
      <c r="A50" s="147" t="s">
        <v>27</v>
      </c>
      <c r="B50" s="148"/>
      <c r="C50" s="148"/>
      <c r="D50" s="149"/>
      <c r="E50" s="99" t="s">
        <v>504</v>
      </c>
      <c r="F50" s="99" t="s">
        <v>504</v>
      </c>
      <c r="G50" s="99" t="s">
        <v>273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200-000000000000}"/>
    <hyperlink ref="F8" r:id="rId2" xr:uid="{00000000-0004-0000-3200-000001000000}"/>
    <hyperlink ref="F19" r:id="rId3" xr:uid="{00000000-0004-0000-3200-000002000000}"/>
    <hyperlink ref="G8" r:id="rId4" xr:uid="{00000000-0004-0000-3200-000003000000}"/>
    <hyperlink ref="G19" r:id="rId5" xr:uid="{00000000-0004-0000-3200-000004000000}"/>
    <hyperlink ref="H8" r:id="rId6" xr:uid="{00000000-0004-0000-3200-000005000000}"/>
    <hyperlink ref="H19" r:id="rId7" xr:uid="{00000000-0004-0000-32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DCE6-02FD-43C0-B0A1-21DD46D492B5}">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179</v>
      </c>
      <c r="H5" s="57" t="s">
        <v>181</v>
      </c>
    </row>
    <row r="6" spans="1:8" s="2" customFormat="1" ht="60" x14ac:dyDescent="0.25">
      <c r="A6" s="186" t="s">
        <v>67</v>
      </c>
      <c r="B6" s="187"/>
      <c r="C6" s="187"/>
      <c r="D6" s="127">
        <v>10</v>
      </c>
      <c r="E6" s="115" t="s">
        <v>497</v>
      </c>
      <c r="F6" s="115" t="s">
        <v>506</v>
      </c>
      <c r="G6" s="116" t="s">
        <v>357</v>
      </c>
      <c r="H6" s="116" t="s">
        <v>358</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16079.1</v>
      </c>
      <c r="H14" s="69">
        <v>16748.79</v>
      </c>
    </row>
    <row r="15" spans="1:8" s="2" customFormat="1" ht="14.25" x14ac:dyDescent="0.25">
      <c r="A15" s="197" t="s">
        <v>6</v>
      </c>
      <c r="B15" s="197"/>
      <c r="C15" s="197"/>
      <c r="D15" s="197"/>
      <c r="E15" s="70">
        <f>E14*12</f>
        <v>127731.72</v>
      </c>
      <c r="F15" s="70">
        <f>F14*12</f>
        <v>191706.72</v>
      </c>
      <c r="G15" s="70">
        <f>G14*12</f>
        <v>192949.2</v>
      </c>
      <c r="H15" s="70">
        <f>H14*12</f>
        <v>200985.48</v>
      </c>
    </row>
    <row r="16" spans="1:8" s="2" customFormat="1" ht="14.25" x14ac:dyDescent="0.25">
      <c r="A16" s="197" t="s">
        <v>7</v>
      </c>
      <c r="B16" s="197"/>
      <c r="C16" s="197"/>
      <c r="D16" s="197"/>
      <c r="E16" s="71" t="s">
        <v>8</v>
      </c>
      <c r="F16" s="71">
        <f>(F15-$E15)/$E15</f>
        <v>0.50085444711775584</v>
      </c>
      <c r="G16" s="71">
        <f>(G15-$E15)/$E15</f>
        <v>0.51058170985249407</v>
      </c>
      <c r="H16" s="71">
        <f>(H15-$E15)/$E15</f>
        <v>0.57349701389756602</v>
      </c>
    </row>
    <row r="17" spans="1:8" s="3" customFormat="1" ht="14.25" x14ac:dyDescent="0.25">
      <c r="A17" s="195" t="s">
        <v>9</v>
      </c>
      <c r="B17" s="195"/>
      <c r="C17" s="195"/>
      <c r="D17" s="195"/>
      <c r="E17" s="72" t="s">
        <v>8</v>
      </c>
      <c r="F17" s="70">
        <f>F15-$E15</f>
        <v>63975</v>
      </c>
      <c r="G17" s="70">
        <f>G15-$E15</f>
        <v>65217.48000000001</v>
      </c>
      <c r="H17" s="70">
        <f>H15-$E15</f>
        <v>73253.760000000009</v>
      </c>
    </row>
    <row r="18" spans="1:8" s="3" customFormat="1" ht="14.25" x14ac:dyDescent="0.25">
      <c r="A18" s="195" t="s">
        <v>10</v>
      </c>
      <c r="B18" s="195"/>
      <c r="C18" s="195"/>
      <c r="D18" s="195"/>
      <c r="E18" s="72" t="s">
        <v>8</v>
      </c>
      <c r="F18" s="72">
        <f>F14-$E14</f>
        <v>5331.25</v>
      </c>
      <c r="G18" s="72">
        <f>G14-$E14</f>
        <v>5434.7900000000009</v>
      </c>
      <c r="H18" s="72">
        <f>H14-$E14</f>
        <v>6104.4800000000014</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337</v>
      </c>
      <c r="H21" s="73" t="s">
        <v>360</v>
      </c>
    </row>
    <row r="22" spans="1:8" s="4" customFormat="1" ht="14.25" x14ac:dyDescent="0.25">
      <c r="A22" s="144" t="s">
        <v>12</v>
      </c>
      <c r="B22" s="145"/>
      <c r="C22" s="145"/>
      <c r="D22" s="146"/>
      <c r="E22" s="74" t="s">
        <v>243</v>
      </c>
      <c r="F22" s="75" t="s">
        <v>243</v>
      </c>
      <c r="G22" s="75" t="s">
        <v>315</v>
      </c>
      <c r="H22" s="75" t="s">
        <v>355</v>
      </c>
    </row>
    <row r="23" spans="1:8" s="4" customFormat="1" ht="14.25" x14ac:dyDescent="0.25">
      <c r="A23" s="153" t="s">
        <v>13</v>
      </c>
      <c r="B23" s="154"/>
      <c r="C23" s="154"/>
      <c r="D23" s="155"/>
      <c r="E23" s="76" t="s">
        <v>270</v>
      </c>
      <c r="F23" s="77" t="s">
        <v>270</v>
      </c>
      <c r="G23" s="77" t="s">
        <v>338</v>
      </c>
      <c r="H23" s="77" t="s">
        <v>361</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341</v>
      </c>
      <c r="H25" s="79" t="s">
        <v>362</v>
      </c>
    </row>
    <row r="26" spans="1:8" s="4" customFormat="1" ht="14.25" x14ac:dyDescent="0.25">
      <c r="A26" s="153" t="s">
        <v>16</v>
      </c>
      <c r="B26" s="154"/>
      <c r="C26" s="154"/>
      <c r="D26" s="155"/>
      <c r="E26" s="81" t="s">
        <v>502</v>
      </c>
      <c r="F26" s="82" t="s">
        <v>502</v>
      </c>
      <c r="G26" s="81" t="s">
        <v>342</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251</v>
      </c>
    </row>
    <row r="29" spans="1:8" s="4" customFormat="1" ht="14.25" x14ac:dyDescent="0.25">
      <c r="A29" s="144" t="s">
        <v>19</v>
      </c>
      <c r="B29" s="145"/>
      <c r="C29" s="145"/>
      <c r="D29" s="146"/>
      <c r="E29" s="84" t="s">
        <v>251</v>
      </c>
      <c r="F29" s="80" t="s">
        <v>251</v>
      </c>
      <c r="G29" s="84" t="s">
        <v>340</v>
      </c>
      <c r="H29" s="84" t="s">
        <v>340</v>
      </c>
    </row>
    <row r="30" spans="1:8" s="4" customFormat="1" ht="28.5" x14ac:dyDescent="0.25">
      <c r="A30" s="153" t="s">
        <v>20</v>
      </c>
      <c r="B30" s="154"/>
      <c r="C30" s="154"/>
      <c r="D30" s="155"/>
      <c r="E30" s="77" t="s">
        <v>500</v>
      </c>
      <c r="F30" s="85" t="s">
        <v>509</v>
      </c>
      <c r="G30" s="81" t="s">
        <v>339</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307</v>
      </c>
    </row>
    <row r="33" spans="1:8" s="4" customFormat="1" ht="14.25" x14ac:dyDescent="0.25">
      <c r="A33" s="144" t="s">
        <v>23</v>
      </c>
      <c r="B33" s="145"/>
      <c r="C33" s="145"/>
      <c r="D33" s="146"/>
      <c r="E33" s="81" t="s">
        <v>485</v>
      </c>
      <c r="F33" s="88" t="s">
        <v>507</v>
      </c>
      <c r="G33" s="81" t="s">
        <v>336</v>
      </c>
      <c r="H33" s="81" t="s">
        <v>359</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320</v>
      </c>
      <c r="H35" s="84" t="s">
        <v>340</v>
      </c>
    </row>
    <row r="36" spans="1:8" s="4" customFormat="1" ht="42.75" x14ac:dyDescent="0.25">
      <c r="A36" s="144" t="s">
        <v>26</v>
      </c>
      <c r="B36" s="145"/>
      <c r="C36" s="145"/>
      <c r="D36" s="146"/>
      <c r="E36" s="77" t="s">
        <v>498</v>
      </c>
      <c r="F36" s="92" t="s">
        <v>508</v>
      </c>
      <c r="G36" s="77" t="s">
        <v>317</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267</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IF("$20"="","None","$20")</f>
        <v>$20</v>
      </c>
      <c r="F45" s="99" t="str">
        <f>IF("$20"="","None","$20")</f>
        <v>$20</v>
      </c>
      <c r="G45" s="99" t="str">
        <f>IF("$20"="","None","$20")</f>
        <v>$20</v>
      </c>
      <c r="H45" s="99" t="str">
        <f>IF("$10"="","None","$10")</f>
        <v>$10</v>
      </c>
    </row>
    <row r="46" spans="1:8" s="5" customFormat="1" ht="14.25" x14ac:dyDescent="0.25">
      <c r="A46" s="150" t="s">
        <v>72</v>
      </c>
      <c r="B46" s="151"/>
      <c r="C46" s="151"/>
      <c r="D46" s="152"/>
      <c r="E46" s="99" t="str">
        <f>IF("$90"="","None","$90")</f>
        <v>$90</v>
      </c>
      <c r="F46" s="99" t="str">
        <f>IF("$90"="","None","$90")</f>
        <v>$90</v>
      </c>
      <c r="G46" s="99" t="str">
        <f>IF("$40"="","None","$40")</f>
        <v>$40</v>
      </c>
      <c r="H46" s="99" t="str">
        <f>IF("50% - $125 max"="","None","50% - $125 max")</f>
        <v>50% - $125 max</v>
      </c>
    </row>
    <row r="47" spans="1:8" s="5" customFormat="1" ht="14.25" x14ac:dyDescent="0.25">
      <c r="A47" s="150" t="s">
        <v>73</v>
      </c>
      <c r="B47" s="151"/>
      <c r="C47" s="151"/>
      <c r="D47" s="152"/>
      <c r="E47" s="99" t="str">
        <f>IF("$150"="","None","$150")</f>
        <v>$150</v>
      </c>
      <c r="F47" s="99" t="str">
        <f>IF("$150"="","None","$150")</f>
        <v>$150</v>
      </c>
      <c r="G47" s="99" t="str">
        <f>IF("$75"="","None","$75")</f>
        <v>$75</v>
      </c>
      <c r="H47" s="99" t="str">
        <f>IF("50% - $125 max"="","None","50% - $125 max")</f>
        <v>50%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14.25" x14ac:dyDescent="0.25">
      <c r="A49" s="147" t="s">
        <v>75</v>
      </c>
      <c r="B49" s="148"/>
      <c r="C49" s="148"/>
      <c r="D49" s="149"/>
      <c r="E49" s="99" t="s">
        <v>505</v>
      </c>
      <c r="F49" s="99" t="s">
        <v>505</v>
      </c>
      <c r="G49" s="99" t="s">
        <v>344</v>
      </c>
      <c r="H49" s="99" t="s">
        <v>364</v>
      </c>
    </row>
    <row r="50" spans="1:8" s="2" customFormat="1" ht="28.5" x14ac:dyDescent="0.25">
      <c r="A50" s="147" t="s">
        <v>27</v>
      </c>
      <c r="B50" s="148"/>
      <c r="C50" s="148"/>
      <c r="D50" s="149"/>
      <c r="E50" s="99" t="s">
        <v>504</v>
      </c>
      <c r="F50" s="99" t="s">
        <v>504</v>
      </c>
      <c r="G50" s="99" t="s">
        <v>343</v>
      </c>
      <c r="H50" s="99" t="s">
        <v>363</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300-000000000000}"/>
    <hyperlink ref="F8" r:id="rId2" xr:uid="{00000000-0004-0000-3300-000001000000}"/>
    <hyperlink ref="F19" r:id="rId3" xr:uid="{00000000-0004-0000-3300-000002000000}"/>
    <hyperlink ref="G8" r:id="rId4" xr:uid="{00000000-0004-0000-3300-000003000000}"/>
    <hyperlink ref="G19" r:id="rId5" xr:uid="{00000000-0004-0000-3300-000004000000}"/>
    <hyperlink ref="H8" r:id="rId6" xr:uid="{00000000-0004-0000-3300-000005000000}"/>
    <hyperlink ref="H19" r:id="rId7" xr:uid="{00000000-0004-0000-33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16CD-3826-4273-8443-746CEC94E38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183</v>
      </c>
      <c r="H5" s="57" t="s">
        <v>185</v>
      </c>
    </row>
    <row r="6" spans="1:8" s="2" customFormat="1" ht="30" x14ac:dyDescent="0.25">
      <c r="A6" s="186" t="s">
        <v>67</v>
      </c>
      <c r="B6" s="187"/>
      <c r="C6" s="187"/>
      <c r="D6" s="127">
        <v>10</v>
      </c>
      <c r="E6" s="115" t="s">
        <v>497</v>
      </c>
      <c r="F6" s="115" t="s">
        <v>506</v>
      </c>
      <c r="G6" s="116" t="s">
        <v>365</v>
      </c>
      <c r="H6" s="116" t="s">
        <v>377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17201.13</v>
      </c>
      <c r="H14" s="69">
        <v>17206.650000000001</v>
      </c>
    </row>
    <row r="15" spans="1:8" s="2" customFormat="1" ht="14.25" x14ac:dyDescent="0.25">
      <c r="A15" s="197" t="s">
        <v>6</v>
      </c>
      <c r="B15" s="197"/>
      <c r="C15" s="197"/>
      <c r="D15" s="197"/>
      <c r="E15" s="70">
        <f>E14*12</f>
        <v>127731.72</v>
      </c>
      <c r="F15" s="70">
        <f>F14*12</f>
        <v>191706.72</v>
      </c>
      <c r="G15" s="70">
        <f>G14*12</f>
        <v>206413.56</v>
      </c>
      <c r="H15" s="70">
        <f>H14*12</f>
        <v>206479.80000000002</v>
      </c>
    </row>
    <row r="16" spans="1:8" s="2" customFormat="1" ht="14.25" x14ac:dyDescent="0.25">
      <c r="A16" s="197" t="s">
        <v>7</v>
      </c>
      <c r="B16" s="197"/>
      <c r="C16" s="197"/>
      <c r="D16" s="197"/>
      <c r="E16" s="71" t="s">
        <v>8</v>
      </c>
      <c r="F16" s="71">
        <f>(F15-$E15)/$E15</f>
        <v>0.50085444711775584</v>
      </c>
      <c r="G16" s="71">
        <f>(G15-$E15)/$E15</f>
        <v>0.61599295773986285</v>
      </c>
      <c r="H16" s="71">
        <f>(H15-$E15)/$E15</f>
        <v>0.61651154466564773</v>
      </c>
    </row>
    <row r="17" spans="1:8" s="3" customFormat="1" ht="14.25" x14ac:dyDescent="0.25">
      <c r="A17" s="195" t="s">
        <v>9</v>
      </c>
      <c r="B17" s="195"/>
      <c r="C17" s="195"/>
      <c r="D17" s="195"/>
      <c r="E17" s="72" t="s">
        <v>8</v>
      </c>
      <c r="F17" s="70">
        <f>F15-$E15</f>
        <v>63975</v>
      </c>
      <c r="G17" s="70">
        <f>G15-$E15</f>
        <v>78681.84</v>
      </c>
      <c r="H17" s="70">
        <f>H15-$E15</f>
        <v>78748.080000000016</v>
      </c>
    </row>
    <row r="18" spans="1:8" s="3" customFormat="1" ht="14.25" x14ac:dyDescent="0.25">
      <c r="A18" s="195" t="s">
        <v>10</v>
      </c>
      <c r="B18" s="195"/>
      <c r="C18" s="195"/>
      <c r="D18" s="195"/>
      <c r="E18" s="72" t="s">
        <v>8</v>
      </c>
      <c r="F18" s="72">
        <f>F14-$E14</f>
        <v>5331.25</v>
      </c>
      <c r="G18" s="72">
        <f>G14-$E14</f>
        <v>6556.8200000000015</v>
      </c>
      <c r="H18" s="72">
        <f>H14-$E14</f>
        <v>6562.340000000002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369</v>
      </c>
      <c r="H21" s="73" t="s">
        <v>381</v>
      </c>
    </row>
    <row r="22" spans="1:8" s="4" customFormat="1" ht="14.25" x14ac:dyDescent="0.25">
      <c r="A22" s="144" t="s">
        <v>12</v>
      </c>
      <c r="B22" s="145"/>
      <c r="C22" s="145"/>
      <c r="D22" s="146"/>
      <c r="E22" s="74" t="s">
        <v>243</v>
      </c>
      <c r="F22" s="75" t="s">
        <v>243</v>
      </c>
      <c r="G22" s="75" t="s">
        <v>366</v>
      </c>
      <c r="H22" s="75" t="s">
        <v>378</v>
      </c>
    </row>
    <row r="23" spans="1:8" s="4" customFormat="1" ht="28.5" x14ac:dyDescent="0.25">
      <c r="A23" s="153" t="s">
        <v>13</v>
      </c>
      <c r="B23" s="154"/>
      <c r="C23" s="154"/>
      <c r="D23" s="155"/>
      <c r="E23" s="76" t="s">
        <v>270</v>
      </c>
      <c r="F23" s="77" t="s">
        <v>270</v>
      </c>
      <c r="G23" s="77" t="s">
        <v>293</v>
      </c>
      <c r="H23" s="77" t="s">
        <v>382</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502</v>
      </c>
      <c r="F25" s="80" t="s">
        <v>502</v>
      </c>
      <c r="G25" s="79" t="s">
        <v>373</v>
      </c>
      <c r="H25" s="79" t="s">
        <v>386</v>
      </c>
    </row>
    <row r="26" spans="1:8" s="4" customFormat="1" ht="28.5" x14ac:dyDescent="0.25">
      <c r="A26" s="153" t="s">
        <v>16</v>
      </c>
      <c r="B26" s="154"/>
      <c r="C26" s="154"/>
      <c r="D26" s="155"/>
      <c r="E26" s="81" t="s">
        <v>502</v>
      </c>
      <c r="F26" s="82" t="s">
        <v>502</v>
      </c>
      <c r="G26" s="81" t="s">
        <v>374</v>
      </c>
      <c r="H26" s="81" t="s">
        <v>387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371</v>
      </c>
      <c r="H28" s="84" t="s">
        <v>384</v>
      </c>
    </row>
    <row r="29" spans="1:8" s="4" customFormat="1" ht="57" x14ac:dyDescent="0.25">
      <c r="A29" s="144" t="s">
        <v>19</v>
      </c>
      <c r="B29" s="145"/>
      <c r="C29" s="145"/>
      <c r="D29" s="146"/>
      <c r="E29" s="84" t="s">
        <v>251</v>
      </c>
      <c r="F29" s="80" t="s">
        <v>251</v>
      </c>
      <c r="G29" s="84" t="s">
        <v>371</v>
      </c>
      <c r="H29" s="84" t="s">
        <v>384</v>
      </c>
    </row>
    <row r="30" spans="1:8" s="4" customFormat="1" ht="42.75" x14ac:dyDescent="0.25">
      <c r="A30" s="153" t="s">
        <v>20</v>
      </c>
      <c r="B30" s="154"/>
      <c r="C30" s="154"/>
      <c r="D30" s="155"/>
      <c r="E30" s="77" t="s">
        <v>500</v>
      </c>
      <c r="F30" s="85" t="s">
        <v>509</v>
      </c>
      <c r="G30" s="81" t="s">
        <v>370</v>
      </c>
      <c r="H30" s="81" t="s">
        <v>383</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503</v>
      </c>
      <c r="F32" s="87" t="s">
        <v>503</v>
      </c>
      <c r="G32" s="84" t="s">
        <v>307</v>
      </c>
      <c r="H32" s="84" t="s">
        <v>388</v>
      </c>
    </row>
    <row r="33" spans="1:8" s="4" customFormat="1" ht="28.5" x14ac:dyDescent="0.25">
      <c r="A33" s="144" t="s">
        <v>23</v>
      </c>
      <c r="B33" s="145"/>
      <c r="C33" s="145"/>
      <c r="D33" s="146"/>
      <c r="E33" s="81" t="s">
        <v>485</v>
      </c>
      <c r="F33" s="88" t="s">
        <v>507</v>
      </c>
      <c r="G33" s="81" t="s">
        <v>367</v>
      </c>
      <c r="H33" s="81" t="s">
        <v>379</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501</v>
      </c>
      <c r="F35" s="91" t="s">
        <v>510</v>
      </c>
      <c r="G35" s="84" t="s">
        <v>372</v>
      </c>
      <c r="H35" s="84" t="s">
        <v>385</v>
      </c>
    </row>
    <row r="36" spans="1:8" s="4" customFormat="1" ht="99.75" x14ac:dyDescent="0.25">
      <c r="A36" s="144" t="s">
        <v>26</v>
      </c>
      <c r="B36" s="145"/>
      <c r="C36" s="145"/>
      <c r="D36" s="146"/>
      <c r="E36" s="77" t="s">
        <v>498</v>
      </c>
      <c r="F36" s="92" t="s">
        <v>508</v>
      </c>
      <c r="G36" s="77" t="s">
        <v>368</v>
      </c>
      <c r="H36" s="77" t="s">
        <v>380</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375</v>
      </c>
    </row>
    <row r="45" spans="1:8" s="5" customFormat="1" ht="14.25" x14ac:dyDescent="0.25">
      <c r="A45" s="150" t="s">
        <v>71</v>
      </c>
      <c r="B45" s="151"/>
      <c r="C45" s="151"/>
      <c r="D45" s="152"/>
      <c r="E45" s="99" t="str">
        <f>IF("$20"="","None","$20")</f>
        <v>$20</v>
      </c>
      <c r="F45" s="99" t="str">
        <f>IF("$20"="","None","$20")</f>
        <v>$20</v>
      </c>
      <c r="G45" s="99" t="str">
        <f>IF("$25 after Rx deductible"="","None","$25 after Rx deductible")</f>
        <v>$25 after Rx deductible</v>
      </c>
      <c r="H45" s="99" t="str">
        <f>IF("$25"="","None","$25")</f>
        <v>$25</v>
      </c>
    </row>
    <row r="46" spans="1:8" s="5" customFormat="1" ht="14.25" x14ac:dyDescent="0.25">
      <c r="A46" s="150" t="s">
        <v>72</v>
      </c>
      <c r="B46" s="151"/>
      <c r="C46" s="151"/>
      <c r="D46" s="152"/>
      <c r="E46" s="99" t="str">
        <f>IF("$90"="","None","$90")</f>
        <v>$90</v>
      </c>
      <c r="F46" s="99" t="str">
        <f>IF("$90"="","None","$90")</f>
        <v>$90</v>
      </c>
      <c r="G46" s="99" t="str">
        <f>IF("50% after Rx deductible"="","None","50% after Rx deductible")</f>
        <v>50% after Rx deductible</v>
      </c>
      <c r="H46" s="99" t="str">
        <f>IF("50% after Rx deductible"="","None","50% after Rx deductible")</f>
        <v>50% after Rx deductible</v>
      </c>
    </row>
    <row r="47" spans="1:8" s="5" customFormat="1" ht="14.25" x14ac:dyDescent="0.25">
      <c r="A47" s="150" t="s">
        <v>73</v>
      </c>
      <c r="B47" s="151"/>
      <c r="C47" s="151"/>
      <c r="D47" s="152"/>
      <c r="E47" s="99" t="str">
        <f>IF("$150"="","None","$150")</f>
        <v>$150</v>
      </c>
      <c r="F47" s="99" t="str">
        <f>IF("$150"="","None","$150")</f>
        <v>$150</v>
      </c>
      <c r="G47" s="99" t="str">
        <f>IF("50% after Rx deductible"="","None","50% after Rx deductible")</f>
        <v>50% after Rx deductible</v>
      </c>
      <c r="H47" s="99" t="str">
        <f>IF("50% after Rx deductible"="","None","50% after Rx deductible")</f>
        <v>50%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334</v>
      </c>
      <c r="H49" s="99" t="s">
        <v>334</v>
      </c>
    </row>
    <row r="50" spans="1:8" s="2" customFormat="1" ht="28.5" x14ac:dyDescent="0.25">
      <c r="A50" s="147" t="s">
        <v>27</v>
      </c>
      <c r="B50" s="148"/>
      <c r="C50" s="148"/>
      <c r="D50" s="149"/>
      <c r="E50" s="99" t="s">
        <v>504</v>
      </c>
      <c r="F50" s="99" t="s">
        <v>504</v>
      </c>
      <c r="G50" s="99" t="s">
        <v>376</v>
      </c>
      <c r="H50" s="99" t="s">
        <v>389</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400-000000000000}"/>
    <hyperlink ref="F8" r:id="rId2" xr:uid="{00000000-0004-0000-3400-000001000000}"/>
    <hyperlink ref="F19" r:id="rId3" xr:uid="{00000000-0004-0000-3400-000002000000}"/>
    <hyperlink ref="G8" r:id="rId4" xr:uid="{00000000-0004-0000-3400-000003000000}"/>
    <hyperlink ref="G19" r:id="rId5" xr:uid="{00000000-0004-0000-3400-000004000000}"/>
    <hyperlink ref="H8" r:id="rId6" xr:uid="{00000000-0004-0000-3400-000005000000}"/>
    <hyperlink ref="H19" r:id="rId7" xr:uid="{00000000-0004-0000-34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A120-8697-4C0F-9F4C-ABF611CADB3E}">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187</v>
      </c>
      <c r="H5" s="57" t="s">
        <v>189</v>
      </c>
    </row>
    <row r="6" spans="1:8" s="2" customFormat="1" ht="60" x14ac:dyDescent="0.25">
      <c r="A6" s="186" t="s">
        <v>67</v>
      </c>
      <c r="B6" s="187"/>
      <c r="C6" s="187"/>
      <c r="D6" s="127">
        <v>10</v>
      </c>
      <c r="E6" s="115" t="s">
        <v>497</v>
      </c>
      <c r="F6" s="115" t="s">
        <v>506</v>
      </c>
      <c r="G6" s="116" t="s">
        <v>390</v>
      </c>
      <c r="H6" s="116" t="s">
        <v>401</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17311.919999999998</v>
      </c>
      <c r="H14" s="69">
        <v>17355.3</v>
      </c>
    </row>
    <row r="15" spans="1:8" s="2" customFormat="1" ht="14.25" x14ac:dyDescent="0.25">
      <c r="A15" s="197" t="s">
        <v>6</v>
      </c>
      <c r="B15" s="197"/>
      <c r="C15" s="197"/>
      <c r="D15" s="197"/>
      <c r="E15" s="70">
        <f>E14*12</f>
        <v>127731.72</v>
      </c>
      <c r="F15" s="70">
        <f>F14*12</f>
        <v>191706.72</v>
      </c>
      <c r="G15" s="70">
        <f>G14*12</f>
        <v>207743.03999999998</v>
      </c>
      <c r="H15" s="70">
        <f>H14*12</f>
        <v>208263.59999999998</v>
      </c>
    </row>
    <row r="16" spans="1:8" s="2" customFormat="1" ht="14.25" x14ac:dyDescent="0.25">
      <c r="A16" s="197" t="s">
        <v>7</v>
      </c>
      <c r="B16" s="197"/>
      <c r="C16" s="197"/>
      <c r="D16" s="197"/>
      <c r="E16" s="71" t="s">
        <v>8</v>
      </c>
      <c r="F16" s="71">
        <f>(F15-$E15)/$E15</f>
        <v>0.50085444711775584</v>
      </c>
      <c r="G16" s="71">
        <f>(G15-$E15)/$E15</f>
        <v>0.6264013355492275</v>
      </c>
      <c r="H16" s="71">
        <f>(H15-$E15)/$E15</f>
        <v>0.63047675236816647</v>
      </c>
    </row>
    <row r="17" spans="1:8" s="3" customFormat="1" ht="14.25" x14ac:dyDescent="0.25">
      <c r="A17" s="195" t="s">
        <v>9</v>
      </c>
      <c r="B17" s="195"/>
      <c r="C17" s="195"/>
      <c r="D17" s="195"/>
      <c r="E17" s="72" t="s">
        <v>8</v>
      </c>
      <c r="F17" s="70">
        <f>F15-$E15</f>
        <v>63975</v>
      </c>
      <c r="G17" s="70">
        <f>G15-$E15</f>
        <v>80011.319999999978</v>
      </c>
      <c r="H17" s="70">
        <f>H15-$E15</f>
        <v>80531.879999999976</v>
      </c>
    </row>
    <row r="18" spans="1:8" s="3" customFormat="1" ht="14.25" x14ac:dyDescent="0.25">
      <c r="A18" s="195" t="s">
        <v>10</v>
      </c>
      <c r="B18" s="195"/>
      <c r="C18" s="195"/>
      <c r="D18" s="195"/>
      <c r="E18" s="72" t="s">
        <v>8</v>
      </c>
      <c r="F18" s="72">
        <f>F14-$E14</f>
        <v>5331.25</v>
      </c>
      <c r="G18" s="72">
        <f>G14-$E14</f>
        <v>6667.6099999999988</v>
      </c>
      <c r="H18" s="72">
        <f>H14-$E14</f>
        <v>6710.99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393</v>
      </c>
      <c r="H21" s="73" t="s">
        <v>318</v>
      </c>
    </row>
    <row r="22" spans="1:8" s="4" customFormat="1" ht="14.25" x14ac:dyDescent="0.25">
      <c r="A22" s="144" t="s">
        <v>12</v>
      </c>
      <c r="B22" s="145"/>
      <c r="C22" s="145"/>
      <c r="D22" s="146"/>
      <c r="E22" s="74" t="s">
        <v>243</v>
      </c>
      <c r="F22" s="75" t="s">
        <v>243</v>
      </c>
      <c r="G22" s="75" t="s">
        <v>243</v>
      </c>
      <c r="H22" s="75" t="s">
        <v>355</v>
      </c>
    </row>
    <row r="23" spans="1:8" s="4" customFormat="1" ht="14.25" x14ac:dyDescent="0.25">
      <c r="A23" s="153" t="s">
        <v>13</v>
      </c>
      <c r="B23" s="154"/>
      <c r="C23" s="154"/>
      <c r="D23" s="155"/>
      <c r="E23" s="76" t="s">
        <v>270</v>
      </c>
      <c r="F23" s="77" t="s">
        <v>270</v>
      </c>
      <c r="G23" s="77" t="s">
        <v>394</v>
      </c>
      <c r="H23" s="77" t="s">
        <v>285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362</v>
      </c>
      <c r="H25" s="79" t="s">
        <v>340</v>
      </c>
    </row>
    <row r="26" spans="1:8" s="4" customFormat="1" ht="14.25" x14ac:dyDescent="0.25">
      <c r="A26" s="153" t="s">
        <v>16</v>
      </c>
      <c r="B26" s="154"/>
      <c r="C26" s="154"/>
      <c r="D26" s="155"/>
      <c r="E26" s="81" t="s">
        <v>502</v>
      </c>
      <c r="F26" s="82" t="s">
        <v>502</v>
      </c>
      <c r="G26" s="81" t="s">
        <v>254</v>
      </c>
      <c r="H26" s="81" t="s">
        <v>340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396</v>
      </c>
      <c r="H28" s="84" t="s">
        <v>273</v>
      </c>
    </row>
    <row r="29" spans="1:8" s="4" customFormat="1" ht="28.5" x14ac:dyDescent="0.25">
      <c r="A29" s="144" t="s">
        <v>19</v>
      </c>
      <c r="B29" s="145"/>
      <c r="C29" s="145"/>
      <c r="D29" s="146"/>
      <c r="E29" s="84" t="s">
        <v>251</v>
      </c>
      <c r="F29" s="80" t="s">
        <v>251</v>
      </c>
      <c r="G29" s="84" t="s">
        <v>398</v>
      </c>
      <c r="H29" s="84" t="s">
        <v>340</v>
      </c>
    </row>
    <row r="30" spans="1:8" s="4" customFormat="1" ht="28.5" x14ac:dyDescent="0.25">
      <c r="A30" s="153" t="s">
        <v>20</v>
      </c>
      <c r="B30" s="154"/>
      <c r="C30" s="154"/>
      <c r="D30" s="155"/>
      <c r="E30" s="77" t="s">
        <v>500</v>
      </c>
      <c r="F30" s="85" t="s">
        <v>509</v>
      </c>
      <c r="G30" s="81" t="s">
        <v>395</v>
      </c>
      <c r="H30" s="81" t="s">
        <v>339</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340</v>
      </c>
    </row>
    <row r="33" spans="1:8" s="4" customFormat="1" ht="14.25" x14ac:dyDescent="0.25">
      <c r="A33" s="144" t="s">
        <v>23</v>
      </c>
      <c r="B33" s="145"/>
      <c r="C33" s="145"/>
      <c r="D33" s="146"/>
      <c r="E33" s="81" t="s">
        <v>485</v>
      </c>
      <c r="F33" s="88" t="s">
        <v>507</v>
      </c>
      <c r="G33" s="81" t="s">
        <v>391</v>
      </c>
      <c r="H33" s="81" t="s">
        <v>267</v>
      </c>
    </row>
    <row r="34" spans="1:8" s="4" customFormat="1" ht="18" customHeight="1" x14ac:dyDescent="0.25">
      <c r="A34" s="161" t="s">
        <v>24</v>
      </c>
      <c r="B34" s="162"/>
      <c r="C34" s="162"/>
      <c r="D34" s="163"/>
      <c r="E34" s="83"/>
      <c r="F34" s="89"/>
      <c r="G34" s="78"/>
      <c r="H34" s="78"/>
    </row>
    <row r="35" spans="1:8" s="4" customFormat="1" ht="57" x14ac:dyDescent="0.25">
      <c r="A35" s="144" t="s">
        <v>25</v>
      </c>
      <c r="B35" s="145"/>
      <c r="C35" s="145"/>
      <c r="D35" s="146"/>
      <c r="E35" s="90" t="s">
        <v>501</v>
      </c>
      <c r="F35" s="91" t="s">
        <v>510</v>
      </c>
      <c r="G35" s="84" t="s">
        <v>397</v>
      </c>
      <c r="H35" s="84" t="s">
        <v>340</v>
      </c>
    </row>
    <row r="36" spans="1:8" s="4" customFormat="1" ht="42.75" x14ac:dyDescent="0.25">
      <c r="A36" s="144" t="s">
        <v>26</v>
      </c>
      <c r="B36" s="145"/>
      <c r="C36" s="145"/>
      <c r="D36" s="146"/>
      <c r="E36" s="77" t="s">
        <v>498</v>
      </c>
      <c r="F36" s="92" t="s">
        <v>508</v>
      </c>
      <c r="G36" s="77" t="s">
        <v>392</v>
      </c>
      <c r="H36" s="77" t="s">
        <v>339</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340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IF("$20"="","None","$20")</f>
        <v>$20</v>
      </c>
      <c r="F45" s="99" t="str">
        <f>IF("$20"="","None","$20")</f>
        <v>$20</v>
      </c>
      <c r="G45" s="99" t="str">
        <f>IF("$15"="","None","$15")</f>
        <v>$15</v>
      </c>
      <c r="H45" s="99" t="str">
        <f>IF("$20 after deductible"="","None","$20 after deductible")</f>
        <v>$20 after deductible</v>
      </c>
    </row>
    <row r="46" spans="1:8" s="5" customFormat="1" ht="14.25" x14ac:dyDescent="0.25">
      <c r="A46" s="150" t="s">
        <v>72</v>
      </c>
      <c r="B46" s="151"/>
      <c r="C46" s="151"/>
      <c r="D46" s="152"/>
      <c r="E46" s="99" t="str">
        <f>IF("$90"="","None","$90")</f>
        <v>$90</v>
      </c>
      <c r="F46" s="99" t="str">
        <f>IF("$90"="","None","$90")</f>
        <v>$90</v>
      </c>
      <c r="G46" s="99" t="str">
        <f>IF("$50"="","None","$50")</f>
        <v>$50</v>
      </c>
      <c r="H46" s="99" t="str">
        <f>IF("50% after deductible - $125 max"="","None","50% after deductible - $125 max")</f>
        <v>50% after deductible - $125 max</v>
      </c>
    </row>
    <row r="47" spans="1:8" s="5" customFormat="1" ht="14.25" x14ac:dyDescent="0.25">
      <c r="A47" s="150" t="s">
        <v>73</v>
      </c>
      <c r="B47" s="151"/>
      <c r="C47" s="151"/>
      <c r="D47" s="152"/>
      <c r="E47" s="99" t="str">
        <f>IF("$150"="","None","$150")</f>
        <v>$150</v>
      </c>
      <c r="F47" s="99" t="str">
        <f>IF("$150"="","None","$150")</f>
        <v>$150</v>
      </c>
      <c r="G47" s="99" t="str">
        <f>IF("50% - $150 max"="","None","50% - $150 max")</f>
        <v>50% - $150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400</v>
      </c>
      <c r="H49" s="99" t="s">
        <v>290</v>
      </c>
    </row>
    <row r="50" spans="1:8" s="2" customFormat="1" ht="28.5" x14ac:dyDescent="0.25">
      <c r="A50" s="147" t="s">
        <v>27</v>
      </c>
      <c r="B50" s="148"/>
      <c r="C50" s="148"/>
      <c r="D50" s="149"/>
      <c r="E50" s="99" t="s">
        <v>504</v>
      </c>
      <c r="F50" s="99" t="s">
        <v>504</v>
      </c>
      <c r="G50" s="99" t="s">
        <v>399</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500-000000000000}"/>
    <hyperlink ref="F8" r:id="rId2" xr:uid="{00000000-0004-0000-3500-000001000000}"/>
    <hyperlink ref="F19" r:id="rId3" xr:uid="{00000000-0004-0000-3500-000002000000}"/>
    <hyperlink ref="G8" r:id="rId4" xr:uid="{00000000-0004-0000-3500-000003000000}"/>
    <hyperlink ref="G19" r:id="rId5" xr:uid="{00000000-0004-0000-3500-000004000000}"/>
    <hyperlink ref="H8" r:id="rId6" xr:uid="{00000000-0004-0000-3500-000005000000}"/>
    <hyperlink ref="H19" r:id="rId7" xr:uid="{00000000-0004-0000-35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C7417-D40A-437C-A0C6-D4951BB7A478}">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191</v>
      </c>
      <c r="H5" s="57" t="s">
        <v>193</v>
      </c>
    </row>
    <row r="6" spans="1:8" s="2" customFormat="1" ht="45" x14ac:dyDescent="0.25">
      <c r="A6" s="186" t="s">
        <v>67</v>
      </c>
      <c r="B6" s="187"/>
      <c r="C6" s="187"/>
      <c r="D6" s="127">
        <v>10</v>
      </c>
      <c r="E6" s="115" t="s">
        <v>497</v>
      </c>
      <c r="F6" s="115" t="s">
        <v>506</v>
      </c>
      <c r="G6" s="116" t="s">
        <v>402</v>
      </c>
      <c r="H6" s="116" t="s">
        <v>403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18249.78</v>
      </c>
      <c r="H14" s="69">
        <v>18379.240000000002</v>
      </c>
    </row>
    <row r="15" spans="1:8" s="2" customFormat="1" ht="14.25" x14ac:dyDescent="0.25">
      <c r="A15" s="197" t="s">
        <v>6</v>
      </c>
      <c r="B15" s="197"/>
      <c r="C15" s="197"/>
      <c r="D15" s="197"/>
      <c r="E15" s="70">
        <f>E14*12</f>
        <v>127731.72</v>
      </c>
      <c r="F15" s="70">
        <f>F14*12</f>
        <v>191706.72</v>
      </c>
      <c r="G15" s="70">
        <f>G14*12</f>
        <v>218997.36</v>
      </c>
      <c r="H15" s="70">
        <f>H14*12</f>
        <v>220550.88</v>
      </c>
    </row>
    <row r="16" spans="1:8" s="2" customFormat="1" ht="14.25" x14ac:dyDescent="0.25">
      <c r="A16" s="197" t="s">
        <v>7</v>
      </c>
      <c r="B16" s="197"/>
      <c r="C16" s="197"/>
      <c r="D16" s="197"/>
      <c r="E16" s="71" t="s">
        <v>8</v>
      </c>
      <c r="F16" s="71">
        <f>(F15-$E15)/$E15</f>
        <v>0.50085444711775584</v>
      </c>
      <c r="G16" s="71">
        <f>(G15-$E15)/$E15</f>
        <v>0.71451038160294078</v>
      </c>
      <c r="H16" s="71">
        <f>(H15-$E15)/$E15</f>
        <v>0.72667274816310312</v>
      </c>
    </row>
    <row r="17" spans="1:8" s="3" customFormat="1" ht="14.25" x14ac:dyDescent="0.25">
      <c r="A17" s="195" t="s">
        <v>9</v>
      </c>
      <c r="B17" s="195"/>
      <c r="C17" s="195"/>
      <c r="D17" s="195"/>
      <c r="E17" s="72" t="s">
        <v>8</v>
      </c>
      <c r="F17" s="70">
        <f>F15-$E15</f>
        <v>63975</v>
      </c>
      <c r="G17" s="70">
        <f>G15-$E15</f>
        <v>91265.639999999985</v>
      </c>
      <c r="H17" s="70">
        <f>H15-$E15</f>
        <v>92819.16</v>
      </c>
    </row>
    <row r="18" spans="1:8" s="3" customFormat="1" ht="14.25" x14ac:dyDescent="0.25">
      <c r="A18" s="195" t="s">
        <v>10</v>
      </c>
      <c r="B18" s="195"/>
      <c r="C18" s="195"/>
      <c r="D18" s="195"/>
      <c r="E18" s="72" t="s">
        <v>8</v>
      </c>
      <c r="F18" s="72">
        <f>F14-$E14</f>
        <v>5331.25</v>
      </c>
      <c r="G18" s="72">
        <f>G14-$E14</f>
        <v>7605.4699999999993</v>
      </c>
      <c r="H18" s="72">
        <f>H14-$E14</f>
        <v>7734.9300000000021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360</v>
      </c>
      <c r="H21" s="73" t="s">
        <v>404</v>
      </c>
    </row>
    <row r="22" spans="1:8" s="4" customFormat="1" ht="14.25" x14ac:dyDescent="0.25">
      <c r="A22" s="144" t="s">
        <v>12</v>
      </c>
      <c r="B22" s="145"/>
      <c r="C22" s="145"/>
      <c r="D22" s="146"/>
      <c r="E22" s="74" t="s">
        <v>243</v>
      </c>
      <c r="F22" s="75" t="s">
        <v>243</v>
      </c>
      <c r="G22" s="75" t="s">
        <v>355</v>
      </c>
      <c r="H22" s="75" t="s">
        <v>243</v>
      </c>
    </row>
    <row r="23" spans="1:8" s="4" customFormat="1" ht="14.25" x14ac:dyDescent="0.25">
      <c r="A23" s="153" t="s">
        <v>13</v>
      </c>
      <c r="B23" s="154"/>
      <c r="C23" s="154"/>
      <c r="D23" s="155"/>
      <c r="E23" s="76" t="s">
        <v>270</v>
      </c>
      <c r="F23" s="77" t="s">
        <v>270</v>
      </c>
      <c r="G23" s="77" t="s">
        <v>361</v>
      </c>
      <c r="H23" s="77" t="s">
        <v>405</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362</v>
      </c>
      <c r="H25" s="79" t="s">
        <v>273</v>
      </c>
    </row>
    <row r="26" spans="1:8" s="4" customFormat="1" ht="14.25" x14ac:dyDescent="0.25">
      <c r="A26" s="153" t="s">
        <v>16</v>
      </c>
      <c r="B26" s="154"/>
      <c r="C26" s="154"/>
      <c r="D26" s="155"/>
      <c r="E26" s="81" t="s">
        <v>502</v>
      </c>
      <c r="F26" s="82" t="s">
        <v>502</v>
      </c>
      <c r="G26" s="81" t="s">
        <v>254</v>
      </c>
      <c r="H26" s="81" t="s">
        <v>273</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273</v>
      </c>
    </row>
    <row r="29" spans="1:8" s="4" customFormat="1" ht="14.25" x14ac:dyDescent="0.25">
      <c r="A29" s="144" t="s">
        <v>19</v>
      </c>
      <c r="B29" s="145"/>
      <c r="C29" s="145"/>
      <c r="D29" s="146"/>
      <c r="E29" s="84" t="s">
        <v>251</v>
      </c>
      <c r="F29" s="80" t="s">
        <v>251</v>
      </c>
      <c r="G29" s="84" t="s">
        <v>340</v>
      </c>
      <c r="H29" s="84" t="s">
        <v>288</v>
      </c>
    </row>
    <row r="30" spans="1:8" s="4" customFormat="1" ht="28.5" x14ac:dyDescent="0.25">
      <c r="A30" s="153" t="s">
        <v>20</v>
      </c>
      <c r="B30" s="154"/>
      <c r="C30" s="154"/>
      <c r="D30" s="155"/>
      <c r="E30" s="77" t="s">
        <v>500</v>
      </c>
      <c r="F30" s="85" t="s">
        <v>509</v>
      </c>
      <c r="G30" s="81" t="s">
        <v>339</v>
      </c>
      <c r="H30" s="81" t="s">
        <v>406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273</v>
      </c>
    </row>
    <row r="33" spans="1:8" s="4" customFormat="1" ht="14.25" x14ac:dyDescent="0.25">
      <c r="A33" s="144" t="s">
        <v>23</v>
      </c>
      <c r="B33" s="145"/>
      <c r="C33" s="145"/>
      <c r="D33" s="146"/>
      <c r="E33" s="81" t="s">
        <v>485</v>
      </c>
      <c r="F33" s="88" t="s">
        <v>507</v>
      </c>
      <c r="G33" s="81" t="s">
        <v>359</v>
      </c>
      <c r="H33" s="81" t="s">
        <v>288</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340</v>
      </c>
      <c r="H35" s="84" t="s">
        <v>288</v>
      </c>
    </row>
    <row r="36" spans="1:8" s="4" customFormat="1" ht="42.75" x14ac:dyDescent="0.25">
      <c r="A36" s="144" t="s">
        <v>26</v>
      </c>
      <c r="B36" s="145"/>
      <c r="C36" s="145"/>
      <c r="D36" s="146"/>
      <c r="E36" s="77" t="s">
        <v>498</v>
      </c>
      <c r="F36" s="92" t="s">
        <v>508</v>
      </c>
      <c r="G36" s="77" t="s">
        <v>339</v>
      </c>
      <c r="H36" s="77" t="s">
        <v>310</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267</v>
      </c>
      <c r="H38" s="77" t="s">
        <v>273</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277</v>
      </c>
    </row>
    <row r="45" spans="1:8" s="5" customFormat="1" ht="14.25" x14ac:dyDescent="0.25">
      <c r="A45" s="150" t="s">
        <v>71</v>
      </c>
      <c r="B45" s="151"/>
      <c r="C45" s="151"/>
      <c r="D45" s="152"/>
      <c r="E45" s="99" t="str">
        <f>IF("$20"="","None","$20")</f>
        <v>$20</v>
      </c>
      <c r="F45" s="99" t="str">
        <f>IF("$20"="","None","$20")</f>
        <v>$20</v>
      </c>
      <c r="G45" s="99" t="str">
        <f>IF("$10"="","None","$10")</f>
        <v>$10</v>
      </c>
      <c r="H45" s="99" t="str">
        <f>IF("$20 after deductible"="","None","$20 after deductible")</f>
        <v>$20 after deductible</v>
      </c>
    </row>
    <row r="46" spans="1:8" s="5" customFormat="1" ht="14.25" x14ac:dyDescent="0.25">
      <c r="A46" s="150" t="s">
        <v>72</v>
      </c>
      <c r="B46" s="151"/>
      <c r="C46" s="151"/>
      <c r="D46" s="152"/>
      <c r="E46" s="99" t="str">
        <f>IF("$90"="","None","$90")</f>
        <v>$90</v>
      </c>
      <c r="F46" s="99" t="str">
        <f>IF("$90"="","None","$90")</f>
        <v>$90</v>
      </c>
      <c r="G46" s="99" t="str">
        <f>IF("50% - $125 max"="","None","50% - $125 max")</f>
        <v>50% - $125 max</v>
      </c>
      <c r="H46" s="99" t="str">
        <f>IF("50% after deductible - $125 max"="","None","50% after deductible - $125 max")</f>
        <v>50% after deductible - $125 max</v>
      </c>
    </row>
    <row r="47" spans="1:8" s="5" customFormat="1" ht="14.25" x14ac:dyDescent="0.25">
      <c r="A47" s="150" t="s">
        <v>73</v>
      </c>
      <c r="B47" s="151"/>
      <c r="C47" s="151"/>
      <c r="D47" s="152"/>
      <c r="E47" s="99" t="str">
        <f>IF("$150"="","None","$150")</f>
        <v>$150</v>
      </c>
      <c r="F47" s="99" t="str">
        <f>IF("$150"="","None","$150")</f>
        <v>$150</v>
      </c>
      <c r="G47" s="99" t="str">
        <f>IF("50% - $125 max"="","None","50% - $125 max")</f>
        <v>50% - $125 max</v>
      </c>
      <c r="H47" s="99" t="str">
        <f>IF("50% after deductible - $125 max"="","None","50% after deductible - $125 max")</f>
        <v>50% after deductible - $125 max</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364</v>
      </c>
      <c r="H49" s="99" t="s">
        <v>290</v>
      </c>
    </row>
    <row r="50" spans="1:8" s="2" customFormat="1" ht="28.5" x14ac:dyDescent="0.25">
      <c r="A50" s="147" t="s">
        <v>27</v>
      </c>
      <c r="B50" s="148"/>
      <c r="C50" s="148"/>
      <c r="D50" s="149"/>
      <c r="E50" s="99" t="s">
        <v>504</v>
      </c>
      <c r="F50" s="99" t="s">
        <v>504</v>
      </c>
      <c r="G50" s="99" t="s">
        <v>363</v>
      </c>
      <c r="H50" s="99" t="s">
        <v>356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600-000000000000}"/>
    <hyperlink ref="F8" r:id="rId2" xr:uid="{00000000-0004-0000-3600-000001000000}"/>
    <hyperlink ref="F19" r:id="rId3" xr:uid="{00000000-0004-0000-3600-000002000000}"/>
    <hyperlink ref="G8" r:id="rId4" xr:uid="{00000000-0004-0000-3600-000003000000}"/>
    <hyperlink ref="G19" r:id="rId5" xr:uid="{00000000-0004-0000-3600-000004000000}"/>
    <hyperlink ref="H8" r:id="rId6" xr:uid="{00000000-0004-0000-3600-000005000000}"/>
    <hyperlink ref="H19" r:id="rId7" xr:uid="{00000000-0004-0000-36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A58F-35F8-4CAB-BF75-FD821F88A417}">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195</v>
      </c>
      <c r="H5" s="57" t="s">
        <v>197</v>
      </c>
    </row>
    <row r="6" spans="1:8" s="2" customFormat="1" ht="45" x14ac:dyDescent="0.25">
      <c r="A6" s="186" t="s">
        <v>67</v>
      </c>
      <c r="B6" s="187"/>
      <c r="C6" s="187"/>
      <c r="D6" s="127">
        <v>10</v>
      </c>
      <c r="E6" s="115" t="s">
        <v>497</v>
      </c>
      <c r="F6" s="115" t="s">
        <v>506</v>
      </c>
      <c r="G6" s="116" t="s">
        <v>407</v>
      </c>
      <c r="H6" s="116" t="s">
        <v>413</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18732.259999999998</v>
      </c>
      <c r="H14" s="69">
        <v>19113.759999999998</v>
      </c>
    </row>
    <row r="15" spans="1:8" s="2" customFormat="1" ht="14.25" x14ac:dyDescent="0.25">
      <c r="A15" s="197" t="s">
        <v>6</v>
      </c>
      <c r="B15" s="197"/>
      <c r="C15" s="197"/>
      <c r="D15" s="197"/>
      <c r="E15" s="70">
        <f>E14*12</f>
        <v>127731.72</v>
      </c>
      <c r="F15" s="70">
        <f>F14*12</f>
        <v>191706.72</v>
      </c>
      <c r="G15" s="70">
        <f>G14*12</f>
        <v>224787.12</v>
      </c>
      <c r="H15" s="70">
        <f>H14*12</f>
        <v>229365.12</v>
      </c>
    </row>
    <row r="16" spans="1:8" s="2" customFormat="1" ht="14.25" x14ac:dyDescent="0.25">
      <c r="A16" s="197" t="s">
        <v>7</v>
      </c>
      <c r="B16" s="197"/>
      <c r="C16" s="197"/>
      <c r="D16" s="197"/>
      <c r="E16" s="71" t="s">
        <v>8</v>
      </c>
      <c r="F16" s="71">
        <f>(F15-$E15)/$E15</f>
        <v>0.50085444711775584</v>
      </c>
      <c r="G16" s="71">
        <f>(G15-$E15)/$E15</f>
        <v>0.75983788521754814</v>
      </c>
      <c r="H16" s="71">
        <f>(H15-$E15)/$E15</f>
        <v>0.79567863017894058</v>
      </c>
    </row>
    <row r="17" spans="1:8" s="3" customFormat="1" ht="14.25" x14ac:dyDescent="0.25">
      <c r="A17" s="195" t="s">
        <v>9</v>
      </c>
      <c r="B17" s="195"/>
      <c r="C17" s="195"/>
      <c r="D17" s="195"/>
      <c r="E17" s="72" t="s">
        <v>8</v>
      </c>
      <c r="F17" s="70">
        <f>F15-$E15</f>
        <v>63975</v>
      </c>
      <c r="G17" s="70">
        <f>G15-$E15</f>
        <v>97055.4</v>
      </c>
      <c r="H17" s="70">
        <f>H15-$E15</f>
        <v>101633.4</v>
      </c>
    </row>
    <row r="18" spans="1:8" s="3" customFormat="1" ht="14.25" x14ac:dyDescent="0.25">
      <c r="A18" s="195" t="s">
        <v>10</v>
      </c>
      <c r="B18" s="195"/>
      <c r="C18" s="195"/>
      <c r="D18" s="195"/>
      <c r="E18" s="72" t="s">
        <v>8</v>
      </c>
      <c r="F18" s="72">
        <f>F14-$E14</f>
        <v>5331.25</v>
      </c>
      <c r="G18" s="72">
        <f>G14-$E14</f>
        <v>8087.9499999999989</v>
      </c>
      <c r="H18" s="72">
        <f>H14-$E14</f>
        <v>8469.4499999999989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408</v>
      </c>
      <c r="H21" s="73" t="s">
        <v>318</v>
      </c>
    </row>
    <row r="22" spans="1:8" s="4" customFormat="1" ht="14.25" x14ac:dyDescent="0.25">
      <c r="A22" s="144" t="s">
        <v>12</v>
      </c>
      <c r="B22" s="145"/>
      <c r="C22" s="145"/>
      <c r="D22" s="146"/>
      <c r="E22" s="74" t="s">
        <v>243</v>
      </c>
      <c r="F22" s="75" t="s">
        <v>243</v>
      </c>
      <c r="G22" s="75" t="s">
        <v>266</v>
      </c>
      <c r="H22" s="75" t="s">
        <v>266</v>
      </c>
    </row>
    <row r="23" spans="1:8" s="4" customFormat="1" ht="14.25" x14ac:dyDescent="0.25">
      <c r="A23" s="153" t="s">
        <v>13</v>
      </c>
      <c r="B23" s="154"/>
      <c r="C23" s="154"/>
      <c r="D23" s="155"/>
      <c r="E23" s="76" t="s">
        <v>270</v>
      </c>
      <c r="F23" s="77" t="s">
        <v>270</v>
      </c>
      <c r="G23" s="77" t="s">
        <v>409</v>
      </c>
      <c r="H23" s="77" t="s">
        <v>249</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411</v>
      </c>
      <c r="H25" s="79" t="s">
        <v>321</v>
      </c>
    </row>
    <row r="26" spans="1:8" s="4" customFormat="1" ht="14.25" x14ac:dyDescent="0.25">
      <c r="A26" s="153" t="s">
        <v>16</v>
      </c>
      <c r="B26" s="154"/>
      <c r="C26" s="154"/>
      <c r="D26" s="155"/>
      <c r="E26" s="81" t="s">
        <v>502</v>
      </c>
      <c r="F26" s="82" t="s">
        <v>502</v>
      </c>
      <c r="G26" s="81" t="s">
        <v>321</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348</v>
      </c>
      <c r="H28" s="84" t="s">
        <v>414</v>
      </c>
    </row>
    <row r="29" spans="1:8" s="4" customFormat="1" ht="28.5" x14ac:dyDescent="0.25">
      <c r="A29" s="144" t="s">
        <v>19</v>
      </c>
      <c r="B29" s="145"/>
      <c r="C29" s="145"/>
      <c r="D29" s="146"/>
      <c r="E29" s="84" t="s">
        <v>251</v>
      </c>
      <c r="F29" s="80" t="s">
        <v>251</v>
      </c>
      <c r="G29" s="84" t="s">
        <v>267</v>
      </c>
      <c r="H29" s="84" t="s">
        <v>414</v>
      </c>
    </row>
    <row r="30" spans="1:8" s="4" customFormat="1" ht="28.5" x14ac:dyDescent="0.25">
      <c r="A30" s="153" t="s">
        <v>20</v>
      </c>
      <c r="B30" s="154"/>
      <c r="C30" s="154"/>
      <c r="D30" s="155"/>
      <c r="E30" s="77" t="s">
        <v>500</v>
      </c>
      <c r="F30" s="85" t="s">
        <v>509</v>
      </c>
      <c r="G30" s="81" t="s">
        <v>336</v>
      </c>
      <c r="H30" s="81" t="s">
        <v>272</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307</v>
      </c>
    </row>
    <row r="33" spans="1:8" s="4" customFormat="1" ht="28.5" x14ac:dyDescent="0.25">
      <c r="A33" s="144" t="s">
        <v>23</v>
      </c>
      <c r="B33" s="145"/>
      <c r="C33" s="145"/>
      <c r="D33" s="146"/>
      <c r="E33" s="81" t="s">
        <v>485</v>
      </c>
      <c r="F33" s="88" t="s">
        <v>507</v>
      </c>
      <c r="G33" s="81" t="s">
        <v>346</v>
      </c>
      <c r="H33" s="81" t="s">
        <v>326</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501</v>
      </c>
      <c r="F35" s="91" t="s">
        <v>510</v>
      </c>
      <c r="G35" s="84" t="s">
        <v>410</v>
      </c>
      <c r="H35" s="84" t="s">
        <v>415</v>
      </c>
    </row>
    <row r="36" spans="1:8" s="4" customFormat="1" ht="42.75" x14ac:dyDescent="0.25">
      <c r="A36" s="144" t="s">
        <v>26</v>
      </c>
      <c r="B36" s="145"/>
      <c r="C36" s="145"/>
      <c r="D36" s="146"/>
      <c r="E36" s="77" t="s">
        <v>498</v>
      </c>
      <c r="F36" s="92" t="s">
        <v>508</v>
      </c>
      <c r="G36" s="77" t="s">
        <v>267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251</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IF("$20"="","None","$20")</f>
        <v>$20</v>
      </c>
      <c r="F45" s="99" t="str">
        <f>IF("$20"="","None","$20")</f>
        <v>$20</v>
      </c>
      <c r="G45" s="99" t="str">
        <f>IF("$15"="","None","$15")</f>
        <v>$15</v>
      </c>
      <c r="H45" s="99" t="str">
        <f>IF("$25"="","None","$25")</f>
        <v>$25</v>
      </c>
    </row>
    <row r="46" spans="1:8" s="5" customFormat="1" ht="14.25" x14ac:dyDescent="0.25">
      <c r="A46" s="150" t="s">
        <v>72</v>
      </c>
      <c r="B46" s="151"/>
      <c r="C46" s="151"/>
      <c r="D46" s="152"/>
      <c r="E46" s="99" t="str">
        <f>IF("$90"="","None","$90")</f>
        <v>$90</v>
      </c>
      <c r="F46" s="99" t="str">
        <f>IF("$90"="","None","$90")</f>
        <v>$90</v>
      </c>
      <c r="G46" s="99" t="str">
        <f>IF("$35"="","None","$35")</f>
        <v>$35</v>
      </c>
      <c r="H46" s="99" t="str">
        <f>IF("$50"="","None","$50")</f>
        <v>$50</v>
      </c>
    </row>
    <row r="47" spans="1:8" s="5" customFormat="1" ht="14.25" x14ac:dyDescent="0.25">
      <c r="A47" s="150" t="s">
        <v>73</v>
      </c>
      <c r="B47" s="151"/>
      <c r="C47" s="151"/>
      <c r="D47" s="152"/>
      <c r="E47" s="99" t="str">
        <f>IF("$150"="","None","$150")</f>
        <v>$150</v>
      </c>
      <c r="F47" s="99" t="str">
        <f>IF("$150"="","None","$150")</f>
        <v>$150</v>
      </c>
      <c r="G47" s="99" t="str">
        <f>IF("$75"="","None","$75")</f>
        <v>$75</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400</v>
      </c>
      <c r="H49" s="99" t="s">
        <v>334</v>
      </c>
    </row>
    <row r="50" spans="1:8" s="2" customFormat="1" ht="14.25" x14ac:dyDescent="0.25">
      <c r="A50" s="147" t="s">
        <v>27</v>
      </c>
      <c r="B50" s="148"/>
      <c r="C50" s="148"/>
      <c r="D50" s="149"/>
      <c r="E50" s="99" t="s">
        <v>504</v>
      </c>
      <c r="F50" s="99" t="s">
        <v>504</v>
      </c>
      <c r="G50" s="99" t="s">
        <v>412</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700-000000000000}"/>
    <hyperlink ref="F8" r:id="rId2" xr:uid="{00000000-0004-0000-3700-000001000000}"/>
    <hyperlink ref="F19" r:id="rId3" xr:uid="{00000000-0004-0000-3700-000002000000}"/>
    <hyperlink ref="G8" r:id="rId4" xr:uid="{00000000-0004-0000-3700-000003000000}"/>
    <hyperlink ref="G19" r:id="rId5" xr:uid="{00000000-0004-0000-3700-000004000000}"/>
    <hyperlink ref="H8" r:id="rId6" xr:uid="{00000000-0004-0000-3700-000005000000}"/>
    <hyperlink ref="H19" r:id="rId7" xr:uid="{00000000-0004-0000-37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BF00-4086-4405-8205-3517E481D9B4}">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199</v>
      </c>
      <c r="H5" s="57" t="s">
        <v>201</v>
      </c>
    </row>
    <row r="6" spans="1:8" s="2" customFormat="1" ht="45" x14ac:dyDescent="0.25">
      <c r="A6" s="186" t="s">
        <v>67</v>
      </c>
      <c r="B6" s="187"/>
      <c r="C6" s="187"/>
      <c r="D6" s="127">
        <v>10</v>
      </c>
      <c r="E6" s="115" t="s">
        <v>497</v>
      </c>
      <c r="F6" s="115" t="s">
        <v>506</v>
      </c>
      <c r="G6" s="116" t="s">
        <v>417</v>
      </c>
      <c r="H6" s="116" t="s">
        <v>426</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19430.38</v>
      </c>
      <c r="H14" s="69">
        <v>20128.66</v>
      </c>
    </row>
    <row r="15" spans="1:8" s="2" customFormat="1" ht="14.25" x14ac:dyDescent="0.25">
      <c r="A15" s="197" t="s">
        <v>6</v>
      </c>
      <c r="B15" s="197"/>
      <c r="C15" s="197"/>
      <c r="D15" s="197"/>
      <c r="E15" s="70">
        <f>E14*12</f>
        <v>127731.72</v>
      </c>
      <c r="F15" s="70">
        <f>F14*12</f>
        <v>191706.72</v>
      </c>
      <c r="G15" s="70">
        <f>G14*12</f>
        <v>233164.56</v>
      </c>
      <c r="H15" s="70">
        <f>H14*12</f>
        <v>241543.91999999998</v>
      </c>
    </row>
    <row r="16" spans="1:8" s="2" customFormat="1" ht="14.25" x14ac:dyDescent="0.25">
      <c r="A16" s="197" t="s">
        <v>7</v>
      </c>
      <c r="B16" s="197"/>
      <c r="C16" s="197"/>
      <c r="D16" s="197"/>
      <c r="E16" s="71" t="s">
        <v>8</v>
      </c>
      <c r="F16" s="71">
        <f>(F15-$E15)/$E15</f>
        <v>0.50085444711775584</v>
      </c>
      <c r="G16" s="71">
        <f>(G15-$E15)/$E15</f>
        <v>0.82542409982422527</v>
      </c>
      <c r="H16" s="71">
        <f>(H15-$E15)/$E15</f>
        <v>0.89102534593599758</v>
      </c>
    </row>
    <row r="17" spans="1:8" s="3" customFormat="1" ht="14.25" x14ac:dyDescent="0.25">
      <c r="A17" s="195" t="s">
        <v>9</v>
      </c>
      <c r="B17" s="195"/>
      <c r="C17" s="195"/>
      <c r="D17" s="195"/>
      <c r="E17" s="72" t="s">
        <v>8</v>
      </c>
      <c r="F17" s="70">
        <f>F15-$E15</f>
        <v>63975</v>
      </c>
      <c r="G17" s="70">
        <f>G15-$E15</f>
        <v>105432.84</v>
      </c>
      <c r="H17" s="70">
        <f>H15-$E15</f>
        <v>113812.19999999998</v>
      </c>
    </row>
    <row r="18" spans="1:8" s="3" customFormat="1" ht="14.25" x14ac:dyDescent="0.25">
      <c r="A18" s="195" t="s">
        <v>10</v>
      </c>
      <c r="B18" s="195"/>
      <c r="C18" s="195"/>
      <c r="D18" s="195"/>
      <c r="E18" s="72" t="s">
        <v>8</v>
      </c>
      <c r="F18" s="72">
        <f>F14-$E14</f>
        <v>5331.25</v>
      </c>
      <c r="G18" s="72">
        <f>G14-$E14</f>
        <v>8786.0700000000015</v>
      </c>
      <c r="H18" s="72">
        <f>H14-$E14</f>
        <v>9484.35</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270</v>
      </c>
      <c r="F23" s="77" t="s">
        <v>270</v>
      </c>
      <c r="G23" s="77" t="s">
        <v>319</v>
      </c>
      <c r="H23" s="77" t="s">
        <v>428</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423</v>
      </c>
      <c r="H25" s="79" t="s">
        <v>321</v>
      </c>
    </row>
    <row r="26" spans="1:8" s="4" customFormat="1" ht="14.25" x14ac:dyDescent="0.25">
      <c r="A26" s="153" t="s">
        <v>16</v>
      </c>
      <c r="B26" s="154"/>
      <c r="C26" s="154"/>
      <c r="D26" s="155"/>
      <c r="E26" s="81" t="s">
        <v>502</v>
      </c>
      <c r="F26" s="82" t="s">
        <v>502</v>
      </c>
      <c r="G26" s="81" t="s">
        <v>274</v>
      </c>
      <c r="H26" s="81" t="s">
        <v>307</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251</v>
      </c>
      <c r="H28" s="84" t="s">
        <v>429</v>
      </c>
    </row>
    <row r="29" spans="1:8" s="4" customFormat="1" ht="14.25" x14ac:dyDescent="0.25">
      <c r="A29" s="144" t="s">
        <v>19</v>
      </c>
      <c r="B29" s="145"/>
      <c r="C29" s="145"/>
      <c r="D29" s="146"/>
      <c r="E29" s="84" t="s">
        <v>251</v>
      </c>
      <c r="F29" s="80" t="s">
        <v>251</v>
      </c>
      <c r="G29" s="84" t="s">
        <v>422</v>
      </c>
      <c r="H29" s="84" t="s">
        <v>321</v>
      </c>
    </row>
    <row r="30" spans="1:8" s="4" customFormat="1" ht="14.25" x14ac:dyDescent="0.25">
      <c r="A30" s="153" t="s">
        <v>20</v>
      </c>
      <c r="B30" s="154"/>
      <c r="C30" s="154"/>
      <c r="D30" s="155"/>
      <c r="E30" s="77" t="s">
        <v>500</v>
      </c>
      <c r="F30" s="85" t="s">
        <v>509</v>
      </c>
      <c r="G30" s="81" t="s">
        <v>420</v>
      </c>
      <c r="H30" s="81" t="s">
        <v>336</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321</v>
      </c>
    </row>
    <row r="33" spans="1:8" s="4" customFormat="1" ht="14.25" x14ac:dyDescent="0.25">
      <c r="A33" s="144" t="s">
        <v>23</v>
      </c>
      <c r="B33" s="145"/>
      <c r="C33" s="145"/>
      <c r="D33" s="146"/>
      <c r="E33" s="81" t="s">
        <v>485</v>
      </c>
      <c r="F33" s="88" t="s">
        <v>507</v>
      </c>
      <c r="G33" s="81" t="s">
        <v>418</v>
      </c>
      <c r="H33" s="81" t="s">
        <v>336</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421</v>
      </c>
      <c r="H35" s="84" t="s">
        <v>430</v>
      </c>
    </row>
    <row r="36" spans="1:8" s="4" customFormat="1" ht="42.75" x14ac:dyDescent="0.25">
      <c r="A36" s="144" t="s">
        <v>26</v>
      </c>
      <c r="B36" s="145"/>
      <c r="C36" s="145"/>
      <c r="D36" s="146"/>
      <c r="E36" s="77" t="s">
        <v>498</v>
      </c>
      <c r="F36" s="92" t="s">
        <v>508</v>
      </c>
      <c r="G36" s="77" t="s">
        <v>419</v>
      </c>
      <c r="H36" s="77" t="s">
        <v>427</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251</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255</v>
      </c>
      <c r="H44" s="97" t="s">
        <v>431</v>
      </c>
    </row>
    <row r="45" spans="1:8" s="5" customFormat="1" ht="14.25" x14ac:dyDescent="0.25">
      <c r="A45" s="150" t="s">
        <v>71</v>
      </c>
      <c r="B45" s="151"/>
      <c r="C45" s="151"/>
      <c r="D45" s="152"/>
      <c r="E45" s="99" t="str">
        <f>IF("$20"="","None","$20")</f>
        <v>$20</v>
      </c>
      <c r="F45" s="99" t="str">
        <f>IF("$20"="","None","$20")</f>
        <v>$20</v>
      </c>
      <c r="G45" s="99" t="str">
        <f>IF("$15"="","None","$15")</f>
        <v>$15</v>
      </c>
      <c r="H45" s="99" t="str">
        <f>IF("$7"="","None","$7")</f>
        <v>$7</v>
      </c>
    </row>
    <row r="46" spans="1:8" s="5" customFormat="1" ht="14.25" x14ac:dyDescent="0.25">
      <c r="A46" s="150" t="s">
        <v>72</v>
      </c>
      <c r="B46" s="151"/>
      <c r="C46" s="151"/>
      <c r="D46" s="152"/>
      <c r="E46" s="99" t="str">
        <f>IF("$90"="","None","$90")</f>
        <v>$90</v>
      </c>
      <c r="F46" s="99" t="str">
        <f>IF("$90"="","None","$90")</f>
        <v>$90</v>
      </c>
      <c r="G46" s="99" t="str">
        <f>IF("$50"="","None","$50")</f>
        <v>$50</v>
      </c>
      <c r="H46" s="99" t="str">
        <f>IF("$35 after Rx deductible"="","None","$35 after Rx deductible")</f>
        <v>$35 after Rx deductible</v>
      </c>
    </row>
    <row r="47" spans="1:8" s="5" customFormat="1" ht="14.25" x14ac:dyDescent="0.25">
      <c r="A47" s="150" t="s">
        <v>73</v>
      </c>
      <c r="B47" s="151"/>
      <c r="C47" s="151"/>
      <c r="D47" s="152"/>
      <c r="E47" s="99" t="str">
        <f>IF("$150"="","None","$150")</f>
        <v>$150</v>
      </c>
      <c r="F47" s="99" t="str">
        <f>IF("$150"="","None","$150")</f>
        <v>$150</v>
      </c>
      <c r="G47" s="99" t="str">
        <f>IF("$300"="","None","$300")</f>
        <v>$300</v>
      </c>
      <c r="H47" s="99" t="str">
        <f>IF("$75 after Rx deductible"="","None","$75 after Rx deductible")</f>
        <v>$75 after Rx deductible</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42.75" x14ac:dyDescent="0.25">
      <c r="A49" s="147" t="s">
        <v>75</v>
      </c>
      <c r="B49" s="148"/>
      <c r="C49" s="148"/>
      <c r="D49" s="149"/>
      <c r="E49" s="99" t="s">
        <v>505</v>
      </c>
      <c r="F49" s="99" t="s">
        <v>505</v>
      </c>
      <c r="G49" s="99" t="s">
        <v>425</v>
      </c>
      <c r="H49" s="99" t="s">
        <v>433</v>
      </c>
    </row>
    <row r="50" spans="1:8" s="2" customFormat="1" ht="28.5" x14ac:dyDescent="0.25">
      <c r="A50" s="147" t="s">
        <v>27</v>
      </c>
      <c r="B50" s="148"/>
      <c r="C50" s="148"/>
      <c r="D50" s="149"/>
      <c r="E50" s="99" t="s">
        <v>504</v>
      </c>
      <c r="F50" s="99" t="s">
        <v>504</v>
      </c>
      <c r="G50" s="99" t="s">
        <v>424</v>
      </c>
      <c r="H50" s="99" t="s">
        <v>432</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800-000000000000}"/>
    <hyperlink ref="F8" r:id="rId2" xr:uid="{00000000-0004-0000-3800-000001000000}"/>
    <hyperlink ref="F19" r:id="rId3" xr:uid="{00000000-0004-0000-3800-000002000000}"/>
    <hyperlink ref="G8" r:id="rId4" xr:uid="{00000000-0004-0000-3800-000003000000}"/>
    <hyperlink ref="G19" r:id="rId5" xr:uid="{00000000-0004-0000-3800-000004000000}"/>
    <hyperlink ref="H8" r:id="rId6" xr:uid="{00000000-0004-0000-3800-000005000000}"/>
    <hyperlink ref="H19" r:id="rId7" xr:uid="{00000000-0004-0000-38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21DF-2B98-42DE-A494-84A343511B86}">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203</v>
      </c>
      <c r="H5" s="57" t="s">
        <v>205</v>
      </c>
    </row>
    <row r="6" spans="1:8" s="2" customFormat="1" ht="45" x14ac:dyDescent="0.25">
      <c r="A6" s="186" t="s">
        <v>67</v>
      </c>
      <c r="B6" s="187"/>
      <c r="C6" s="187"/>
      <c r="D6" s="127">
        <v>10</v>
      </c>
      <c r="E6" s="115" t="s">
        <v>497</v>
      </c>
      <c r="F6" s="115" t="s">
        <v>506</v>
      </c>
      <c r="G6" s="116" t="s">
        <v>434</v>
      </c>
      <c r="H6" s="116" t="s">
        <v>447</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20507.29</v>
      </c>
      <c r="H14" s="69">
        <v>20869.78</v>
      </c>
    </row>
    <row r="15" spans="1:8" s="2" customFormat="1" ht="14.25" x14ac:dyDescent="0.25">
      <c r="A15" s="197" t="s">
        <v>6</v>
      </c>
      <c r="B15" s="197"/>
      <c r="C15" s="197"/>
      <c r="D15" s="197"/>
      <c r="E15" s="70">
        <f>E14*12</f>
        <v>127731.72</v>
      </c>
      <c r="F15" s="70">
        <f>F14*12</f>
        <v>191706.72</v>
      </c>
      <c r="G15" s="70">
        <f>G14*12</f>
        <v>246087.48</v>
      </c>
      <c r="H15" s="70">
        <f>H14*12</f>
        <v>250437.36</v>
      </c>
    </row>
    <row r="16" spans="1:8" s="2" customFormat="1" ht="14.25" x14ac:dyDescent="0.25">
      <c r="A16" s="197" t="s">
        <v>7</v>
      </c>
      <c r="B16" s="197"/>
      <c r="C16" s="197"/>
      <c r="D16" s="197"/>
      <c r="E16" s="71" t="s">
        <v>8</v>
      </c>
      <c r="F16" s="71">
        <f>(F15-$E15)/$E15</f>
        <v>0.50085444711775584</v>
      </c>
      <c r="G16" s="71">
        <f>(G15-$E15)/$E15</f>
        <v>0.92659646327474499</v>
      </c>
      <c r="H16" s="71">
        <f>(H15-$E15)/$E15</f>
        <v>0.96065127753701263</v>
      </c>
    </row>
    <row r="17" spans="1:8" s="3" customFormat="1" ht="14.25" x14ac:dyDescent="0.25">
      <c r="A17" s="195" t="s">
        <v>9</v>
      </c>
      <c r="B17" s="195"/>
      <c r="C17" s="195"/>
      <c r="D17" s="195"/>
      <c r="E17" s="72" t="s">
        <v>8</v>
      </c>
      <c r="F17" s="70">
        <f>F15-$E15</f>
        <v>63975</v>
      </c>
      <c r="G17" s="70">
        <f>G15-$E15</f>
        <v>118355.76000000001</v>
      </c>
      <c r="H17" s="70">
        <f>H15-$E15</f>
        <v>122705.63999999998</v>
      </c>
    </row>
    <row r="18" spans="1:8" s="3" customFormat="1" ht="14.25" x14ac:dyDescent="0.25">
      <c r="A18" s="195" t="s">
        <v>10</v>
      </c>
      <c r="B18" s="195"/>
      <c r="C18" s="195"/>
      <c r="D18" s="195"/>
      <c r="E18" s="72" t="s">
        <v>8</v>
      </c>
      <c r="F18" s="72">
        <f>F14-$E14</f>
        <v>5331.25</v>
      </c>
      <c r="G18" s="72">
        <f>G14-$E14</f>
        <v>9862.9800000000014</v>
      </c>
      <c r="H18" s="72">
        <f>H14-$E14</f>
        <v>10225.469999999999</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438</v>
      </c>
      <c r="H21" s="73" t="s">
        <v>318</v>
      </c>
    </row>
    <row r="22" spans="1:8" s="4" customFormat="1" ht="14.25" x14ac:dyDescent="0.25">
      <c r="A22" s="144" t="s">
        <v>12</v>
      </c>
      <c r="B22" s="145"/>
      <c r="C22" s="145"/>
      <c r="D22" s="146"/>
      <c r="E22" s="74" t="s">
        <v>243</v>
      </c>
      <c r="F22" s="75" t="s">
        <v>243</v>
      </c>
      <c r="G22" s="75" t="s">
        <v>435</v>
      </c>
      <c r="H22" s="75" t="s">
        <v>266</v>
      </c>
    </row>
    <row r="23" spans="1:8" s="4" customFormat="1" ht="28.5" x14ac:dyDescent="0.25">
      <c r="A23" s="153" t="s">
        <v>13</v>
      </c>
      <c r="B23" s="154"/>
      <c r="C23" s="154"/>
      <c r="D23" s="155"/>
      <c r="E23" s="76" t="s">
        <v>270</v>
      </c>
      <c r="F23" s="77" t="s">
        <v>270</v>
      </c>
      <c r="G23" s="77" t="s">
        <v>439</v>
      </c>
      <c r="H23" s="77" t="s">
        <v>249</v>
      </c>
    </row>
    <row r="24" spans="1:8" s="4" customFormat="1" ht="18" customHeight="1" x14ac:dyDescent="0.25">
      <c r="A24" s="176" t="s">
        <v>14</v>
      </c>
      <c r="B24" s="177"/>
      <c r="C24" s="177"/>
      <c r="D24" s="178"/>
      <c r="E24" s="78"/>
      <c r="F24" s="78"/>
      <c r="G24" s="78"/>
      <c r="H24" s="78"/>
    </row>
    <row r="25" spans="1:8" s="4" customFormat="1" ht="28.5" x14ac:dyDescent="0.25">
      <c r="A25" s="144" t="s">
        <v>15</v>
      </c>
      <c r="B25" s="145"/>
      <c r="C25" s="145"/>
      <c r="D25" s="146"/>
      <c r="E25" s="79" t="s">
        <v>502</v>
      </c>
      <c r="F25" s="80" t="s">
        <v>502</v>
      </c>
      <c r="G25" s="79" t="s">
        <v>443</v>
      </c>
      <c r="H25" s="79" t="s">
        <v>321</v>
      </c>
    </row>
    <row r="26" spans="1:8" s="4" customFormat="1" ht="28.5" x14ac:dyDescent="0.25">
      <c r="A26" s="153" t="s">
        <v>16</v>
      </c>
      <c r="B26" s="154"/>
      <c r="C26" s="154"/>
      <c r="D26" s="155"/>
      <c r="E26" s="81" t="s">
        <v>502</v>
      </c>
      <c r="F26" s="82" t="s">
        <v>502</v>
      </c>
      <c r="G26" s="81" t="s">
        <v>444</v>
      </c>
      <c r="H26" s="81" t="s">
        <v>307</v>
      </c>
    </row>
    <row r="27" spans="1:8" s="4" customFormat="1" ht="18" customHeight="1" x14ac:dyDescent="0.25">
      <c r="A27" s="161" t="s">
        <v>17</v>
      </c>
      <c r="B27" s="162"/>
      <c r="C27" s="162"/>
      <c r="D27" s="163"/>
      <c r="E27" s="83"/>
      <c r="F27" s="83"/>
      <c r="G27" s="83"/>
      <c r="H27" s="83"/>
    </row>
    <row r="28" spans="1:8" s="4" customFormat="1" ht="57" x14ac:dyDescent="0.25">
      <c r="A28" s="144" t="s">
        <v>18</v>
      </c>
      <c r="B28" s="145"/>
      <c r="C28" s="145"/>
      <c r="D28" s="146"/>
      <c r="E28" s="79" t="s">
        <v>251</v>
      </c>
      <c r="F28" s="80" t="s">
        <v>251</v>
      </c>
      <c r="G28" s="84" t="s">
        <v>441</v>
      </c>
      <c r="H28" s="84" t="s">
        <v>414</v>
      </c>
    </row>
    <row r="29" spans="1:8" s="4" customFormat="1" ht="57" x14ac:dyDescent="0.25">
      <c r="A29" s="144" t="s">
        <v>19</v>
      </c>
      <c r="B29" s="145"/>
      <c r="C29" s="145"/>
      <c r="D29" s="146"/>
      <c r="E29" s="84" t="s">
        <v>251</v>
      </c>
      <c r="F29" s="80" t="s">
        <v>251</v>
      </c>
      <c r="G29" s="84" t="s">
        <v>441</v>
      </c>
      <c r="H29" s="84" t="s">
        <v>414</v>
      </c>
    </row>
    <row r="30" spans="1:8" s="4" customFormat="1" ht="42.75" x14ac:dyDescent="0.25">
      <c r="A30" s="153" t="s">
        <v>20</v>
      </c>
      <c r="B30" s="154"/>
      <c r="C30" s="154"/>
      <c r="D30" s="155"/>
      <c r="E30" s="77" t="s">
        <v>500</v>
      </c>
      <c r="F30" s="85" t="s">
        <v>509</v>
      </c>
      <c r="G30" s="81" t="s">
        <v>440</v>
      </c>
      <c r="H30" s="81" t="s">
        <v>272</v>
      </c>
    </row>
    <row r="31" spans="1:8" s="4" customFormat="1" ht="18" customHeight="1" x14ac:dyDescent="0.25">
      <c r="A31" s="161" t="s">
        <v>21</v>
      </c>
      <c r="B31" s="162"/>
      <c r="C31" s="162"/>
      <c r="D31" s="163"/>
      <c r="E31" s="78"/>
      <c r="F31" s="86"/>
      <c r="G31" s="83"/>
      <c r="H31" s="83"/>
    </row>
    <row r="32" spans="1:8" s="4" customFormat="1" ht="28.5" x14ac:dyDescent="0.25">
      <c r="A32" s="144" t="s">
        <v>22</v>
      </c>
      <c r="B32" s="145"/>
      <c r="C32" s="145"/>
      <c r="D32" s="146"/>
      <c r="E32" s="79" t="s">
        <v>503</v>
      </c>
      <c r="F32" s="87" t="s">
        <v>503</v>
      </c>
      <c r="G32" s="84" t="s">
        <v>445</v>
      </c>
      <c r="H32" s="84" t="s">
        <v>307</v>
      </c>
    </row>
    <row r="33" spans="1:8" s="4" customFormat="1" ht="28.5" x14ac:dyDescent="0.25">
      <c r="A33" s="144" t="s">
        <v>23</v>
      </c>
      <c r="B33" s="145"/>
      <c r="C33" s="145"/>
      <c r="D33" s="146"/>
      <c r="E33" s="81" t="s">
        <v>485</v>
      </c>
      <c r="F33" s="88" t="s">
        <v>507</v>
      </c>
      <c r="G33" s="81" t="s">
        <v>436</v>
      </c>
      <c r="H33" s="81" t="s">
        <v>326</v>
      </c>
    </row>
    <row r="34" spans="1:8" s="4" customFormat="1" ht="18" customHeight="1" x14ac:dyDescent="0.25">
      <c r="A34" s="161" t="s">
        <v>24</v>
      </c>
      <c r="B34" s="162"/>
      <c r="C34" s="162"/>
      <c r="D34" s="163"/>
      <c r="E34" s="83"/>
      <c r="F34" s="89"/>
      <c r="G34" s="78"/>
      <c r="H34" s="78"/>
    </row>
    <row r="35" spans="1:8" s="4" customFormat="1" ht="71.25" x14ac:dyDescent="0.25">
      <c r="A35" s="144" t="s">
        <v>25</v>
      </c>
      <c r="B35" s="145"/>
      <c r="C35" s="145"/>
      <c r="D35" s="146"/>
      <c r="E35" s="90" t="s">
        <v>501</v>
      </c>
      <c r="F35" s="91" t="s">
        <v>510</v>
      </c>
      <c r="G35" s="84" t="s">
        <v>442</v>
      </c>
      <c r="H35" s="84" t="s">
        <v>415</v>
      </c>
    </row>
    <row r="36" spans="1:8" s="4" customFormat="1" ht="99.75" x14ac:dyDescent="0.25">
      <c r="A36" s="144" t="s">
        <v>26</v>
      </c>
      <c r="B36" s="145"/>
      <c r="C36" s="145"/>
      <c r="D36" s="146"/>
      <c r="E36" s="77" t="s">
        <v>498</v>
      </c>
      <c r="F36" s="92" t="s">
        <v>508</v>
      </c>
      <c r="G36" s="77" t="s">
        <v>437</v>
      </c>
      <c r="H36" s="77" t="s">
        <v>327</v>
      </c>
    </row>
    <row r="37" spans="1:8" s="4" customFormat="1" ht="14.25" x14ac:dyDescent="0.25">
      <c r="A37" s="161" t="s">
        <v>69</v>
      </c>
      <c r="B37" s="162"/>
      <c r="C37" s="162"/>
      <c r="D37" s="163"/>
      <c r="E37" s="83"/>
      <c r="F37" s="83"/>
      <c r="G37" s="83"/>
      <c r="H37" s="83"/>
    </row>
    <row r="38" spans="1:8" s="4" customFormat="1" ht="28.5" x14ac:dyDescent="0.25">
      <c r="A38" s="144" t="s">
        <v>70</v>
      </c>
      <c r="B38" s="145"/>
      <c r="C38" s="145"/>
      <c r="D38" s="146"/>
      <c r="E38" s="77" t="s">
        <v>244</v>
      </c>
      <c r="F38" s="77" t="s">
        <v>244</v>
      </c>
      <c r="G38" s="77" t="s">
        <v>272</v>
      </c>
      <c r="H38" s="77" t="s">
        <v>272</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28.5" x14ac:dyDescent="0.25">
      <c r="A44" s="164" t="s">
        <v>33</v>
      </c>
      <c r="B44" s="165"/>
      <c r="C44" s="165"/>
      <c r="D44" s="166"/>
      <c r="E44" s="97" t="s">
        <v>255</v>
      </c>
      <c r="F44" s="98" t="s">
        <v>255</v>
      </c>
      <c r="G44" s="97" t="s">
        <v>375</v>
      </c>
      <c r="H44" s="97" t="s">
        <v>255</v>
      </c>
    </row>
    <row r="45" spans="1:8" s="5" customFormat="1" ht="14.25" x14ac:dyDescent="0.25">
      <c r="A45" s="150" t="s">
        <v>71</v>
      </c>
      <c r="B45" s="151"/>
      <c r="C45" s="151"/>
      <c r="D45" s="152"/>
      <c r="E45" s="99" t="str">
        <f>IF("$20"="","None","$20")</f>
        <v>$20</v>
      </c>
      <c r="F45" s="99" t="str">
        <f>IF("$20"="","None","$20")</f>
        <v>$20</v>
      </c>
      <c r="G45" s="99" t="str">
        <f>IF("$10 after Rx deductible"="","None","$10 after Rx deductible")</f>
        <v>$10 after Rx deductible</v>
      </c>
      <c r="H45" s="99" t="str">
        <f>IF("$25"="","None","$25")</f>
        <v>$25</v>
      </c>
    </row>
    <row r="46" spans="1:8" s="5" customFormat="1" ht="14.25" x14ac:dyDescent="0.25">
      <c r="A46" s="150" t="s">
        <v>72</v>
      </c>
      <c r="B46" s="151"/>
      <c r="C46" s="151"/>
      <c r="D46" s="152"/>
      <c r="E46" s="99" t="str">
        <f>IF("$90"="","None","$90")</f>
        <v>$90</v>
      </c>
      <c r="F46" s="99" t="str">
        <f>IF("$90"="","None","$90")</f>
        <v>$90</v>
      </c>
      <c r="G46" s="99" t="str">
        <f>IF("$40 after Rx deductible"="","None","$40 after Rx deductible")</f>
        <v>$40 after Rx deductible</v>
      </c>
      <c r="H46" s="99" t="str">
        <f>IF("$50"="","None","$50")</f>
        <v>$50</v>
      </c>
    </row>
    <row r="47" spans="1:8" s="5" customFormat="1" ht="14.25" x14ac:dyDescent="0.25">
      <c r="A47" s="150" t="s">
        <v>73</v>
      </c>
      <c r="B47" s="151"/>
      <c r="C47" s="151"/>
      <c r="D47" s="152"/>
      <c r="E47" s="99" t="str">
        <f>IF("$150"="","None","$150")</f>
        <v>$150</v>
      </c>
      <c r="F47" s="99" t="str">
        <f>IF("$150"="","None","$150")</f>
        <v>$150</v>
      </c>
      <c r="G47" s="99" t="str">
        <f>IF("$75 after Rx deductible"="","None","$75 after Rx deductible")</f>
        <v>$75 after Rx deductible</v>
      </c>
      <c r="H47" s="99" t="str">
        <f>IF("$75"="","None","$75")</f>
        <v>$75</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334</v>
      </c>
      <c r="H49" s="99" t="s">
        <v>334</v>
      </c>
    </row>
    <row r="50" spans="1:8" s="2" customFormat="1" ht="14.25" x14ac:dyDescent="0.25">
      <c r="A50" s="147" t="s">
        <v>27</v>
      </c>
      <c r="B50" s="148"/>
      <c r="C50" s="148"/>
      <c r="D50" s="149"/>
      <c r="E50" s="99" t="s">
        <v>504</v>
      </c>
      <c r="F50" s="99" t="s">
        <v>504</v>
      </c>
      <c r="G50" s="99" t="s">
        <v>446</v>
      </c>
      <c r="H50" s="99" t="s">
        <v>416</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900-000000000000}"/>
    <hyperlink ref="F8" r:id="rId2" xr:uid="{00000000-0004-0000-3900-000001000000}"/>
    <hyperlink ref="F19" r:id="rId3" xr:uid="{00000000-0004-0000-3900-000002000000}"/>
    <hyperlink ref="G8" r:id="rId4" xr:uid="{00000000-0004-0000-3900-000003000000}"/>
    <hyperlink ref="G19" r:id="rId5" xr:uid="{00000000-0004-0000-3900-000004000000}"/>
    <hyperlink ref="H8" r:id="rId6" xr:uid="{00000000-0004-0000-3900-000005000000}"/>
    <hyperlink ref="H19" r:id="rId7" xr:uid="{00000000-0004-0000-39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ED14-8C29-48E6-AF88-947A5DEEDC28}">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207</v>
      </c>
      <c r="H5" s="57" t="s">
        <v>209</v>
      </c>
    </row>
    <row r="6" spans="1:8" s="2" customFormat="1" ht="45" x14ac:dyDescent="0.25">
      <c r="A6" s="186" t="s">
        <v>67</v>
      </c>
      <c r="B6" s="187"/>
      <c r="C6" s="187"/>
      <c r="D6" s="127">
        <v>10</v>
      </c>
      <c r="E6" s="115" t="s">
        <v>497</v>
      </c>
      <c r="F6" s="115" t="s">
        <v>506</v>
      </c>
      <c r="G6" s="116" t="s">
        <v>448</v>
      </c>
      <c r="H6" s="116" t="s">
        <v>449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21172.19</v>
      </c>
      <c r="H14" s="69">
        <v>21373.38</v>
      </c>
    </row>
    <row r="15" spans="1:8" s="2" customFormat="1" ht="14.25" x14ac:dyDescent="0.25">
      <c r="A15" s="197" t="s">
        <v>6</v>
      </c>
      <c r="B15" s="197"/>
      <c r="C15" s="197"/>
      <c r="D15" s="197"/>
      <c r="E15" s="70">
        <f>E14*12</f>
        <v>127731.72</v>
      </c>
      <c r="F15" s="70">
        <f>F14*12</f>
        <v>191706.72</v>
      </c>
      <c r="G15" s="70">
        <f>G14*12</f>
        <v>254066.27999999997</v>
      </c>
      <c r="H15" s="70">
        <f>H14*12</f>
        <v>256480.56</v>
      </c>
    </row>
    <row r="16" spans="1:8" s="2" customFormat="1" ht="14.25" x14ac:dyDescent="0.25">
      <c r="A16" s="197" t="s">
        <v>7</v>
      </c>
      <c r="B16" s="197"/>
      <c r="C16" s="197"/>
      <c r="D16" s="197"/>
      <c r="E16" s="71" t="s">
        <v>8</v>
      </c>
      <c r="F16" s="71">
        <f>(F15-$E15)/$E15</f>
        <v>0.50085444711775584</v>
      </c>
      <c r="G16" s="71">
        <f>(G15-$E15)/$E15</f>
        <v>0.98906176163602877</v>
      </c>
      <c r="H16" s="71">
        <f>(H15-$E15)/$E15</f>
        <v>1.0079629398241878</v>
      </c>
    </row>
    <row r="17" spans="1:8" s="3" customFormat="1" ht="14.25" x14ac:dyDescent="0.25">
      <c r="A17" s="195" t="s">
        <v>9</v>
      </c>
      <c r="B17" s="195"/>
      <c r="C17" s="195"/>
      <c r="D17" s="195"/>
      <c r="E17" s="72" t="s">
        <v>8</v>
      </c>
      <c r="F17" s="70">
        <f>F15-$E15</f>
        <v>63975</v>
      </c>
      <c r="G17" s="70">
        <f>G15-$E15</f>
        <v>126334.55999999997</v>
      </c>
      <c r="H17" s="70">
        <f>H15-$E15</f>
        <v>128748.84</v>
      </c>
    </row>
    <row r="18" spans="1:8" s="3" customFormat="1" ht="14.25" x14ac:dyDescent="0.25">
      <c r="A18" s="195" t="s">
        <v>10</v>
      </c>
      <c r="B18" s="195"/>
      <c r="C18" s="195"/>
      <c r="D18" s="195"/>
      <c r="E18" s="72" t="s">
        <v>8</v>
      </c>
      <c r="F18" s="72">
        <f>F14-$E14</f>
        <v>5331.25</v>
      </c>
      <c r="G18" s="72">
        <f>G14-$E14</f>
        <v>10527.88</v>
      </c>
      <c r="H18" s="72">
        <f>H14-$E14</f>
        <v>10729.070000000002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270</v>
      </c>
      <c r="F23" s="77" t="s">
        <v>270</v>
      </c>
      <c r="G23" s="77" t="s">
        <v>319</v>
      </c>
      <c r="H23" s="77" t="s">
        <v>453</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423</v>
      </c>
      <c r="H25" s="79" t="s">
        <v>274</v>
      </c>
    </row>
    <row r="26" spans="1:8" s="4" customFormat="1" ht="14.25" x14ac:dyDescent="0.25">
      <c r="A26" s="153" t="s">
        <v>16</v>
      </c>
      <c r="B26" s="154"/>
      <c r="C26" s="154"/>
      <c r="D26" s="155"/>
      <c r="E26" s="81" t="s">
        <v>502</v>
      </c>
      <c r="F26" s="82" t="s">
        <v>502</v>
      </c>
      <c r="G26" s="81" t="s">
        <v>274</v>
      </c>
      <c r="H26" s="81" t="s">
        <v>254</v>
      </c>
    </row>
    <row r="27" spans="1:8" s="4" customFormat="1" ht="18" customHeight="1" x14ac:dyDescent="0.25">
      <c r="A27" s="161" t="s">
        <v>17</v>
      </c>
      <c r="B27" s="162"/>
      <c r="C27" s="162"/>
      <c r="D27" s="163"/>
      <c r="E27" s="83"/>
      <c r="F27" s="83"/>
      <c r="G27" s="83"/>
      <c r="H27" s="83"/>
    </row>
    <row r="28" spans="1:8" s="4" customFormat="1" ht="14.25" x14ac:dyDescent="0.25">
      <c r="A28" s="144" t="s">
        <v>18</v>
      </c>
      <c r="B28" s="145"/>
      <c r="C28" s="145"/>
      <c r="D28" s="146"/>
      <c r="E28" s="79" t="s">
        <v>251</v>
      </c>
      <c r="F28" s="80" t="s">
        <v>251</v>
      </c>
      <c r="G28" s="84" t="s">
        <v>251</v>
      </c>
      <c r="H28" s="84" t="s">
        <v>455</v>
      </c>
    </row>
    <row r="29" spans="1:8" s="4" customFormat="1" ht="14.25" x14ac:dyDescent="0.25">
      <c r="A29" s="144" t="s">
        <v>19</v>
      </c>
      <c r="B29" s="145"/>
      <c r="C29" s="145"/>
      <c r="D29" s="146"/>
      <c r="E29" s="84" t="s">
        <v>251</v>
      </c>
      <c r="F29" s="80" t="s">
        <v>251</v>
      </c>
      <c r="G29" s="84" t="s">
        <v>422</v>
      </c>
      <c r="H29" s="84" t="s">
        <v>455</v>
      </c>
    </row>
    <row r="30" spans="1:8" s="4" customFormat="1" ht="14.25" x14ac:dyDescent="0.25">
      <c r="A30" s="153" t="s">
        <v>20</v>
      </c>
      <c r="B30" s="154"/>
      <c r="C30" s="154"/>
      <c r="D30" s="155"/>
      <c r="E30" s="77" t="s">
        <v>500</v>
      </c>
      <c r="F30" s="85" t="s">
        <v>509</v>
      </c>
      <c r="G30" s="81" t="s">
        <v>420</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307</v>
      </c>
      <c r="H32" s="84" t="s">
        <v>307</v>
      </c>
    </row>
    <row r="33" spans="1:8" s="4" customFormat="1" ht="14.25" x14ac:dyDescent="0.25">
      <c r="A33" s="144" t="s">
        <v>23</v>
      </c>
      <c r="B33" s="145"/>
      <c r="C33" s="145"/>
      <c r="D33" s="146"/>
      <c r="E33" s="81" t="s">
        <v>485</v>
      </c>
      <c r="F33" s="88" t="s">
        <v>507</v>
      </c>
      <c r="G33" s="81" t="s">
        <v>418</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421</v>
      </c>
      <c r="H35" s="84" t="s">
        <v>456</v>
      </c>
    </row>
    <row r="36" spans="1:8" s="4" customFormat="1" ht="42.75" x14ac:dyDescent="0.25">
      <c r="A36" s="144" t="s">
        <v>26</v>
      </c>
      <c r="B36" s="145"/>
      <c r="C36" s="145"/>
      <c r="D36" s="146"/>
      <c r="E36" s="77" t="s">
        <v>498</v>
      </c>
      <c r="F36" s="92" t="s">
        <v>508</v>
      </c>
      <c r="G36" s="77" t="s">
        <v>419</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IF("$20"="","None","$20")</f>
        <v>$20</v>
      </c>
      <c r="F45" s="99" t="str">
        <f>IF("$20"="","None","$20")</f>
        <v>$20</v>
      </c>
      <c r="G45" s="99" t="str">
        <f>IF("$15"="","None","$15")</f>
        <v>$15</v>
      </c>
      <c r="H45" s="99" t="str">
        <f>IF("$25"="","None","$25")</f>
        <v>$25</v>
      </c>
    </row>
    <row r="46" spans="1:8" s="5" customFormat="1" ht="14.25" x14ac:dyDescent="0.25">
      <c r="A46" s="150" t="s">
        <v>72</v>
      </c>
      <c r="B46" s="151"/>
      <c r="C46" s="151"/>
      <c r="D46" s="152"/>
      <c r="E46" s="99" t="str">
        <f>IF("$90"="","None","$90")</f>
        <v>$90</v>
      </c>
      <c r="F46" s="99" t="str">
        <f>IF("$90"="","None","$90")</f>
        <v>$90</v>
      </c>
      <c r="G46" s="99" t="str">
        <f>IF("$50"="","None","$50")</f>
        <v>$50</v>
      </c>
      <c r="H46" s="99" t="str">
        <f>IF("50%"="","None","50%")</f>
        <v>50%</v>
      </c>
    </row>
    <row r="47" spans="1:8" s="5" customFormat="1" ht="14.25" x14ac:dyDescent="0.25">
      <c r="A47" s="150" t="s">
        <v>73</v>
      </c>
      <c r="B47" s="151"/>
      <c r="C47" s="151"/>
      <c r="D47" s="152"/>
      <c r="E47" s="99" t="str">
        <f>IF("$150"="","None","$150")</f>
        <v>$150</v>
      </c>
      <c r="F47" s="99" t="str">
        <f>IF("$150"="","None","$150")</f>
        <v>$150</v>
      </c>
      <c r="G47" s="99" t="str">
        <f>IF("$300"="","None","$300")</f>
        <v>$300</v>
      </c>
      <c r="H47" s="99" t="str">
        <f>IF("50%"="","None","50%")</f>
        <v>50%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425</v>
      </c>
      <c r="H49" s="99" t="s">
        <v>334</v>
      </c>
    </row>
    <row r="50" spans="1:8" s="2" customFormat="1" ht="14.25" x14ac:dyDescent="0.25">
      <c r="A50" s="147" t="s">
        <v>27</v>
      </c>
      <c r="B50" s="148"/>
      <c r="C50" s="148"/>
      <c r="D50" s="149"/>
      <c r="E50" s="99" t="s">
        <v>504</v>
      </c>
      <c r="F50" s="99" t="s">
        <v>504</v>
      </c>
      <c r="G50" s="99" t="s">
        <v>424</v>
      </c>
      <c r="H50" s="99" t="s">
        <v>457</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A00-000000000000}"/>
    <hyperlink ref="F8" r:id="rId2" xr:uid="{00000000-0004-0000-3A00-000001000000}"/>
    <hyperlink ref="F19" r:id="rId3" xr:uid="{00000000-0004-0000-3A00-000002000000}"/>
    <hyperlink ref="G8" r:id="rId4" xr:uid="{00000000-0004-0000-3A00-000003000000}"/>
    <hyperlink ref="G19" r:id="rId5" xr:uid="{00000000-0004-0000-3A00-000004000000}"/>
    <hyperlink ref="H8" r:id="rId6" xr:uid="{00000000-0004-0000-3A00-000005000000}"/>
    <hyperlink ref="H19" r:id="rId7" xr:uid="{00000000-0004-0000-3A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8DD8-63AC-4E25-87D0-52BD9A5605D6}">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211</v>
      </c>
      <c r="H5" s="57" t="s">
        <v>213</v>
      </c>
    </row>
    <row r="6" spans="1:8" s="2" customFormat="1" ht="45" x14ac:dyDescent="0.25">
      <c r="A6" s="186" t="s">
        <v>67</v>
      </c>
      <c r="B6" s="187"/>
      <c r="C6" s="187"/>
      <c r="D6" s="127">
        <v>10</v>
      </c>
      <c r="E6" s="115" t="s">
        <v>497</v>
      </c>
      <c r="F6" s="115" t="s">
        <v>506</v>
      </c>
      <c r="G6" s="116" t="s">
        <v>458</v>
      </c>
      <c r="H6" s="116" t="s">
        <v>469</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23215.01</v>
      </c>
      <c r="H14" s="69">
        <v>23435.45</v>
      </c>
    </row>
    <row r="15" spans="1:8" s="2" customFormat="1" ht="14.25" x14ac:dyDescent="0.25">
      <c r="A15" s="197" t="s">
        <v>6</v>
      </c>
      <c r="B15" s="197"/>
      <c r="C15" s="197"/>
      <c r="D15" s="197"/>
      <c r="E15" s="70">
        <f>E14*12</f>
        <v>127731.72</v>
      </c>
      <c r="F15" s="70">
        <f>F14*12</f>
        <v>191706.72</v>
      </c>
      <c r="G15" s="70">
        <f>G14*12</f>
        <v>278580.12</v>
      </c>
      <c r="H15" s="70">
        <f>H14*12</f>
        <v>281225.40000000002</v>
      </c>
    </row>
    <row r="16" spans="1:8" s="2" customFormat="1" ht="14.25" x14ac:dyDescent="0.25">
      <c r="A16" s="197" t="s">
        <v>7</v>
      </c>
      <c r="B16" s="197"/>
      <c r="C16" s="197"/>
      <c r="D16" s="197"/>
      <c r="E16" s="71" t="s">
        <v>8</v>
      </c>
      <c r="F16" s="71">
        <f>(F15-$E15)/$E15</f>
        <v>0.50085444711775584</v>
      </c>
      <c r="G16" s="71">
        <f>(G15-$E15)/$E15</f>
        <v>1.1809783818772659</v>
      </c>
      <c r="H16" s="71">
        <f>(H15-$E15)/$E15</f>
        <v>1.2016880380221924</v>
      </c>
    </row>
    <row r="17" spans="1:8" s="3" customFormat="1" ht="14.25" x14ac:dyDescent="0.25">
      <c r="A17" s="195" t="s">
        <v>9</v>
      </c>
      <c r="B17" s="195"/>
      <c r="C17" s="195"/>
      <c r="D17" s="195"/>
      <c r="E17" s="72" t="s">
        <v>8</v>
      </c>
      <c r="F17" s="70">
        <f>F15-$E15</f>
        <v>63975</v>
      </c>
      <c r="G17" s="70">
        <f>G15-$E15</f>
        <v>150848.4</v>
      </c>
      <c r="H17" s="70">
        <f>H15-$E15</f>
        <v>153493.68000000002</v>
      </c>
    </row>
    <row r="18" spans="1:8" s="3" customFormat="1" ht="14.25" x14ac:dyDescent="0.25">
      <c r="A18" s="195" t="s">
        <v>10</v>
      </c>
      <c r="B18" s="195"/>
      <c r="C18" s="195"/>
      <c r="D18" s="195"/>
      <c r="E18" s="72" t="s">
        <v>8</v>
      </c>
      <c r="F18" s="72">
        <f>F14-$E14</f>
        <v>5331.25</v>
      </c>
      <c r="G18" s="72">
        <f>G14-$E14</f>
        <v>12570.699999999999</v>
      </c>
      <c r="H18" s="72">
        <f>H14-$E14</f>
        <v>12791.140000000001</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28.5" x14ac:dyDescent="0.25">
      <c r="A21" s="156" t="s">
        <v>11</v>
      </c>
      <c r="B21" s="157"/>
      <c r="C21" s="157"/>
      <c r="D21" s="158"/>
      <c r="E21" s="73" t="s">
        <v>247</v>
      </c>
      <c r="F21" s="73" t="s">
        <v>247</v>
      </c>
      <c r="G21" s="73" t="s">
        <v>461</v>
      </c>
      <c r="H21" s="73" t="s">
        <v>247</v>
      </c>
    </row>
    <row r="22" spans="1:8" s="4" customFormat="1" ht="14.25" x14ac:dyDescent="0.25">
      <c r="A22" s="144" t="s">
        <v>12</v>
      </c>
      <c r="B22" s="145"/>
      <c r="C22" s="145"/>
      <c r="D22" s="146"/>
      <c r="E22" s="74" t="s">
        <v>243</v>
      </c>
      <c r="F22" s="75" t="s">
        <v>243</v>
      </c>
      <c r="G22" s="75" t="s">
        <v>435</v>
      </c>
      <c r="H22" s="75" t="s">
        <v>243</v>
      </c>
    </row>
    <row r="23" spans="1:8" s="4" customFormat="1" ht="28.5" x14ac:dyDescent="0.25">
      <c r="A23" s="153" t="s">
        <v>13</v>
      </c>
      <c r="B23" s="154"/>
      <c r="C23" s="154"/>
      <c r="D23" s="155"/>
      <c r="E23" s="76" t="s">
        <v>270</v>
      </c>
      <c r="F23" s="77" t="s">
        <v>270</v>
      </c>
      <c r="G23" s="77" t="s">
        <v>462</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466</v>
      </c>
      <c r="H25" s="79" t="s">
        <v>411</v>
      </c>
    </row>
    <row r="26" spans="1:8" s="4" customFormat="1" ht="14.25" x14ac:dyDescent="0.25">
      <c r="A26" s="153" t="s">
        <v>16</v>
      </c>
      <c r="B26" s="154"/>
      <c r="C26" s="154"/>
      <c r="D26" s="155"/>
      <c r="E26" s="81" t="s">
        <v>502</v>
      </c>
      <c r="F26" s="82" t="s">
        <v>502</v>
      </c>
      <c r="G26" s="81" t="s">
        <v>467</v>
      </c>
      <c r="H26" s="81" t="s">
        <v>470</v>
      </c>
    </row>
    <row r="27" spans="1:8" s="4" customFormat="1" ht="18" customHeight="1" x14ac:dyDescent="0.25">
      <c r="A27" s="161" t="s">
        <v>17</v>
      </c>
      <c r="B27" s="162"/>
      <c r="C27" s="162"/>
      <c r="D27" s="163"/>
      <c r="E27" s="83"/>
      <c r="F27" s="83"/>
      <c r="G27" s="83"/>
      <c r="H27" s="83"/>
    </row>
    <row r="28" spans="1:8" s="4" customFormat="1" ht="42.75" x14ac:dyDescent="0.25">
      <c r="A28" s="144" t="s">
        <v>18</v>
      </c>
      <c r="B28" s="145"/>
      <c r="C28" s="145"/>
      <c r="D28" s="146"/>
      <c r="E28" s="79" t="s">
        <v>251</v>
      </c>
      <c r="F28" s="80" t="s">
        <v>251</v>
      </c>
      <c r="G28" s="84" t="s">
        <v>464</v>
      </c>
      <c r="H28" s="84" t="s">
        <v>455</v>
      </c>
    </row>
    <row r="29" spans="1:8" s="4" customFormat="1" ht="42.75" x14ac:dyDescent="0.25">
      <c r="A29" s="144" t="s">
        <v>19</v>
      </c>
      <c r="B29" s="145"/>
      <c r="C29" s="145"/>
      <c r="D29" s="146"/>
      <c r="E29" s="84" t="s">
        <v>251</v>
      </c>
      <c r="F29" s="80" t="s">
        <v>251</v>
      </c>
      <c r="G29" s="84" t="s">
        <v>464</v>
      </c>
      <c r="H29" s="84" t="s">
        <v>455</v>
      </c>
    </row>
    <row r="30" spans="1:8" s="4" customFormat="1" ht="42.75" x14ac:dyDescent="0.25">
      <c r="A30" s="153" t="s">
        <v>20</v>
      </c>
      <c r="B30" s="154"/>
      <c r="C30" s="154"/>
      <c r="D30" s="155"/>
      <c r="E30" s="77" t="s">
        <v>500</v>
      </c>
      <c r="F30" s="85" t="s">
        <v>509</v>
      </c>
      <c r="G30" s="81" t="s">
        <v>463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374</v>
      </c>
      <c r="H32" s="84" t="s">
        <v>307</v>
      </c>
    </row>
    <row r="33" spans="1:8" s="4" customFormat="1" ht="14.25" x14ac:dyDescent="0.25">
      <c r="A33" s="144" t="s">
        <v>23</v>
      </c>
      <c r="B33" s="145"/>
      <c r="C33" s="145"/>
      <c r="D33" s="146"/>
      <c r="E33" s="81" t="s">
        <v>485</v>
      </c>
      <c r="F33" s="88" t="s">
        <v>507</v>
      </c>
      <c r="G33" s="81" t="s">
        <v>459</v>
      </c>
      <c r="H33" s="81" t="s">
        <v>451</v>
      </c>
    </row>
    <row r="34" spans="1:8" s="4" customFormat="1" ht="18" customHeight="1" x14ac:dyDescent="0.25">
      <c r="A34" s="161" t="s">
        <v>24</v>
      </c>
      <c r="B34" s="162"/>
      <c r="C34" s="162"/>
      <c r="D34" s="163"/>
      <c r="E34" s="83"/>
      <c r="F34" s="89"/>
      <c r="G34" s="78"/>
      <c r="H34" s="78"/>
    </row>
    <row r="35" spans="1:8" s="4" customFormat="1" ht="42.75" x14ac:dyDescent="0.25">
      <c r="A35" s="144" t="s">
        <v>25</v>
      </c>
      <c r="B35" s="145"/>
      <c r="C35" s="145"/>
      <c r="D35" s="146"/>
      <c r="E35" s="90" t="s">
        <v>501</v>
      </c>
      <c r="F35" s="91" t="s">
        <v>510</v>
      </c>
      <c r="G35" s="84" t="s">
        <v>465</v>
      </c>
      <c r="H35" s="84" t="s">
        <v>456</v>
      </c>
    </row>
    <row r="36" spans="1:8" s="4" customFormat="1" ht="85.5" x14ac:dyDescent="0.25">
      <c r="A36" s="144" t="s">
        <v>26</v>
      </c>
      <c r="B36" s="145"/>
      <c r="C36" s="145"/>
      <c r="D36" s="146"/>
      <c r="E36" s="77" t="s">
        <v>498</v>
      </c>
      <c r="F36" s="92" t="s">
        <v>508</v>
      </c>
      <c r="G36" s="77" t="s">
        <v>460</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450</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261</v>
      </c>
      <c r="H40" s="94" t="s">
        <v>261</v>
      </c>
    </row>
    <row r="41" spans="1:8" s="4" customFormat="1" ht="14.25" x14ac:dyDescent="0.25">
      <c r="A41" s="144" t="s">
        <v>12</v>
      </c>
      <c r="B41" s="145"/>
      <c r="C41" s="145"/>
      <c r="D41" s="146"/>
      <c r="E41" s="74" t="s">
        <v>243</v>
      </c>
      <c r="F41" s="95" t="s">
        <v>8</v>
      </c>
      <c r="G41" s="96" t="s">
        <v>8</v>
      </c>
      <c r="H41" s="96" t="s">
        <v>8</v>
      </c>
    </row>
    <row r="42" spans="1:8" s="4" customFormat="1" ht="14.25" x14ac:dyDescent="0.25">
      <c r="A42" s="153" t="s">
        <v>13</v>
      </c>
      <c r="B42" s="154"/>
      <c r="C42" s="154"/>
      <c r="D42" s="155"/>
      <c r="E42" s="77" t="s">
        <v>499</v>
      </c>
      <c r="F42" s="76" t="s">
        <v>261</v>
      </c>
      <c r="G42" s="77" t="s">
        <v>261</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IF("$20"="","None","$20")</f>
        <v>$20</v>
      </c>
      <c r="F45" s="99" t="str">
        <f>IF("$20"="","None","$20")</f>
        <v>$20</v>
      </c>
      <c r="G45" s="99" t="str">
        <f>IF("$5"="","None","$5")</f>
        <v>$5</v>
      </c>
      <c r="H45" s="99" t="str">
        <f>IF("$25"="","None","$25")</f>
        <v>$25</v>
      </c>
    </row>
    <row r="46" spans="1:8" s="5" customFormat="1" ht="14.25" x14ac:dyDescent="0.25">
      <c r="A46" s="150" t="s">
        <v>72</v>
      </c>
      <c r="B46" s="151"/>
      <c r="C46" s="151"/>
      <c r="D46" s="152"/>
      <c r="E46" s="99" t="str">
        <f>IF("$90"="","None","$90")</f>
        <v>$90</v>
      </c>
      <c r="F46" s="99" t="str">
        <f>IF("$90"="","None","$90")</f>
        <v>$90</v>
      </c>
      <c r="G46" s="99" t="str">
        <f>IF("$15"="","None","$15")</f>
        <v>$15</v>
      </c>
      <c r="H46" s="99" t="str">
        <f>IF("30%"="","None","30%")</f>
        <v>30%</v>
      </c>
    </row>
    <row r="47" spans="1:8" s="5" customFormat="1" ht="14.25" x14ac:dyDescent="0.25">
      <c r="A47" s="150" t="s">
        <v>73</v>
      </c>
      <c r="B47" s="151"/>
      <c r="C47" s="151"/>
      <c r="D47" s="152"/>
      <c r="E47" s="99" t="str">
        <f>IF("$150"="","None","$150")</f>
        <v>$150</v>
      </c>
      <c r="F47" s="99" t="str">
        <f>IF("$150"="","None","$150")</f>
        <v>$150</v>
      </c>
      <c r="G47" s="99" t="str">
        <f>IF("$30"="","None","$30")</f>
        <v>$30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334</v>
      </c>
      <c r="H49" s="99" t="s">
        <v>334</v>
      </c>
    </row>
    <row r="50" spans="1:8" s="2" customFormat="1" ht="14.25" x14ac:dyDescent="0.25">
      <c r="A50" s="147" t="s">
        <v>27</v>
      </c>
      <c r="B50" s="148"/>
      <c r="C50" s="148"/>
      <c r="D50" s="149"/>
      <c r="E50" s="99" t="s">
        <v>504</v>
      </c>
      <c r="F50" s="99" t="s">
        <v>504</v>
      </c>
      <c r="G50" s="99" t="s">
        <v>468</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B00-000000000000}"/>
    <hyperlink ref="F8" r:id="rId2" xr:uid="{00000000-0004-0000-3B00-000001000000}"/>
    <hyperlink ref="F19" r:id="rId3" xr:uid="{00000000-0004-0000-3B00-000002000000}"/>
    <hyperlink ref="G8" r:id="rId4" xr:uid="{00000000-0004-0000-3B00-000003000000}"/>
    <hyperlink ref="G19" r:id="rId5" xr:uid="{00000000-0004-0000-3B00-000004000000}"/>
    <hyperlink ref="H8" r:id="rId6" xr:uid="{00000000-0004-0000-3B00-000005000000}"/>
    <hyperlink ref="H19" r:id="rId7" xr:uid="{00000000-0004-0000-3B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D805-5737-4B99-B7CF-AD3C0375C753}">
  <sheetPr>
    <pageSetUpPr fitToPage="1"/>
  </sheetPr>
  <dimension ref="A1:H51"/>
  <sheetViews>
    <sheetView zoomScaleNormal="100" zoomScaleSheetLayoutView="90" workbookViewId="0">
      <selection activeCell="A7" sqref="A7:D7"/>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8" width="32.25" style="1" customWidth="1" collapsed="1"/>
    <col min="9" max="16384" width="9.25" style="1" collapsed="1"/>
  </cols>
  <sheetData>
    <row r="1" spans="1:8" ht="4.9000000000000004" customHeight="1" x14ac:dyDescent="0.25">
      <c r="G1"/>
      <c r="H1"/>
    </row>
    <row r="2" spans="1:8" ht="31.15" customHeight="1" x14ac:dyDescent="0.25">
      <c r="A2" s="167" t="str">
        <f>group_name</f>
        <v>Tuckerton Lumber Company</v>
      </c>
      <c r="B2" s="168"/>
      <c r="C2" s="168"/>
      <c r="D2" s="168"/>
      <c r="E2" s="168"/>
      <c r="F2" s="168"/>
      <c r="G2" s="169"/>
      <c r="H2" s="169"/>
    </row>
    <row r="3" spans="1:8" ht="31.15" customHeight="1" x14ac:dyDescent="0.25">
      <c r="A3" s="170" t="s">
        <v>34</v>
      </c>
      <c r="B3" s="171"/>
      <c r="C3" s="171"/>
      <c r="D3" s="171"/>
      <c r="E3" s="171"/>
      <c r="F3" s="171"/>
      <c r="G3" s="172"/>
      <c r="H3" s="172"/>
    </row>
    <row r="4" spans="1:8" s="2" customFormat="1" ht="31.15" customHeight="1" x14ac:dyDescent="0.25">
      <c r="A4" s="173" t="str">
        <f>"Effective Date: "&amp;TEXT(effective_date,"MM/DD/YYYY")</f>
        <v>Effective Date: 06/01/2026</v>
      </c>
      <c r="B4" s="174"/>
      <c r="C4" s="174"/>
      <c r="D4" s="174"/>
      <c r="E4" s="174"/>
      <c r="F4" s="174"/>
      <c r="G4" s="175"/>
      <c r="H4" s="175"/>
    </row>
    <row r="5" spans="1:8" s="2" customFormat="1" ht="14.25" x14ac:dyDescent="0.25">
      <c r="A5" s="180" t="s">
        <v>3</v>
      </c>
      <c r="B5" s="181"/>
      <c r="C5" s="182"/>
      <c r="D5" s="55" t="str">
        <f>TEXT(effective_date,"MM/DD/YYYY")</f>
        <v>06/01/2026</v>
      </c>
      <c r="E5" s="132" t="s">
        <v>1</v>
      </c>
      <c r="F5" s="132" t="s">
        <v>2</v>
      </c>
      <c r="G5" s="57" t="s">
        <v>215</v>
      </c>
      <c r="H5" s="57" t="s">
        <v>217</v>
      </c>
    </row>
    <row r="6" spans="1:8" s="2" customFormat="1" ht="45" x14ac:dyDescent="0.25">
      <c r="A6" s="186" t="s">
        <v>67</v>
      </c>
      <c r="B6" s="187"/>
      <c r="C6" s="187"/>
      <c r="D6" s="127">
        <v>10</v>
      </c>
      <c r="E6" s="115" t="s">
        <v>497</v>
      </c>
      <c r="F6" s="115" t="s">
        <v>506</v>
      </c>
      <c r="G6" s="116" t="s">
        <v>472</v>
      </c>
      <c r="H6" s="116" t="s">
        <v>482</v>
      </c>
    </row>
    <row r="7" spans="1:8" s="2" customFormat="1" ht="14.25" x14ac:dyDescent="0.25">
      <c r="A7" s="190"/>
      <c r="B7" s="191"/>
      <c r="C7" s="191"/>
      <c r="D7" s="192"/>
      <c r="E7" s="131" t="s">
        <v>242</v>
      </c>
      <c r="F7" s="131" t="s">
        <v>242</v>
      </c>
      <c r="G7" s="131" t="s">
        <v>265</v>
      </c>
      <c r="H7" s="131" t="s">
        <v>265</v>
      </c>
    </row>
    <row r="8" spans="1:8" s="2" customFormat="1" x14ac:dyDescent="0.25">
      <c r="A8" s="183"/>
      <c r="B8" s="183"/>
      <c r="C8" s="183"/>
      <c r="D8" s="183"/>
      <c r="E8" s="113"/>
      <c r="F8" s="113" t="s">
        <v>58</v>
      </c>
      <c r="G8" s="113" t="s">
        <v>58</v>
      </c>
      <c r="H8" s="113" t="s">
        <v>58</v>
      </c>
    </row>
    <row r="9" spans="1:8" s="2" customFormat="1" ht="14.25" x14ac:dyDescent="0.25">
      <c r="A9" s="184" t="s">
        <v>80</v>
      </c>
      <c r="B9" s="185"/>
      <c r="C9" s="185"/>
      <c r="D9" s="112" t="s">
        <v>76</v>
      </c>
      <c r="E9" s="112"/>
      <c r="F9" s="112"/>
      <c r="G9" s="112"/>
      <c r="H9" s="112"/>
    </row>
    <row r="10" spans="1:8" s="2" customFormat="1" ht="14.25" x14ac:dyDescent="0.25">
      <c r="A10" s="58"/>
      <c r="B10" s="193" t="s">
        <v>77</v>
      </c>
      <c r="C10" s="194"/>
      <c r="D10" s="59">
        <v>7</v>
      </c>
      <c r="E10" s="60">
        <v>688.01</v>
      </c>
      <c r="F10" s="60">
        <v>1023.31</v>
      </c>
      <c r="G10" s="61"/>
      <c r="H10" s="61"/>
    </row>
    <row r="11" spans="1:8" s="2" customFormat="1" ht="14.25" x14ac:dyDescent="0.25">
      <c r="A11" s="62"/>
      <c r="B11" s="188" t="s">
        <v>4</v>
      </c>
      <c r="C11" s="189"/>
      <c r="D11" s="63">
        <v>1</v>
      </c>
      <c r="E11" s="64">
        <v>1517.4</v>
      </c>
      <c r="F11" s="64">
        <v>2288.59</v>
      </c>
      <c r="G11" s="64"/>
      <c r="H11" s="64"/>
    </row>
    <row r="12" spans="1:8" s="2" customFormat="1" ht="14.25" x14ac:dyDescent="0.25">
      <c r="A12" s="65"/>
      <c r="B12" s="188" t="s">
        <v>78</v>
      </c>
      <c r="C12" s="189"/>
      <c r="D12" s="63">
        <v>0</v>
      </c>
      <c r="E12" s="64">
        <v>1294.0999999999999</v>
      </c>
      <c r="F12" s="64">
        <v>1947.93</v>
      </c>
      <c r="G12" s="64"/>
      <c r="H12" s="64"/>
    </row>
    <row r="13" spans="1:8" s="2" customFormat="1" ht="14.25" x14ac:dyDescent="0.25">
      <c r="A13" s="66"/>
      <c r="B13" s="198" t="s">
        <v>79</v>
      </c>
      <c r="C13" s="199"/>
      <c r="D13" s="56">
        <v>2</v>
      </c>
      <c r="E13" s="67">
        <v>2155.42</v>
      </c>
      <c r="F13" s="67">
        <v>3261.9</v>
      </c>
      <c r="G13" s="68"/>
      <c r="H13" s="68"/>
    </row>
    <row r="14" spans="1:8" s="2" customFormat="1" ht="14.25" x14ac:dyDescent="0.25">
      <c r="A14" s="196" t="s">
        <v>5</v>
      </c>
      <c r="B14" s="196"/>
      <c r="C14" s="196"/>
      <c r="D14" s="196"/>
      <c r="E14" s="69">
        <v>10644.31</v>
      </c>
      <c r="F14" s="69">
        <v>15975.56</v>
      </c>
      <c r="G14" s="69">
        <v>23586.84</v>
      </c>
      <c r="H14" s="69">
        <v>25611.23</v>
      </c>
    </row>
    <row r="15" spans="1:8" s="2" customFormat="1" ht="14.25" x14ac:dyDescent="0.25">
      <c r="A15" s="197" t="s">
        <v>6</v>
      </c>
      <c r="B15" s="197"/>
      <c r="C15" s="197"/>
      <c r="D15" s="197"/>
      <c r="E15" s="70">
        <f>E14*12</f>
        <v>127731.72</v>
      </c>
      <c r="F15" s="70">
        <f>F14*12</f>
        <v>191706.72</v>
      </c>
      <c r="G15" s="70">
        <f>G14*12</f>
        <v>283042.08</v>
      </c>
      <c r="H15" s="70">
        <f>H14*12</f>
        <v>307334.76</v>
      </c>
    </row>
    <row r="16" spans="1:8" s="2" customFormat="1" ht="14.25" x14ac:dyDescent="0.25">
      <c r="A16" s="197" t="s">
        <v>7</v>
      </c>
      <c r="B16" s="197"/>
      <c r="C16" s="197"/>
      <c r="D16" s="197"/>
      <c r="E16" s="71" t="s">
        <v>8</v>
      </c>
      <c r="F16" s="71">
        <f>(F15-$E15)/$E15</f>
        <v>0.50085444711775584</v>
      </c>
      <c r="G16" s="71">
        <f>(G15-$E15)/$E15</f>
        <v>1.2159106602494667</v>
      </c>
      <c r="H16" s="71">
        <f>(H15-$E15)/$E15</f>
        <v>1.4060958389975491</v>
      </c>
    </row>
    <row r="17" spans="1:8" s="3" customFormat="1" ht="14.25" x14ac:dyDescent="0.25">
      <c r="A17" s="195" t="s">
        <v>9</v>
      </c>
      <c r="B17" s="195"/>
      <c r="C17" s="195"/>
      <c r="D17" s="195"/>
      <c r="E17" s="72" t="s">
        <v>8</v>
      </c>
      <c r="F17" s="70">
        <f>F15-$E15</f>
        <v>63975</v>
      </c>
      <c r="G17" s="70">
        <f>G15-$E15</f>
        <v>155310.36000000002</v>
      </c>
      <c r="H17" s="70">
        <f>H15-$E15</f>
        <v>179603.04</v>
      </c>
    </row>
    <row r="18" spans="1:8" s="3" customFormat="1" ht="14.25" x14ac:dyDescent="0.25">
      <c r="A18" s="195" t="s">
        <v>10</v>
      </c>
      <c r="B18" s="195"/>
      <c r="C18" s="195"/>
      <c r="D18" s="195"/>
      <c r="E18" s="72" t="s">
        <v>8</v>
      </c>
      <c r="F18" s="72">
        <f>F14-$E14</f>
        <v>5331.25</v>
      </c>
      <c r="G18" s="72">
        <f>G14-$E14</f>
        <v>12942.53</v>
      </c>
      <c r="H18" s="72">
        <f>H14-$E14</f>
        <v>14966.92</v>
      </c>
    </row>
    <row r="19" spans="1:8" s="3" customFormat="1" x14ac:dyDescent="0.25">
      <c r="A19" s="179" t="s">
        <v>30</v>
      </c>
      <c r="B19" s="179"/>
      <c r="C19" s="179"/>
      <c r="D19" s="179"/>
      <c r="E19" s="114" t="s">
        <v>29</v>
      </c>
      <c r="F19" s="114" t="s">
        <v>29</v>
      </c>
      <c r="G19" s="114" t="s">
        <v>29</v>
      </c>
      <c r="H19" s="114" t="s">
        <v>29</v>
      </c>
    </row>
    <row r="20" spans="1:8" s="3" customFormat="1" ht="19.899999999999999" customHeight="1" x14ac:dyDescent="0.25">
      <c r="A20" s="159" t="s">
        <v>54</v>
      </c>
      <c r="B20" s="160"/>
      <c r="C20" s="160"/>
      <c r="D20" s="160"/>
      <c r="E20" s="12"/>
      <c r="F20" s="12"/>
      <c r="G20" s="12"/>
      <c r="H20" s="12"/>
    </row>
    <row r="21" spans="1:8" s="3" customFormat="1" ht="14.25" x14ac:dyDescent="0.25">
      <c r="A21" s="156" t="s">
        <v>11</v>
      </c>
      <c r="B21" s="157"/>
      <c r="C21" s="157"/>
      <c r="D21" s="158"/>
      <c r="E21" s="73" t="s">
        <v>247</v>
      </c>
      <c r="F21" s="73" t="s">
        <v>247</v>
      </c>
      <c r="G21" s="73" t="s">
        <v>247</v>
      </c>
      <c r="H21" s="73" t="s">
        <v>247</v>
      </c>
    </row>
    <row r="22" spans="1:8" s="4" customFormat="1" ht="14.25" x14ac:dyDescent="0.25">
      <c r="A22" s="144" t="s">
        <v>12</v>
      </c>
      <c r="B22" s="145"/>
      <c r="C22" s="145"/>
      <c r="D22" s="146"/>
      <c r="E22" s="74" t="s">
        <v>243</v>
      </c>
      <c r="F22" s="75" t="s">
        <v>243</v>
      </c>
      <c r="G22" s="75" t="s">
        <v>243</v>
      </c>
      <c r="H22" s="75" t="s">
        <v>243</v>
      </c>
    </row>
    <row r="23" spans="1:8" s="4" customFormat="1" ht="14.25" x14ac:dyDescent="0.25">
      <c r="A23" s="153" t="s">
        <v>13</v>
      </c>
      <c r="B23" s="154"/>
      <c r="C23" s="154"/>
      <c r="D23" s="155"/>
      <c r="E23" s="76" t="s">
        <v>270</v>
      </c>
      <c r="F23" s="77" t="s">
        <v>270</v>
      </c>
      <c r="G23" s="77" t="s">
        <v>474</v>
      </c>
      <c r="H23" s="77" t="s">
        <v>394</v>
      </c>
    </row>
    <row r="24" spans="1:8" s="4" customFormat="1" ht="18" customHeight="1" x14ac:dyDescent="0.25">
      <c r="A24" s="176" t="s">
        <v>14</v>
      </c>
      <c r="B24" s="177"/>
      <c r="C24" s="177"/>
      <c r="D24" s="178"/>
      <c r="E24" s="78"/>
      <c r="F24" s="78"/>
      <c r="G24" s="78"/>
      <c r="H24" s="78"/>
    </row>
    <row r="25" spans="1:8" s="4" customFormat="1" ht="14.25" x14ac:dyDescent="0.25">
      <c r="A25" s="144" t="s">
        <v>15</v>
      </c>
      <c r="B25" s="145"/>
      <c r="C25" s="145"/>
      <c r="D25" s="146"/>
      <c r="E25" s="79" t="s">
        <v>502</v>
      </c>
      <c r="F25" s="80" t="s">
        <v>502</v>
      </c>
      <c r="G25" s="79" t="s">
        <v>479</v>
      </c>
      <c r="H25" s="79" t="s">
        <v>411</v>
      </c>
    </row>
    <row r="26" spans="1:8" s="4" customFormat="1" ht="14.25" x14ac:dyDescent="0.25">
      <c r="A26" s="153" t="s">
        <v>16</v>
      </c>
      <c r="B26" s="154"/>
      <c r="C26" s="154"/>
      <c r="D26" s="155"/>
      <c r="E26" s="81" t="s">
        <v>502</v>
      </c>
      <c r="F26" s="82" t="s">
        <v>502</v>
      </c>
      <c r="G26" s="81" t="s">
        <v>470</v>
      </c>
      <c r="H26" s="81" t="s">
        <v>470</v>
      </c>
    </row>
    <row r="27" spans="1:8" s="4" customFormat="1" ht="18" customHeight="1" x14ac:dyDescent="0.25">
      <c r="A27" s="161" t="s">
        <v>17</v>
      </c>
      <c r="B27" s="162"/>
      <c r="C27" s="162"/>
      <c r="D27" s="163"/>
      <c r="E27" s="83"/>
      <c r="F27" s="83"/>
      <c r="G27" s="83"/>
      <c r="H27" s="83"/>
    </row>
    <row r="28" spans="1:8" s="4" customFormat="1" ht="28.5" x14ac:dyDescent="0.25">
      <c r="A28" s="144" t="s">
        <v>18</v>
      </c>
      <c r="B28" s="145"/>
      <c r="C28" s="145"/>
      <c r="D28" s="146"/>
      <c r="E28" s="79" t="s">
        <v>251</v>
      </c>
      <c r="F28" s="80" t="s">
        <v>251</v>
      </c>
      <c r="G28" s="84" t="s">
        <v>429</v>
      </c>
      <c r="H28" s="84" t="s">
        <v>455</v>
      </c>
    </row>
    <row r="29" spans="1:8" s="4" customFormat="1" ht="14.25" x14ac:dyDescent="0.25">
      <c r="A29" s="144" t="s">
        <v>19</v>
      </c>
      <c r="B29" s="145"/>
      <c r="C29" s="145"/>
      <c r="D29" s="146"/>
      <c r="E29" s="84" t="s">
        <v>251</v>
      </c>
      <c r="F29" s="80" t="s">
        <v>251</v>
      </c>
      <c r="G29" s="84" t="s">
        <v>251</v>
      </c>
      <c r="H29" s="84" t="s">
        <v>455</v>
      </c>
    </row>
    <row r="30" spans="1:8" s="4" customFormat="1" ht="14.25" x14ac:dyDescent="0.25">
      <c r="A30" s="153" t="s">
        <v>20</v>
      </c>
      <c r="B30" s="154"/>
      <c r="C30" s="154"/>
      <c r="D30" s="155"/>
      <c r="E30" s="77" t="s">
        <v>500</v>
      </c>
      <c r="F30" s="85" t="s">
        <v>509</v>
      </c>
      <c r="G30" s="81" t="s">
        <v>423</v>
      </c>
      <c r="H30" s="81" t="s">
        <v>454</v>
      </c>
    </row>
    <row r="31" spans="1:8" s="4" customFormat="1" ht="18" customHeight="1" x14ac:dyDescent="0.25">
      <c r="A31" s="161" t="s">
        <v>21</v>
      </c>
      <c r="B31" s="162"/>
      <c r="C31" s="162"/>
      <c r="D31" s="163"/>
      <c r="E31" s="78"/>
      <c r="F31" s="86"/>
      <c r="G31" s="83"/>
      <c r="H31" s="83"/>
    </row>
    <row r="32" spans="1:8" s="4" customFormat="1" ht="14.25" x14ac:dyDescent="0.25">
      <c r="A32" s="144" t="s">
        <v>22</v>
      </c>
      <c r="B32" s="145"/>
      <c r="C32" s="145"/>
      <c r="D32" s="146"/>
      <c r="E32" s="79" t="s">
        <v>503</v>
      </c>
      <c r="F32" s="87" t="s">
        <v>503</v>
      </c>
      <c r="G32" s="84" t="s">
        <v>321</v>
      </c>
      <c r="H32" s="84" t="s">
        <v>307</v>
      </c>
    </row>
    <row r="33" spans="1:8" s="4" customFormat="1" ht="14.25" x14ac:dyDescent="0.25">
      <c r="A33" s="144" t="s">
        <v>23</v>
      </c>
      <c r="B33" s="145"/>
      <c r="C33" s="145"/>
      <c r="D33" s="146"/>
      <c r="E33" s="81" t="s">
        <v>485</v>
      </c>
      <c r="F33" s="88" t="s">
        <v>507</v>
      </c>
      <c r="G33" s="81" t="s">
        <v>336</v>
      </c>
      <c r="H33" s="81" t="s">
        <v>451</v>
      </c>
    </row>
    <row r="34" spans="1:8" s="4" customFormat="1" ht="18" customHeight="1" x14ac:dyDescent="0.25">
      <c r="A34" s="161" t="s">
        <v>24</v>
      </c>
      <c r="B34" s="162"/>
      <c r="C34" s="162"/>
      <c r="D34" s="163"/>
      <c r="E34" s="83"/>
      <c r="F34" s="89"/>
      <c r="G34" s="78"/>
      <c r="H34" s="78"/>
    </row>
    <row r="35" spans="1:8" s="4" customFormat="1" ht="28.5" x14ac:dyDescent="0.25">
      <c r="A35" s="144" t="s">
        <v>25</v>
      </c>
      <c r="B35" s="145"/>
      <c r="C35" s="145"/>
      <c r="D35" s="146"/>
      <c r="E35" s="90" t="s">
        <v>501</v>
      </c>
      <c r="F35" s="91" t="s">
        <v>510</v>
      </c>
      <c r="G35" s="84" t="s">
        <v>478</v>
      </c>
      <c r="H35" s="84" t="s">
        <v>456</v>
      </c>
    </row>
    <row r="36" spans="1:8" s="4" customFormat="1" ht="42.75" x14ac:dyDescent="0.25">
      <c r="A36" s="144" t="s">
        <v>26</v>
      </c>
      <c r="B36" s="145"/>
      <c r="C36" s="145"/>
      <c r="D36" s="146"/>
      <c r="E36" s="77" t="s">
        <v>498</v>
      </c>
      <c r="F36" s="92" t="s">
        <v>508</v>
      </c>
      <c r="G36" s="77" t="s">
        <v>473</v>
      </c>
      <c r="H36" s="77" t="s">
        <v>452</v>
      </c>
    </row>
    <row r="37" spans="1:8" s="4" customFormat="1" ht="14.25" x14ac:dyDescent="0.25">
      <c r="A37" s="161" t="s">
        <v>69</v>
      </c>
      <c r="B37" s="162"/>
      <c r="C37" s="162"/>
      <c r="D37" s="163"/>
      <c r="E37" s="83"/>
      <c r="F37" s="83"/>
      <c r="G37" s="83"/>
      <c r="H37" s="83"/>
    </row>
    <row r="38" spans="1:8" s="4" customFormat="1" ht="14.25" x14ac:dyDescent="0.25">
      <c r="A38" s="144" t="s">
        <v>70</v>
      </c>
      <c r="B38" s="145"/>
      <c r="C38" s="145"/>
      <c r="D38" s="146"/>
      <c r="E38" s="77" t="s">
        <v>244</v>
      </c>
      <c r="F38" s="77" t="s">
        <v>244</v>
      </c>
      <c r="G38" s="77" t="s">
        <v>251</v>
      </c>
      <c r="H38" s="77" t="s">
        <v>450</v>
      </c>
    </row>
    <row r="39" spans="1:8" s="2" customFormat="1" ht="19.899999999999999" customHeight="1" x14ac:dyDescent="0.25">
      <c r="A39" s="159" t="s">
        <v>53</v>
      </c>
      <c r="B39" s="160"/>
      <c r="C39" s="160"/>
      <c r="D39" s="160"/>
      <c r="E39" s="11"/>
      <c r="F39" s="11"/>
      <c r="G39" s="11"/>
      <c r="H39" s="11"/>
    </row>
    <row r="40" spans="1:8" s="4" customFormat="1" ht="14.25" x14ac:dyDescent="0.25">
      <c r="A40" s="156" t="s">
        <v>11</v>
      </c>
      <c r="B40" s="157"/>
      <c r="C40" s="157"/>
      <c r="D40" s="158"/>
      <c r="E40" s="93" t="s">
        <v>247</v>
      </c>
      <c r="F40" s="93" t="s">
        <v>261</v>
      </c>
      <c r="G40" s="94" t="s">
        <v>476</v>
      </c>
      <c r="H40" s="94" t="s">
        <v>261</v>
      </c>
    </row>
    <row r="41" spans="1:8" s="4" customFormat="1" ht="14.25" x14ac:dyDescent="0.25">
      <c r="A41" s="144" t="s">
        <v>12</v>
      </c>
      <c r="B41" s="145"/>
      <c r="C41" s="145"/>
      <c r="D41" s="146"/>
      <c r="E41" s="74" t="s">
        <v>243</v>
      </c>
      <c r="F41" s="95" t="s">
        <v>8</v>
      </c>
      <c r="G41" s="96" t="s">
        <v>475</v>
      </c>
      <c r="H41" s="96" t="s">
        <v>8</v>
      </c>
    </row>
    <row r="42" spans="1:8" s="4" customFormat="1" ht="14.25" x14ac:dyDescent="0.25">
      <c r="A42" s="153" t="s">
        <v>13</v>
      </c>
      <c r="B42" s="154"/>
      <c r="C42" s="154"/>
      <c r="D42" s="155"/>
      <c r="E42" s="77" t="s">
        <v>499</v>
      </c>
      <c r="F42" s="76" t="s">
        <v>261</v>
      </c>
      <c r="G42" s="77" t="s">
        <v>477</v>
      </c>
      <c r="H42" s="77" t="s">
        <v>261</v>
      </c>
    </row>
    <row r="43" spans="1:8" s="2" customFormat="1" ht="19.899999999999999" customHeight="1" x14ac:dyDescent="0.25">
      <c r="A43" s="159" t="s">
        <v>52</v>
      </c>
      <c r="B43" s="160"/>
      <c r="C43" s="160"/>
      <c r="D43" s="160"/>
      <c r="E43" s="10"/>
      <c r="F43" s="10"/>
      <c r="G43" s="10"/>
      <c r="H43" s="10"/>
    </row>
    <row r="44" spans="1:8" s="5" customFormat="1" ht="14.25" x14ac:dyDescent="0.25">
      <c r="A44" s="164" t="s">
        <v>33</v>
      </c>
      <c r="B44" s="165"/>
      <c r="C44" s="165"/>
      <c r="D44" s="166"/>
      <c r="E44" s="97" t="s">
        <v>255</v>
      </c>
      <c r="F44" s="98" t="s">
        <v>255</v>
      </c>
      <c r="G44" s="97" t="s">
        <v>255</v>
      </c>
      <c r="H44" s="97" t="s">
        <v>255</v>
      </c>
    </row>
    <row r="45" spans="1:8" s="5" customFormat="1" ht="14.25" x14ac:dyDescent="0.25">
      <c r="A45" s="150" t="s">
        <v>71</v>
      </c>
      <c r="B45" s="151"/>
      <c r="C45" s="151"/>
      <c r="D45" s="152"/>
      <c r="E45" s="99" t="str">
        <f>IF("$20"="","None","$20")</f>
        <v>$20</v>
      </c>
      <c r="F45" s="99" t="str">
        <f>IF("$20"="","None","$20")</f>
        <v>$20</v>
      </c>
      <c r="G45" s="99" t="str">
        <f>IF("$5"="","None","$5")</f>
        <v>$5</v>
      </c>
      <c r="H45" s="99" t="str">
        <f>IF("$25"="","None","$25")</f>
        <v>$25</v>
      </c>
    </row>
    <row r="46" spans="1:8" s="5" customFormat="1" ht="14.25" x14ac:dyDescent="0.25">
      <c r="A46" s="150" t="s">
        <v>72</v>
      </c>
      <c r="B46" s="151"/>
      <c r="C46" s="151"/>
      <c r="D46" s="152"/>
      <c r="E46" s="99" t="str">
        <f>IF("$90"="","None","$90")</f>
        <v>$90</v>
      </c>
      <c r="F46" s="99" t="str">
        <f>IF("$90"="","None","$90")</f>
        <v>$90</v>
      </c>
      <c r="G46" s="99" t="str">
        <f>IF("$25"="","None","$25")</f>
        <v>$25</v>
      </c>
      <c r="H46" s="99" t="str">
        <f>IF("30%"="","None","30%")</f>
        <v>30%</v>
      </c>
    </row>
    <row r="47" spans="1:8" s="5" customFormat="1" ht="14.25" x14ac:dyDescent="0.25">
      <c r="A47" s="150" t="s">
        <v>73</v>
      </c>
      <c r="B47" s="151"/>
      <c r="C47" s="151"/>
      <c r="D47" s="152"/>
      <c r="E47" s="99" t="str">
        <f>IF("$150"="","None","$150")</f>
        <v>$150</v>
      </c>
      <c r="F47" s="99" t="str">
        <f>IF("$150"="","None","$150")</f>
        <v>$150</v>
      </c>
      <c r="G47" s="99" t="str">
        <f>IF("$50"="","None","$50")</f>
        <v>$50</v>
      </c>
      <c r="H47" s="99" t="str">
        <f>IF("30%"="","None","30%")</f>
        <v>30%</v>
      </c>
    </row>
    <row r="48" spans="1:8" s="5" customFormat="1" ht="14.25" x14ac:dyDescent="0.25">
      <c r="A48" s="150" t="s">
        <v>74</v>
      </c>
      <c r="B48" s="151"/>
      <c r="C48" s="151"/>
      <c r="D48" s="152"/>
      <c r="E48" s="99" t="str">
        <f>IF("None"="","None","None")</f>
        <v>None</v>
      </c>
      <c r="F48" s="99" t="str">
        <f>IF("None"="","None","None")</f>
        <v>None</v>
      </c>
      <c r="G48" s="99" t="str">
        <f>IF("None"="","None","None")</f>
        <v>None</v>
      </c>
      <c r="H48" s="99" t="str">
        <f>IF("None"="","None","None")</f>
        <v>None</v>
      </c>
    </row>
    <row r="49" spans="1:8" s="5" customFormat="1" ht="28.5" x14ac:dyDescent="0.25">
      <c r="A49" s="147" t="s">
        <v>75</v>
      </c>
      <c r="B49" s="148"/>
      <c r="C49" s="148"/>
      <c r="D49" s="149"/>
      <c r="E49" s="99" t="s">
        <v>505</v>
      </c>
      <c r="F49" s="99" t="s">
        <v>505</v>
      </c>
      <c r="G49" s="99" t="s">
        <v>481</v>
      </c>
      <c r="H49" s="99" t="s">
        <v>334</v>
      </c>
    </row>
    <row r="50" spans="1:8" s="2" customFormat="1" ht="14.25" x14ac:dyDescent="0.25">
      <c r="A50" s="147" t="s">
        <v>27</v>
      </c>
      <c r="B50" s="148"/>
      <c r="C50" s="148"/>
      <c r="D50" s="149"/>
      <c r="E50" s="99" t="s">
        <v>504</v>
      </c>
      <c r="F50" s="99" t="s">
        <v>504</v>
      </c>
      <c r="G50" s="99" t="s">
        <v>480</v>
      </c>
      <c r="H50" s="99" t="s">
        <v>471</v>
      </c>
    </row>
    <row r="51" spans="1:8" s="2" customFormat="1" ht="55.15" customHeight="1" x14ac:dyDescent="0.25">
      <c r="A51" s="140" t="s">
        <v>31</v>
      </c>
      <c r="B51" s="140"/>
      <c r="C51" s="140"/>
      <c r="D51" s="140"/>
      <c r="E51" s="140"/>
      <c r="F51" s="140"/>
      <c r="G51" s="140"/>
      <c r="H51" s="140"/>
    </row>
  </sheetData>
  <mergeCells count="50">
    <mergeCell ref="A14:D14"/>
    <mergeCell ref="A15:D15"/>
    <mergeCell ref="A16:D16"/>
    <mergeCell ref="B13:C13"/>
    <mergeCell ref="A2:H2"/>
    <mergeCell ref="A3:H3"/>
    <mergeCell ref="A4:H4"/>
    <mergeCell ref="A24:D24"/>
    <mergeCell ref="A25:D25"/>
    <mergeCell ref="A19:D19"/>
    <mergeCell ref="A5:C5"/>
    <mergeCell ref="A8:D8"/>
    <mergeCell ref="A9:C9"/>
    <mergeCell ref="A6:C6"/>
    <mergeCell ref="B12:C12"/>
    <mergeCell ref="A7:D7"/>
    <mergeCell ref="B10:C10"/>
    <mergeCell ref="B11:C11"/>
    <mergeCell ref="A17:D17"/>
    <mergeCell ref="A18:D18"/>
    <mergeCell ref="A21:D21"/>
    <mergeCell ref="A23:D23"/>
    <mergeCell ref="A20:D20"/>
    <mergeCell ref="A22:D22"/>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51:H51"/>
    <mergeCell ref="A38:D38"/>
    <mergeCell ref="A30:D30"/>
    <mergeCell ref="A45:D45"/>
    <mergeCell ref="A46:D46"/>
    <mergeCell ref="A47:D47"/>
    <mergeCell ref="A39:D39"/>
    <mergeCell ref="A40:D40"/>
    <mergeCell ref="A41:D41"/>
    <mergeCell ref="A42:D42"/>
    <mergeCell ref="A44:D44"/>
    <mergeCell ref="A43:D43"/>
  </mergeCells>
  <hyperlinks>
    <hyperlink ref="E19" r:id="rId1" xr:uid="{00000000-0004-0000-3C00-000000000000}"/>
    <hyperlink ref="F8" r:id="rId2" xr:uid="{00000000-0004-0000-3C00-000001000000}"/>
    <hyperlink ref="F19" r:id="rId3" xr:uid="{00000000-0004-0000-3C00-000002000000}"/>
    <hyperlink ref="G8" r:id="rId4" xr:uid="{00000000-0004-0000-3C00-000003000000}"/>
    <hyperlink ref="G19" r:id="rId5" xr:uid="{00000000-0004-0000-3C00-000004000000}"/>
    <hyperlink ref="H8" r:id="rId6" xr:uid="{00000000-0004-0000-3C00-000005000000}"/>
    <hyperlink ref="H19" r:id="rId7" xr:uid="{00000000-0004-0000-3C00-000006000000}"/>
  </hyperlinks>
  <printOptions horizontalCentered="1"/>
  <pageMargins left="0.25" right="0.25" top="0.25" bottom="0.3" header="0" footer="0.05"/>
  <pageSetup scale="47" orientation="landscape"/>
  <headerFooter>
    <oddFooter>&amp;C&amp;"Tahoma,Regular"Page &amp;P of &amp;N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6F16-A569-4350-A300-54F025080C05}">
  <sheetPr>
    <pageSetUpPr fitToPage="1"/>
  </sheetPr>
  <dimension ref="A1:G51"/>
  <sheetViews>
    <sheetView zoomScaleNormal="100" zoomScaleSheetLayoutView="90" workbookViewId="0">
      <selection activeCell="J16" sqref="J16"/>
    </sheetView>
  </sheetViews>
  <sheetFormatPr defaultColWidth="9.25" defaultRowHeight="15" x14ac:dyDescent="0.25"/>
  <cols>
    <col min="1" max="1" width="3.75" style="1" customWidth="1" collapsed="1"/>
    <col min="2" max="2" width="4" style="1" customWidth="1" collapsed="1"/>
    <col min="3" max="3" width="19.25" style="1" customWidth="1" collapsed="1"/>
    <col min="4" max="4" width="15.5" style="1" customWidth="1" collapsed="1"/>
    <col min="5" max="5" width="32.25" style="9" customWidth="1" collapsed="1"/>
    <col min="6" max="7" width="32.25" style="1" customWidth="1" collapsed="1"/>
    <col min="8" max="16384" width="9.25" style="1" collapsed="1"/>
  </cols>
  <sheetData>
    <row r="1" spans="1:7" ht="4.9000000000000004" customHeight="1" x14ac:dyDescent="0.25"/>
    <row r="2" spans="1:7" ht="31.15" customHeight="1" x14ac:dyDescent="0.25">
      <c r="A2" s="167" t="str">
        <f>group_name</f>
        <v>Tuckerton Lumber Company</v>
      </c>
      <c r="B2" s="168"/>
      <c r="C2" s="168"/>
      <c r="D2" s="168"/>
      <c r="E2" s="168"/>
      <c r="F2" s="168"/>
      <c r="G2" s="169"/>
    </row>
    <row r="3" spans="1:7" ht="31.15" customHeight="1" x14ac:dyDescent="0.25">
      <c r="A3" s="170" t="s">
        <v>34</v>
      </c>
      <c r="B3" s="171"/>
      <c r="C3" s="171"/>
      <c r="D3" s="171"/>
      <c r="E3" s="171"/>
      <c r="F3" s="171"/>
      <c r="G3" s="172"/>
    </row>
    <row r="4" spans="1:7" s="2" customFormat="1" ht="31.15" customHeight="1" x14ac:dyDescent="0.25">
      <c r="A4" s="173" t="str">
        <f>"Effective Date: "&amp;TEXT(effective_date,"MM/DD/YYYY")</f>
        <v>Effective Date: 06/01/2026</v>
      </c>
      <c r="B4" s="174"/>
      <c r="C4" s="174"/>
      <c r="D4" s="174"/>
      <c r="E4" s="174"/>
      <c r="F4" s="174"/>
      <c r="G4" s="175"/>
    </row>
    <row r="5" spans="1:7" s="2" customFormat="1" ht="14.25" x14ac:dyDescent="0.25">
      <c r="A5" s="180" t="s">
        <v>3</v>
      </c>
      <c r="B5" s="181"/>
      <c r="C5" s="182"/>
      <c r="D5" s="55" t="str">
        <f>TEXT(effective_date,"MM/DD/YYYY")</f>
        <v>06/01/2026</v>
      </c>
      <c r="E5" s="132" t="s">
        <v>1</v>
      </c>
      <c r="F5" s="132" t="s">
        <v>2</v>
      </c>
      <c r="G5" s="57" t="s">
        <v>219</v>
      </c>
    </row>
    <row r="6" spans="1:7" s="2" customFormat="1" ht="45" x14ac:dyDescent="0.25">
      <c r="A6" s="186" t="s">
        <v>67</v>
      </c>
      <c r="B6" s="187"/>
      <c r="C6" s="187"/>
      <c r="D6" s="127">
        <v>10</v>
      </c>
      <c r="E6" s="115" t="s">
        <v>497</v>
      </c>
      <c r="F6" s="115" t="s">
        <v>506</v>
      </c>
      <c r="G6" s="116" t="s">
        <v>483</v>
      </c>
    </row>
    <row r="7" spans="1:7" s="2" customFormat="1" ht="14.25" x14ac:dyDescent="0.25">
      <c r="A7" s="190"/>
      <c r="B7" s="191"/>
      <c r="C7" s="191"/>
      <c r="D7" s="192"/>
      <c r="E7" s="131" t="s">
        <v>242</v>
      </c>
      <c r="F7" s="131" t="s">
        <v>242</v>
      </c>
      <c r="G7" s="131" t="s">
        <v>265</v>
      </c>
    </row>
    <row r="8" spans="1:7" s="2" customFormat="1" x14ac:dyDescent="0.25">
      <c r="A8" s="183"/>
      <c r="B8" s="183"/>
      <c r="C8" s="183"/>
      <c r="D8" s="183"/>
      <c r="E8" s="113"/>
      <c r="F8" s="113" t="s">
        <v>58</v>
      </c>
      <c r="G8" s="113" t="s">
        <v>58</v>
      </c>
    </row>
    <row r="9" spans="1:7" s="2" customFormat="1" ht="14.25" x14ac:dyDescent="0.25">
      <c r="A9" s="184" t="s">
        <v>80</v>
      </c>
      <c r="B9" s="185"/>
      <c r="C9" s="185"/>
      <c r="D9" s="112" t="s">
        <v>76</v>
      </c>
      <c r="E9" s="112"/>
      <c r="F9" s="112"/>
      <c r="G9" s="112"/>
    </row>
    <row r="10" spans="1:7" s="2" customFormat="1" ht="14.25" x14ac:dyDescent="0.25">
      <c r="A10" s="58"/>
      <c r="B10" s="193" t="s">
        <v>77</v>
      </c>
      <c r="C10" s="194"/>
      <c r="D10" s="59">
        <v>7</v>
      </c>
      <c r="E10" s="60">
        <v>688.01</v>
      </c>
      <c r="F10" s="60">
        <v>1023.31</v>
      </c>
      <c r="G10" s="61"/>
    </row>
    <row r="11" spans="1:7" s="2" customFormat="1" ht="14.25" x14ac:dyDescent="0.25">
      <c r="A11" s="62"/>
      <c r="B11" s="188" t="s">
        <v>4</v>
      </c>
      <c r="C11" s="189"/>
      <c r="D11" s="63">
        <v>1</v>
      </c>
      <c r="E11" s="64">
        <v>1517.4</v>
      </c>
      <c r="F11" s="64">
        <v>2288.59</v>
      </c>
      <c r="G11" s="64"/>
    </row>
    <row r="12" spans="1:7" s="2" customFormat="1" ht="14.25" x14ac:dyDescent="0.25">
      <c r="A12" s="65"/>
      <c r="B12" s="188" t="s">
        <v>78</v>
      </c>
      <c r="C12" s="189"/>
      <c r="D12" s="63">
        <v>0</v>
      </c>
      <c r="E12" s="64">
        <v>1294.0999999999999</v>
      </c>
      <c r="F12" s="64">
        <v>1947.93</v>
      </c>
      <c r="G12" s="64"/>
    </row>
    <row r="13" spans="1:7" s="2" customFormat="1" ht="14.25" x14ac:dyDescent="0.25">
      <c r="A13" s="66"/>
      <c r="B13" s="198" t="s">
        <v>79</v>
      </c>
      <c r="C13" s="199"/>
      <c r="D13" s="56">
        <v>2</v>
      </c>
      <c r="E13" s="67">
        <v>2155.42</v>
      </c>
      <c r="F13" s="67">
        <v>3261.9</v>
      </c>
      <c r="G13" s="68"/>
    </row>
    <row r="14" spans="1:7" s="2" customFormat="1" ht="14.25" x14ac:dyDescent="0.25">
      <c r="A14" s="196" t="s">
        <v>5</v>
      </c>
      <c r="B14" s="196"/>
      <c r="C14" s="196"/>
      <c r="D14" s="196"/>
      <c r="E14" s="69">
        <v>10644.31</v>
      </c>
      <c r="F14" s="69">
        <v>15975.56</v>
      </c>
      <c r="G14" s="69">
        <v>25643.11</v>
      </c>
    </row>
    <row r="15" spans="1:7" s="2" customFormat="1" ht="14.25" x14ac:dyDescent="0.25">
      <c r="A15" s="197" t="s">
        <v>6</v>
      </c>
      <c r="B15" s="197"/>
      <c r="C15" s="197"/>
      <c r="D15" s="197"/>
      <c r="E15" s="70">
        <f>E14*12</f>
        <v>127731.72</v>
      </c>
      <c r="F15" s="70">
        <f>F14*12</f>
        <v>191706.72</v>
      </c>
      <c r="G15" s="70">
        <f>G14*12</f>
        <v>307717.32</v>
      </c>
    </row>
    <row r="16" spans="1:7" s="2" customFormat="1" ht="14.25" x14ac:dyDescent="0.25">
      <c r="A16" s="197" t="s">
        <v>7</v>
      </c>
      <c r="B16" s="197"/>
      <c r="C16" s="197"/>
      <c r="D16" s="197"/>
      <c r="E16" s="71" t="s">
        <v>8</v>
      </c>
      <c r="F16" s="71">
        <f>(F15-$E15)/$E15</f>
        <v>0.50085444711775584</v>
      </c>
      <c r="G16" s="71">
        <f>(G15-$E15)/$E15</f>
        <v>1.4090908663877697</v>
      </c>
    </row>
    <row r="17" spans="1:7" s="3" customFormat="1" ht="14.25" x14ac:dyDescent="0.25">
      <c r="A17" s="195" t="s">
        <v>9</v>
      </c>
      <c r="B17" s="195"/>
      <c r="C17" s="195"/>
      <c r="D17" s="195"/>
      <c r="E17" s="72" t="s">
        <v>8</v>
      </c>
      <c r="F17" s="70">
        <f>F15-$E15</f>
        <v>63975</v>
      </c>
      <c r="G17" s="70">
        <f>G15-$E15</f>
        <v>179985.6</v>
      </c>
    </row>
    <row r="18" spans="1:7" s="3" customFormat="1" ht="14.25" x14ac:dyDescent="0.25">
      <c r="A18" s="195" t="s">
        <v>10</v>
      </c>
      <c r="B18" s="195"/>
      <c r="C18" s="195"/>
      <c r="D18" s="195"/>
      <c r="E18" s="72" t="s">
        <v>8</v>
      </c>
      <c r="F18" s="72">
        <f>F14-$E14</f>
        <v>5331.25</v>
      </c>
      <c r="G18" s="72">
        <f>G14-$E14</f>
        <v>14998.800000000001</v>
      </c>
    </row>
    <row r="19" spans="1:7" s="3" customFormat="1" x14ac:dyDescent="0.25">
      <c r="A19" s="179" t="s">
        <v>30</v>
      </c>
      <c r="B19" s="179"/>
      <c r="C19" s="179"/>
      <c r="D19" s="179"/>
      <c r="E19" s="114" t="s">
        <v>29</v>
      </c>
      <c r="F19" s="114" t="s">
        <v>29</v>
      </c>
      <c r="G19" s="114" t="s">
        <v>29</v>
      </c>
    </row>
    <row r="20" spans="1:7" s="3" customFormat="1" ht="19.899999999999999" customHeight="1" x14ac:dyDescent="0.25">
      <c r="A20" s="159" t="s">
        <v>54</v>
      </c>
      <c r="B20" s="160"/>
      <c r="C20" s="160"/>
      <c r="D20" s="160"/>
      <c r="E20" s="12"/>
      <c r="F20" s="12"/>
      <c r="G20" s="12"/>
    </row>
    <row r="21" spans="1:7" s="3" customFormat="1" ht="14.25" x14ac:dyDescent="0.25">
      <c r="A21" s="156" t="s">
        <v>11</v>
      </c>
      <c r="B21" s="157"/>
      <c r="C21" s="157"/>
      <c r="D21" s="158"/>
      <c r="E21" s="73" t="s">
        <v>247</v>
      </c>
      <c r="F21" s="73" t="s">
        <v>247</v>
      </c>
      <c r="G21" s="73" t="s">
        <v>247</v>
      </c>
    </row>
    <row r="22" spans="1:7" s="4" customFormat="1" ht="14.25" x14ac:dyDescent="0.25">
      <c r="A22" s="144" t="s">
        <v>12</v>
      </c>
      <c r="B22" s="145"/>
      <c r="C22" s="145"/>
      <c r="D22" s="146"/>
      <c r="E22" s="74" t="s">
        <v>243</v>
      </c>
      <c r="F22" s="75" t="s">
        <v>243</v>
      </c>
      <c r="G22" s="75" t="s">
        <v>243</v>
      </c>
    </row>
    <row r="23" spans="1:7" s="4" customFormat="1" ht="14.25" x14ac:dyDescent="0.25">
      <c r="A23" s="153" t="s">
        <v>13</v>
      </c>
      <c r="B23" s="154"/>
      <c r="C23" s="154"/>
      <c r="D23" s="155"/>
      <c r="E23" s="76" t="s">
        <v>270</v>
      </c>
      <c r="F23" s="77" t="s">
        <v>270</v>
      </c>
      <c r="G23" s="77" t="s">
        <v>319</v>
      </c>
    </row>
    <row r="24" spans="1:7" s="4" customFormat="1" ht="18" customHeight="1" x14ac:dyDescent="0.25">
      <c r="A24" s="176" t="s">
        <v>14</v>
      </c>
      <c r="B24" s="177"/>
      <c r="C24" s="177"/>
      <c r="D24" s="178"/>
      <c r="E24" s="78"/>
      <c r="F24" s="78"/>
      <c r="G24" s="78"/>
    </row>
    <row r="25" spans="1:7" s="4" customFormat="1" ht="14.25" x14ac:dyDescent="0.25">
      <c r="A25" s="144" t="s">
        <v>15</v>
      </c>
      <c r="B25" s="145"/>
      <c r="C25" s="145"/>
      <c r="D25" s="146"/>
      <c r="E25" s="79" t="s">
        <v>502</v>
      </c>
      <c r="F25" s="80" t="s">
        <v>502</v>
      </c>
      <c r="G25" s="79" t="s">
        <v>423</v>
      </c>
    </row>
    <row r="26" spans="1:7" s="4" customFormat="1" ht="14.25" x14ac:dyDescent="0.25">
      <c r="A26" s="153" t="s">
        <v>16</v>
      </c>
      <c r="B26" s="154"/>
      <c r="C26" s="154"/>
      <c r="D26" s="155"/>
      <c r="E26" s="81" t="s">
        <v>502</v>
      </c>
      <c r="F26" s="82" t="s">
        <v>502</v>
      </c>
      <c r="G26" s="81" t="s">
        <v>274</v>
      </c>
    </row>
    <row r="27" spans="1:7" s="4" customFormat="1" ht="18" customHeight="1" x14ac:dyDescent="0.25">
      <c r="A27" s="161" t="s">
        <v>17</v>
      </c>
      <c r="B27" s="162"/>
      <c r="C27" s="162"/>
      <c r="D27" s="163"/>
      <c r="E27" s="83"/>
      <c r="F27" s="83"/>
      <c r="G27" s="83"/>
    </row>
    <row r="28" spans="1:7" s="4" customFormat="1" ht="14.25" x14ac:dyDescent="0.25">
      <c r="A28" s="144" t="s">
        <v>18</v>
      </c>
      <c r="B28" s="145"/>
      <c r="C28" s="145"/>
      <c r="D28" s="146"/>
      <c r="E28" s="79" t="s">
        <v>251</v>
      </c>
      <c r="F28" s="80" t="s">
        <v>251</v>
      </c>
      <c r="G28" s="84" t="s">
        <v>251</v>
      </c>
    </row>
    <row r="29" spans="1:7" s="4" customFormat="1" ht="14.25" x14ac:dyDescent="0.25">
      <c r="A29" s="144" t="s">
        <v>19</v>
      </c>
      <c r="B29" s="145"/>
      <c r="C29" s="145"/>
      <c r="D29" s="146"/>
      <c r="E29" s="84" t="s">
        <v>251</v>
      </c>
      <c r="F29" s="80" t="s">
        <v>251</v>
      </c>
      <c r="G29" s="84" t="s">
        <v>422</v>
      </c>
    </row>
    <row r="30" spans="1:7" s="4" customFormat="1" ht="14.25" x14ac:dyDescent="0.25">
      <c r="A30" s="153" t="s">
        <v>20</v>
      </c>
      <c r="B30" s="154"/>
      <c r="C30" s="154"/>
      <c r="D30" s="155"/>
      <c r="E30" s="77" t="s">
        <v>500</v>
      </c>
      <c r="F30" s="85" t="s">
        <v>509</v>
      </c>
      <c r="G30" s="81" t="s">
        <v>420</v>
      </c>
    </row>
    <row r="31" spans="1:7" s="4" customFormat="1" ht="18" customHeight="1" x14ac:dyDescent="0.25">
      <c r="A31" s="161" t="s">
        <v>21</v>
      </c>
      <c r="B31" s="162"/>
      <c r="C31" s="162"/>
      <c r="D31" s="163"/>
      <c r="E31" s="78"/>
      <c r="F31" s="86"/>
      <c r="G31" s="83"/>
    </row>
    <row r="32" spans="1:7" s="4" customFormat="1" ht="14.25" x14ac:dyDescent="0.25">
      <c r="A32" s="144" t="s">
        <v>22</v>
      </c>
      <c r="B32" s="145"/>
      <c r="C32" s="145"/>
      <c r="D32" s="146"/>
      <c r="E32" s="79" t="s">
        <v>503</v>
      </c>
      <c r="F32" s="87" t="s">
        <v>503</v>
      </c>
      <c r="G32" s="84" t="s">
        <v>307</v>
      </c>
    </row>
    <row r="33" spans="1:7" s="4" customFormat="1" ht="14.25" x14ac:dyDescent="0.25">
      <c r="A33" s="144" t="s">
        <v>23</v>
      </c>
      <c r="B33" s="145"/>
      <c r="C33" s="145"/>
      <c r="D33" s="146"/>
      <c r="E33" s="81" t="s">
        <v>485</v>
      </c>
      <c r="F33" s="88" t="s">
        <v>507</v>
      </c>
      <c r="G33" s="81" t="s">
        <v>418</v>
      </c>
    </row>
    <row r="34" spans="1:7" s="4" customFormat="1" ht="18" customHeight="1" x14ac:dyDescent="0.25">
      <c r="A34" s="161" t="s">
        <v>24</v>
      </c>
      <c r="B34" s="162"/>
      <c r="C34" s="162"/>
      <c r="D34" s="163"/>
      <c r="E34" s="83"/>
      <c r="F34" s="89"/>
      <c r="G34" s="78"/>
    </row>
    <row r="35" spans="1:7" s="4" customFormat="1" ht="28.5" x14ac:dyDescent="0.25">
      <c r="A35" s="144" t="s">
        <v>25</v>
      </c>
      <c r="B35" s="145"/>
      <c r="C35" s="145"/>
      <c r="D35" s="146"/>
      <c r="E35" s="90" t="s">
        <v>501</v>
      </c>
      <c r="F35" s="91" t="s">
        <v>510</v>
      </c>
      <c r="G35" s="84" t="s">
        <v>421</v>
      </c>
    </row>
    <row r="36" spans="1:7" s="4" customFormat="1" ht="42.75" x14ac:dyDescent="0.25">
      <c r="A36" s="144" t="s">
        <v>26</v>
      </c>
      <c r="B36" s="145"/>
      <c r="C36" s="145"/>
      <c r="D36" s="146"/>
      <c r="E36" s="77" t="s">
        <v>498</v>
      </c>
      <c r="F36" s="92" t="s">
        <v>508</v>
      </c>
      <c r="G36" s="77" t="s">
        <v>419</v>
      </c>
    </row>
    <row r="37" spans="1:7" s="4" customFormat="1" ht="14.25" x14ac:dyDescent="0.25">
      <c r="A37" s="161" t="s">
        <v>69</v>
      </c>
      <c r="B37" s="162"/>
      <c r="C37" s="162"/>
      <c r="D37" s="163"/>
      <c r="E37" s="83"/>
      <c r="F37" s="83"/>
      <c r="G37" s="83"/>
    </row>
    <row r="38" spans="1:7" s="4" customFormat="1" ht="14.25" x14ac:dyDescent="0.25">
      <c r="A38" s="144" t="s">
        <v>70</v>
      </c>
      <c r="B38" s="145"/>
      <c r="C38" s="145"/>
      <c r="D38" s="146"/>
      <c r="E38" s="77" t="s">
        <v>244</v>
      </c>
      <c r="F38" s="77" t="s">
        <v>244</v>
      </c>
      <c r="G38" s="77" t="s">
        <v>251</v>
      </c>
    </row>
    <row r="39" spans="1:7" s="2" customFormat="1" ht="19.899999999999999" customHeight="1" x14ac:dyDescent="0.25">
      <c r="A39" s="159" t="s">
        <v>53</v>
      </c>
      <c r="B39" s="160"/>
      <c r="C39" s="160"/>
      <c r="D39" s="160"/>
      <c r="E39" s="11"/>
      <c r="F39" s="11"/>
      <c r="G39" s="11"/>
    </row>
    <row r="40" spans="1:7" s="4" customFormat="1" ht="14.25" x14ac:dyDescent="0.25">
      <c r="A40" s="156" t="s">
        <v>11</v>
      </c>
      <c r="B40" s="157"/>
      <c r="C40" s="157"/>
      <c r="D40" s="158"/>
      <c r="E40" s="93" t="s">
        <v>247</v>
      </c>
      <c r="F40" s="93" t="s">
        <v>261</v>
      </c>
      <c r="G40" s="94" t="s">
        <v>261</v>
      </c>
    </row>
    <row r="41" spans="1:7" s="4" customFormat="1" ht="14.25" x14ac:dyDescent="0.25">
      <c r="A41" s="144" t="s">
        <v>12</v>
      </c>
      <c r="B41" s="145"/>
      <c r="C41" s="145"/>
      <c r="D41" s="146"/>
      <c r="E41" s="74" t="s">
        <v>243</v>
      </c>
      <c r="F41" s="95" t="s">
        <v>8</v>
      </c>
      <c r="G41" s="96" t="s">
        <v>8</v>
      </c>
    </row>
    <row r="42" spans="1:7" s="4" customFormat="1" ht="14.25" x14ac:dyDescent="0.25">
      <c r="A42" s="153" t="s">
        <v>13</v>
      </c>
      <c r="B42" s="154"/>
      <c r="C42" s="154"/>
      <c r="D42" s="155"/>
      <c r="E42" s="77" t="s">
        <v>499</v>
      </c>
      <c r="F42" s="76" t="s">
        <v>261</v>
      </c>
      <c r="G42" s="77" t="s">
        <v>261</v>
      </c>
    </row>
    <row r="43" spans="1:7" s="2" customFormat="1" ht="19.899999999999999" customHeight="1" x14ac:dyDescent="0.25">
      <c r="A43" s="159" t="s">
        <v>52</v>
      </c>
      <c r="B43" s="160"/>
      <c r="C43" s="160"/>
      <c r="D43" s="160"/>
      <c r="E43" s="10"/>
      <c r="F43" s="10"/>
      <c r="G43" s="10"/>
    </row>
    <row r="44" spans="1:7" s="5" customFormat="1" ht="14.25" x14ac:dyDescent="0.25">
      <c r="A44" s="164" t="s">
        <v>33</v>
      </c>
      <c r="B44" s="165"/>
      <c r="C44" s="165"/>
      <c r="D44" s="166"/>
      <c r="E44" s="97" t="s">
        <v>255</v>
      </c>
      <c r="F44" s="98" t="s">
        <v>255</v>
      </c>
      <c r="G44" s="97" t="s">
        <v>255</v>
      </c>
    </row>
    <row r="45" spans="1:7" s="5" customFormat="1" ht="14.25" x14ac:dyDescent="0.25">
      <c r="A45" s="150" t="s">
        <v>71</v>
      </c>
      <c r="B45" s="151"/>
      <c r="C45" s="151"/>
      <c r="D45" s="152"/>
      <c r="E45" s="99" t="str">
        <f>IF("$20"="","None","$20")</f>
        <v>$20</v>
      </c>
      <c r="F45" s="99" t="str">
        <f>IF("$20"="","None","$20")</f>
        <v>$20</v>
      </c>
      <c r="G45" s="99" t="str">
        <f>IF("$15"="","None","$15")</f>
        <v>$15</v>
      </c>
    </row>
    <row r="46" spans="1:7" s="5" customFormat="1" ht="14.25" x14ac:dyDescent="0.25">
      <c r="A46" s="150" t="s">
        <v>72</v>
      </c>
      <c r="B46" s="151"/>
      <c r="C46" s="151"/>
      <c r="D46" s="152"/>
      <c r="E46" s="99" t="str">
        <f>IF("$90"="","None","$90")</f>
        <v>$90</v>
      </c>
      <c r="F46" s="99" t="str">
        <f>IF("$90"="","None","$90")</f>
        <v>$90</v>
      </c>
      <c r="G46" s="99" t="str">
        <f>IF("$50"="","None","$50")</f>
        <v>$50</v>
      </c>
    </row>
    <row r="47" spans="1:7" s="5" customFormat="1" ht="14.25" x14ac:dyDescent="0.25">
      <c r="A47" s="150" t="s">
        <v>73</v>
      </c>
      <c r="B47" s="151"/>
      <c r="C47" s="151"/>
      <c r="D47" s="152"/>
      <c r="E47" s="99" t="str">
        <f>IF("$150"="","None","$150")</f>
        <v>$150</v>
      </c>
      <c r="F47" s="99" t="str">
        <f>IF("$150"="","None","$150")</f>
        <v>$150</v>
      </c>
      <c r="G47" s="99" t="str">
        <f>IF("$300"="","None","$300")</f>
        <v>$300</v>
      </c>
    </row>
    <row r="48" spans="1:7" s="5" customFormat="1" ht="14.25" x14ac:dyDescent="0.25">
      <c r="A48" s="150" t="s">
        <v>74</v>
      </c>
      <c r="B48" s="151"/>
      <c r="C48" s="151"/>
      <c r="D48" s="152"/>
      <c r="E48" s="99" t="str">
        <f>IF("None"="","None","None")</f>
        <v>None</v>
      </c>
      <c r="F48" s="99" t="str">
        <f>IF("None"="","None","None")</f>
        <v>None</v>
      </c>
      <c r="G48" s="99" t="str">
        <f>IF("None"="","None","None")</f>
        <v>None</v>
      </c>
    </row>
    <row r="49" spans="1:7" s="5" customFormat="1" ht="14.25" x14ac:dyDescent="0.25">
      <c r="A49" s="147" t="s">
        <v>75</v>
      </c>
      <c r="B49" s="148"/>
      <c r="C49" s="148"/>
      <c r="D49" s="149"/>
      <c r="E49" s="99" t="s">
        <v>505</v>
      </c>
      <c r="F49" s="99" t="s">
        <v>505</v>
      </c>
      <c r="G49" s="99" t="s">
        <v>425</v>
      </c>
    </row>
    <row r="50" spans="1:7" s="2" customFormat="1" ht="14.25" x14ac:dyDescent="0.25">
      <c r="A50" s="147" t="s">
        <v>27</v>
      </c>
      <c r="B50" s="148"/>
      <c r="C50" s="148"/>
      <c r="D50" s="149"/>
      <c r="E50" s="99" t="s">
        <v>504</v>
      </c>
      <c r="F50" s="99" t="s">
        <v>504</v>
      </c>
      <c r="G50" s="99" t="s">
        <v>424</v>
      </c>
    </row>
    <row r="51" spans="1:7" s="2" customFormat="1" ht="55.15" customHeight="1" x14ac:dyDescent="0.25">
      <c r="A51" s="140" t="s">
        <v>31</v>
      </c>
      <c r="B51" s="140"/>
      <c r="C51" s="140"/>
      <c r="D51" s="140"/>
      <c r="E51" s="140"/>
      <c r="F51" s="140"/>
      <c r="G51" s="140"/>
    </row>
  </sheetData>
  <mergeCells count="50">
    <mergeCell ref="A2:G2"/>
    <mergeCell ref="A3:G3"/>
    <mergeCell ref="A4:G4"/>
    <mergeCell ref="A5:C5"/>
    <mergeCell ref="A8:D8"/>
    <mergeCell ref="A6:C6"/>
    <mergeCell ref="B12:C12"/>
    <mergeCell ref="B13:C13"/>
    <mergeCell ref="A7:D7"/>
    <mergeCell ref="A24:D24"/>
    <mergeCell ref="A25:D25"/>
    <mergeCell ref="A19:D19"/>
    <mergeCell ref="A17:D17"/>
    <mergeCell ref="A18:D18"/>
    <mergeCell ref="A14:D14"/>
    <mergeCell ref="A15:D15"/>
    <mergeCell ref="A16:D16"/>
    <mergeCell ref="B10:C10"/>
    <mergeCell ref="B11:C11"/>
    <mergeCell ref="A9:C9"/>
    <mergeCell ref="A45:D45"/>
    <mergeCell ref="A46:D46"/>
    <mergeCell ref="A47:D47"/>
    <mergeCell ref="A39:D39"/>
    <mergeCell ref="A40:D40"/>
    <mergeCell ref="A41:D41"/>
    <mergeCell ref="A42:D42"/>
    <mergeCell ref="A44:D44"/>
    <mergeCell ref="A43:D43"/>
    <mergeCell ref="A30:D30"/>
    <mergeCell ref="A21:D21"/>
    <mergeCell ref="A23:D23"/>
    <mergeCell ref="A20:D20"/>
    <mergeCell ref="A22:D22"/>
    <mergeCell ref="A51:G51"/>
    <mergeCell ref="A37:D37"/>
    <mergeCell ref="A26:D26"/>
    <mergeCell ref="A31:D31"/>
    <mergeCell ref="A36:D36"/>
    <mergeCell ref="A34:D34"/>
    <mergeCell ref="A35:D35"/>
    <mergeCell ref="A27:D27"/>
    <mergeCell ref="A28:D28"/>
    <mergeCell ref="A32:D32"/>
    <mergeCell ref="A33:D33"/>
    <mergeCell ref="A29:D29"/>
    <mergeCell ref="A50:D50"/>
    <mergeCell ref="A49:D49"/>
    <mergeCell ref="A48:D48"/>
    <mergeCell ref="A38:D38"/>
  </mergeCells>
  <hyperlinks>
    <hyperlink ref="E19" r:id="rId1" xr:uid="{00000000-0004-0000-3D00-000000000000}"/>
    <hyperlink ref="F8" r:id="rId2" xr:uid="{00000000-0004-0000-3D00-000001000000}"/>
    <hyperlink ref="F19" r:id="rId3" xr:uid="{00000000-0004-0000-3D00-000002000000}"/>
    <hyperlink ref="G8" r:id="rId4" xr:uid="{00000000-0004-0000-3D00-000003000000}"/>
    <hyperlink ref="G19" r:id="rId5" xr:uid="{00000000-0004-0000-3D00-000004000000}"/>
  </hyperlinks>
  <printOptions horizontalCentered="1"/>
  <pageMargins left="0.25" right="0.25" top="0.25" bottom="0.3" header="0" footer="0.05"/>
  <pageSetup scale="47" orientation="landscape"/>
  <headerFooter>
    <oddFooter>&amp;C&amp;"Tahoma,Regular"Page &amp;P of &amp;N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3D14-BAE5-4437-AB16-6D1896134930}">
  <sheetPr>
    <pageSetUpPr fitToPage="1"/>
  </sheetPr>
  <dimension ref="A1:Y51"/>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25" width="10.25" style="29" customWidth="1" collapsed="1"/>
    <col min="2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39"/>
      <c r="K2" s="239"/>
      <c r="L2" s="239"/>
      <c r="M2" s="239"/>
      <c r="N2" s="239"/>
      <c r="O2" s="239"/>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2"/>
      <c r="K3" s="242"/>
      <c r="L3" s="242"/>
      <c r="M3" s="242"/>
      <c r="N3" s="242"/>
      <c r="O3" s="242"/>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5"/>
      <c r="K4" s="245"/>
      <c r="L4" s="245"/>
      <c r="M4" s="245"/>
      <c r="N4" s="245"/>
      <c r="O4" s="245"/>
      <c r="P4" s="245"/>
      <c r="Q4" s="245"/>
      <c r="R4" s="245"/>
      <c r="S4" s="245"/>
      <c r="T4" s="246"/>
      <c r="U4" s="245"/>
      <c r="V4" s="245"/>
      <c r="W4" s="245"/>
      <c r="X4" s="245"/>
      <c r="Y4" s="246"/>
    </row>
    <row r="5" spans="1:25" ht="19.899999999999999" customHeight="1" x14ac:dyDescent="0.2">
      <c r="A5" s="247" t="s">
        <v>57</v>
      </c>
      <c r="B5" s="248"/>
      <c r="C5" s="248"/>
      <c r="D5" s="248"/>
      <c r="E5" s="248"/>
      <c r="F5" s="117" t="s">
        <v>98</v>
      </c>
      <c r="G5" s="118"/>
      <c r="H5" s="118"/>
      <c r="I5" s="118"/>
      <c r="J5" s="119"/>
      <c r="K5" s="117" t="s">
        <v>98</v>
      </c>
      <c r="L5" s="118"/>
      <c r="M5" s="118"/>
      <c r="N5" s="118"/>
      <c r="O5" s="119"/>
      <c r="P5" s="117" t="s">
        <v>101</v>
      </c>
      <c r="Q5" s="118"/>
      <c r="R5" s="118"/>
      <c r="S5" s="118"/>
      <c r="T5" s="120"/>
      <c r="U5" s="117" t="s">
        <v>101</v>
      </c>
      <c r="V5" s="118"/>
      <c r="W5" s="118"/>
      <c r="X5" s="118"/>
      <c r="Y5" s="120"/>
    </row>
    <row r="6" spans="1:25" ht="28.5" x14ac:dyDescent="0.2">
      <c r="A6" s="247"/>
      <c r="B6" s="248"/>
      <c r="C6" s="248"/>
      <c r="D6" s="248"/>
      <c r="E6" s="248"/>
      <c r="F6" s="121" t="s">
        <v>97</v>
      </c>
      <c r="G6" s="122"/>
      <c r="H6" s="122"/>
      <c r="I6" s="122"/>
      <c r="J6" s="123"/>
      <c r="K6" s="121" t="s">
        <v>99</v>
      </c>
      <c r="L6" s="122"/>
      <c r="M6" s="122"/>
      <c r="N6" s="122"/>
      <c r="O6" s="123"/>
      <c r="P6" s="121" t="s">
        <v>100</v>
      </c>
      <c r="Q6" s="122"/>
      <c r="R6" s="122"/>
      <c r="S6" s="122"/>
      <c r="T6" s="124"/>
      <c r="U6" s="121" t="s">
        <v>102</v>
      </c>
      <c r="V6" s="122"/>
      <c r="W6" s="122"/>
      <c r="X6" s="122"/>
      <c r="Y6" s="124"/>
    </row>
    <row r="7" spans="1:25" ht="19.899999999999999" customHeight="1" x14ac:dyDescent="0.2">
      <c r="A7" s="247"/>
      <c r="B7" s="248"/>
      <c r="C7" s="248"/>
      <c r="D7" s="248"/>
      <c r="E7" s="248"/>
      <c r="F7" s="235"/>
      <c r="G7" s="236"/>
      <c r="H7" s="236"/>
      <c r="I7" s="236"/>
      <c r="J7" s="249"/>
      <c r="K7" s="235" t="s">
        <v>58</v>
      </c>
      <c r="L7" s="236"/>
      <c r="M7" s="236"/>
      <c r="N7" s="236"/>
      <c r="O7" s="249"/>
      <c r="P7" s="235" t="s">
        <v>58</v>
      </c>
      <c r="Q7" s="236"/>
      <c r="R7" s="236"/>
      <c r="S7" s="236"/>
      <c r="T7" s="237"/>
      <c r="U7" s="235" t="s">
        <v>58</v>
      </c>
      <c r="V7" s="236"/>
      <c r="W7" s="236"/>
      <c r="X7" s="236"/>
      <c r="Y7" s="237"/>
    </row>
    <row r="8" spans="1:25" ht="16.149999999999999" customHeight="1" x14ac:dyDescent="0.2">
      <c r="A8" s="43"/>
      <c r="B8" s="44"/>
      <c r="C8" s="44"/>
      <c r="D8" s="44"/>
      <c r="E8" s="44"/>
      <c r="F8" s="211" t="s">
        <v>1</v>
      </c>
      <c r="G8" s="212"/>
      <c r="H8" s="212"/>
      <c r="I8" s="212"/>
      <c r="J8" s="213"/>
      <c r="K8" s="211" t="s">
        <v>2</v>
      </c>
      <c r="L8" s="212"/>
      <c r="M8" s="212"/>
      <c r="N8" s="212"/>
      <c r="O8" s="213"/>
      <c r="P8" s="232" t="s">
        <v>51</v>
      </c>
      <c r="Q8" s="233"/>
      <c r="R8" s="233"/>
      <c r="S8" s="233"/>
      <c r="T8" s="234"/>
      <c r="U8" s="232" t="s">
        <v>36</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34" t="s">
        <v>66</v>
      </c>
      <c r="K9" s="32" t="s">
        <v>68</v>
      </c>
      <c r="L9" s="33" t="s">
        <v>32</v>
      </c>
      <c r="M9" s="33" t="s">
        <v>64</v>
      </c>
      <c r="N9" s="33" t="s">
        <v>65</v>
      </c>
      <c r="O9" s="34"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2655.07</v>
      </c>
      <c r="G10" s="53">
        <v>2655.07</v>
      </c>
      <c r="H10" s="53">
        <v>2655.07</v>
      </c>
      <c r="I10" s="53">
        <v>0</v>
      </c>
      <c r="J10" s="53">
        <v>0</v>
      </c>
      <c r="K10" s="53">
        <v>3950.28</v>
      </c>
      <c r="L10" s="53">
        <v>3950.28</v>
      </c>
      <c r="M10" s="53">
        <v>3950.28</v>
      </c>
      <c r="N10" s="53">
        <v>0</v>
      </c>
      <c r="O10" s="53">
        <v>0</v>
      </c>
      <c r="P10" s="53">
        <v>1386.79</v>
      </c>
      <c r="Q10" s="53">
        <v>633.52</v>
      </c>
      <c r="R10" s="53">
        <v>633.52</v>
      </c>
      <c r="S10" s="53">
        <v>0</v>
      </c>
      <c r="T10" s="54">
        <v>0</v>
      </c>
      <c r="U10" s="53">
        <v>1510.51</v>
      </c>
      <c r="V10" s="53">
        <v>690.03</v>
      </c>
      <c r="W10" s="53">
        <v>690.03</v>
      </c>
      <c r="X10" s="53">
        <v>0</v>
      </c>
      <c r="Y10" s="54">
        <v>0</v>
      </c>
    </row>
    <row r="11" spans="1:25" x14ac:dyDescent="0.2">
      <c r="A11" s="50" t="s">
        <v>106</v>
      </c>
      <c r="B11" s="51" t="s">
        <v>107</v>
      </c>
      <c r="C11" s="51"/>
      <c r="D11" s="52">
        <v>27837</v>
      </c>
      <c r="E11" s="51" t="s">
        <v>105</v>
      </c>
      <c r="F11" s="53"/>
      <c r="G11" s="53"/>
      <c r="H11" s="53">
        <v>0</v>
      </c>
      <c r="I11" s="53">
        <v>0</v>
      </c>
      <c r="J11" s="53"/>
      <c r="K11" s="53"/>
      <c r="L11" s="53"/>
      <c r="M11" s="53">
        <v>0</v>
      </c>
      <c r="N11" s="53">
        <v>0</v>
      </c>
      <c r="O11" s="53"/>
      <c r="P11" s="53"/>
      <c r="Q11" s="53">
        <v>483.75</v>
      </c>
      <c r="R11" s="53">
        <v>483.75</v>
      </c>
      <c r="S11" s="53">
        <v>0</v>
      </c>
      <c r="T11" s="54"/>
      <c r="U11" s="53"/>
      <c r="V11" s="53">
        <v>526.91</v>
      </c>
      <c r="W11" s="53">
        <v>526.91</v>
      </c>
      <c r="X11" s="53">
        <v>0</v>
      </c>
      <c r="Y11" s="54"/>
    </row>
    <row r="12" spans="1:25" x14ac:dyDescent="0.2">
      <c r="A12" s="50" t="s">
        <v>108</v>
      </c>
      <c r="B12" s="51" t="s">
        <v>109</v>
      </c>
      <c r="C12" s="51"/>
      <c r="D12" s="52">
        <v>38648</v>
      </c>
      <c r="E12" s="51" t="s">
        <v>105</v>
      </c>
      <c r="F12" s="53"/>
      <c r="G12" s="53"/>
      <c r="H12" s="53">
        <v>0</v>
      </c>
      <c r="I12" s="53">
        <v>0</v>
      </c>
      <c r="J12" s="53"/>
      <c r="K12" s="53"/>
      <c r="L12" s="53"/>
      <c r="M12" s="53">
        <v>0</v>
      </c>
      <c r="N12" s="53">
        <v>0</v>
      </c>
      <c r="O12" s="53"/>
      <c r="P12" s="53"/>
      <c r="Q12" s="53">
        <v>269.52</v>
      </c>
      <c r="R12" s="53">
        <v>269.52</v>
      </c>
      <c r="S12" s="53">
        <v>0</v>
      </c>
      <c r="T12" s="54"/>
      <c r="U12" s="53"/>
      <c r="V12" s="53">
        <v>293.57</v>
      </c>
      <c r="W12" s="53">
        <v>293.57</v>
      </c>
      <c r="X12" s="53">
        <v>0</v>
      </c>
      <c r="Y12" s="54"/>
    </row>
    <row r="13" spans="1:25" x14ac:dyDescent="0.2">
      <c r="A13" s="50" t="s">
        <v>110</v>
      </c>
      <c r="B13" s="51" t="s">
        <v>65</v>
      </c>
      <c r="C13" s="51" t="s">
        <v>65</v>
      </c>
      <c r="D13" s="52">
        <v>36345</v>
      </c>
      <c r="E13" s="51" t="s">
        <v>111</v>
      </c>
      <c r="F13" s="53">
        <v>839.41</v>
      </c>
      <c r="G13" s="53">
        <v>839.41</v>
      </c>
      <c r="H13" s="53">
        <v>839.41</v>
      </c>
      <c r="I13" s="53">
        <v>0</v>
      </c>
      <c r="J13" s="53">
        <v>0</v>
      </c>
      <c r="K13" s="53">
        <v>1231.9100000000001</v>
      </c>
      <c r="L13" s="53">
        <v>1231.9100000000001</v>
      </c>
      <c r="M13" s="53">
        <v>1231.9100000000001</v>
      </c>
      <c r="N13" s="53">
        <v>0</v>
      </c>
      <c r="O13" s="53">
        <v>0</v>
      </c>
      <c r="P13" s="53">
        <v>347.32</v>
      </c>
      <c r="Q13" s="53">
        <v>347.32</v>
      </c>
      <c r="R13" s="53">
        <v>347.32</v>
      </c>
      <c r="S13" s="53">
        <v>0</v>
      </c>
      <c r="T13" s="54">
        <v>0</v>
      </c>
      <c r="U13" s="53">
        <v>378.31</v>
      </c>
      <c r="V13" s="53">
        <v>378.31</v>
      </c>
      <c r="W13" s="53">
        <v>378.31</v>
      </c>
      <c r="X13" s="53">
        <v>0</v>
      </c>
      <c r="Y13" s="54">
        <v>0</v>
      </c>
    </row>
    <row r="14" spans="1:25" x14ac:dyDescent="0.2">
      <c r="A14" s="50" t="s">
        <v>112</v>
      </c>
      <c r="B14" s="51" t="s">
        <v>65</v>
      </c>
      <c r="C14" s="51" t="s">
        <v>104</v>
      </c>
      <c r="D14" s="52">
        <v>24895</v>
      </c>
      <c r="E14" s="51" t="s">
        <v>113</v>
      </c>
      <c r="F14" s="53">
        <v>2655.07</v>
      </c>
      <c r="G14" s="53">
        <v>2655.07</v>
      </c>
      <c r="H14" s="53">
        <v>2655.07</v>
      </c>
      <c r="I14" s="53">
        <v>0</v>
      </c>
      <c r="J14" s="53">
        <v>0</v>
      </c>
      <c r="K14" s="53">
        <v>3950.28</v>
      </c>
      <c r="L14" s="53">
        <v>3950.28</v>
      </c>
      <c r="M14" s="53">
        <v>3950.28</v>
      </c>
      <c r="N14" s="53">
        <v>0</v>
      </c>
      <c r="O14" s="53">
        <v>0</v>
      </c>
      <c r="P14" s="53">
        <v>1515.99</v>
      </c>
      <c r="Q14" s="53">
        <v>612.95000000000005</v>
      </c>
      <c r="R14" s="53">
        <v>612.95000000000005</v>
      </c>
      <c r="S14" s="53">
        <v>0</v>
      </c>
      <c r="T14" s="54">
        <v>0</v>
      </c>
      <c r="U14" s="53">
        <v>1651.24</v>
      </c>
      <c r="V14" s="53">
        <v>667.64</v>
      </c>
      <c r="W14" s="53">
        <v>667.64</v>
      </c>
      <c r="X14" s="53">
        <v>0</v>
      </c>
      <c r="Y14" s="54">
        <v>0</v>
      </c>
    </row>
    <row r="15" spans="1:25" x14ac:dyDescent="0.2">
      <c r="A15" s="50" t="s">
        <v>114</v>
      </c>
      <c r="B15" s="51" t="s">
        <v>107</v>
      </c>
      <c r="C15" s="51"/>
      <c r="D15" s="52">
        <v>24269</v>
      </c>
      <c r="E15" s="51" t="s">
        <v>113</v>
      </c>
      <c r="F15" s="53"/>
      <c r="G15" s="53"/>
      <c r="H15" s="53">
        <v>0</v>
      </c>
      <c r="I15" s="53">
        <v>0</v>
      </c>
      <c r="J15" s="53"/>
      <c r="K15" s="53"/>
      <c r="L15" s="53"/>
      <c r="M15" s="53">
        <v>0</v>
      </c>
      <c r="N15" s="53">
        <v>0</v>
      </c>
      <c r="O15" s="53"/>
      <c r="P15" s="53"/>
      <c r="Q15" s="53">
        <v>633.52</v>
      </c>
      <c r="R15" s="53">
        <v>633.52</v>
      </c>
      <c r="S15" s="53">
        <v>0</v>
      </c>
      <c r="T15" s="54"/>
      <c r="U15" s="53"/>
      <c r="V15" s="53">
        <v>690.03</v>
      </c>
      <c r="W15" s="53">
        <v>690.03</v>
      </c>
      <c r="X15" s="53">
        <v>0</v>
      </c>
      <c r="Y15" s="54"/>
    </row>
    <row r="16" spans="1:25" x14ac:dyDescent="0.2">
      <c r="A16" s="50" t="s">
        <v>115</v>
      </c>
      <c r="B16" s="51" t="s">
        <v>109</v>
      </c>
      <c r="C16" s="51"/>
      <c r="D16" s="52">
        <v>38614</v>
      </c>
      <c r="E16" s="51" t="s">
        <v>113</v>
      </c>
      <c r="F16" s="53"/>
      <c r="G16" s="53"/>
      <c r="H16" s="53">
        <v>0</v>
      </c>
      <c r="I16" s="53">
        <v>0</v>
      </c>
      <c r="J16" s="53"/>
      <c r="K16" s="53"/>
      <c r="L16" s="53"/>
      <c r="M16" s="53">
        <v>0</v>
      </c>
      <c r="N16" s="53">
        <v>0</v>
      </c>
      <c r="O16" s="53"/>
      <c r="P16" s="53"/>
      <c r="Q16" s="53">
        <v>269.52</v>
      </c>
      <c r="R16" s="53">
        <v>269.52</v>
      </c>
      <c r="S16" s="53">
        <v>0</v>
      </c>
      <c r="T16" s="54"/>
      <c r="U16" s="53"/>
      <c r="V16" s="53">
        <v>293.57</v>
      </c>
      <c r="W16" s="53">
        <v>293.57</v>
      </c>
      <c r="X16" s="53">
        <v>0</v>
      </c>
      <c r="Y16" s="54"/>
    </row>
    <row r="17" spans="1:25" x14ac:dyDescent="0.2">
      <c r="A17" s="50" t="s">
        <v>116</v>
      </c>
      <c r="B17" s="51" t="s">
        <v>65</v>
      </c>
      <c r="C17" s="51" t="s">
        <v>117</v>
      </c>
      <c r="D17" s="52">
        <v>18453</v>
      </c>
      <c r="E17" s="51" t="s">
        <v>118</v>
      </c>
      <c r="F17" s="53">
        <v>1865.64</v>
      </c>
      <c r="G17" s="53">
        <v>1865.64</v>
      </c>
      <c r="H17" s="53">
        <v>1865.64</v>
      </c>
      <c r="I17" s="53">
        <v>0</v>
      </c>
      <c r="J17" s="53">
        <v>0</v>
      </c>
      <c r="K17" s="53">
        <v>2768.38</v>
      </c>
      <c r="L17" s="53">
        <v>2768.38</v>
      </c>
      <c r="M17" s="53">
        <v>2768.38</v>
      </c>
      <c r="N17" s="53">
        <v>0</v>
      </c>
      <c r="O17" s="53">
        <v>0</v>
      </c>
      <c r="P17" s="53">
        <v>1267.04</v>
      </c>
      <c r="Q17" s="53">
        <v>633.52</v>
      </c>
      <c r="R17" s="53">
        <v>633.52</v>
      </c>
      <c r="S17" s="53">
        <v>0</v>
      </c>
      <c r="T17" s="54">
        <v>0</v>
      </c>
      <c r="U17" s="53">
        <v>1380.06</v>
      </c>
      <c r="V17" s="53">
        <v>690.03</v>
      </c>
      <c r="W17" s="53">
        <v>690.03</v>
      </c>
      <c r="X17" s="53">
        <v>0</v>
      </c>
      <c r="Y17" s="54">
        <v>0</v>
      </c>
    </row>
    <row r="18" spans="1:25" x14ac:dyDescent="0.2">
      <c r="A18" s="50" t="s">
        <v>119</v>
      </c>
      <c r="B18" s="51" t="s">
        <v>107</v>
      </c>
      <c r="C18" s="51"/>
      <c r="D18" s="52">
        <v>19761</v>
      </c>
      <c r="E18" s="51" t="s">
        <v>118</v>
      </c>
      <c r="F18" s="53"/>
      <c r="G18" s="53"/>
      <c r="H18" s="53">
        <v>0</v>
      </c>
      <c r="I18" s="53">
        <v>0</v>
      </c>
      <c r="J18" s="53"/>
      <c r="K18" s="53"/>
      <c r="L18" s="53"/>
      <c r="M18" s="53">
        <v>0</v>
      </c>
      <c r="N18" s="53">
        <v>0</v>
      </c>
      <c r="O18" s="53"/>
      <c r="P18" s="53"/>
      <c r="Q18" s="53">
        <v>633.52</v>
      </c>
      <c r="R18" s="53">
        <v>633.52</v>
      </c>
      <c r="S18" s="53">
        <v>0</v>
      </c>
      <c r="T18" s="54"/>
      <c r="U18" s="53"/>
      <c r="V18" s="53">
        <v>690.03</v>
      </c>
      <c r="W18" s="53">
        <v>690.03</v>
      </c>
      <c r="X18" s="53">
        <v>0</v>
      </c>
      <c r="Y18" s="54"/>
    </row>
    <row r="19" spans="1:25" x14ac:dyDescent="0.2">
      <c r="A19" s="50" t="s">
        <v>120</v>
      </c>
      <c r="B19" s="51" t="s">
        <v>65</v>
      </c>
      <c r="C19" s="51" t="s">
        <v>65</v>
      </c>
      <c r="D19" s="52">
        <v>35733</v>
      </c>
      <c r="E19" s="51" t="s">
        <v>121</v>
      </c>
      <c r="F19" s="53">
        <v>839.41</v>
      </c>
      <c r="G19" s="53">
        <v>839.41</v>
      </c>
      <c r="H19" s="53">
        <v>839.41</v>
      </c>
      <c r="I19" s="53">
        <v>0</v>
      </c>
      <c r="J19" s="53">
        <v>0</v>
      </c>
      <c r="K19" s="53">
        <v>1231.9100000000001</v>
      </c>
      <c r="L19" s="53">
        <v>1231.9100000000001</v>
      </c>
      <c r="M19" s="53">
        <v>1231.9100000000001</v>
      </c>
      <c r="N19" s="53">
        <v>0</v>
      </c>
      <c r="O19" s="53">
        <v>0</v>
      </c>
      <c r="P19" s="53">
        <v>347.32</v>
      </c>
      <c r="Q19" s="53">
        <v>347.32</v>
      </c>
      <c r="R19" s="53">
        <v>347.32</v>
      </c>
      <c r="S19" s="53">
        <v>0</v>
      </c>
      <c r="T19" s="54">
        <v>0</v>
      </c>
      <c r="U19" s="53">
        <v>378.31</v>
      </c>
      <c r="V19" s="53">
        <v>378.31</v>
      </c>
      <c r="W19" s="53">
        <v>378.31</v>
      </c>
      <c r="X19" s="53">
        <v>0</v>
      </c>
      <c r="Y19" s="54">
        <v>0</v>
      </c>
    </row>
    <row r="20" spans="1:25" x14ac:dyDescent="0.2">
      <c r="A20" s="50" t="s">
        <v>122</v>
      </c>
      <c r="B20" s="51" t="s">
        <v>65</v>
      </c>
      <c r="C20" s="51" t="s">
        <v>104</v>
      </c>
      <c r="D20" s="52">
        <v>24958</v>
      </c>
      <c r="E20" s="51" t="s">
        <v>123</v>
      </c>
      <c r="F20" s="53">
        <v>2655.07</v>
      </c>
      <c r="G20" s="53">
        <v>2655.07</v>
      </c>
      <c r="H20" s="53">
        <v>2655.07</v>
      </c>
      <c r="I20" s="53">
        <v>0</v>
      </c>
      <c r="J20" s="53">
        <v>0</v>
      </c>
      <c r="K20" s="53">
        <v>3950.28</v>
      </c>
      <c r="L20" s="53">
        <v>3950.28</v>
      </c>
      <c r="M20" s="53">
        <v>3950.28</v>
      </c>
      <c r="N20" s="53">
        <v>0</v>
      </c>
      <c r="O20" s="53">
        <v>0</v>
      </c>
      <c r="P20" s="53">
        <v>1739.1</v>
      </c>
      <c r="Q20" s="53">
        <v>612.95000000000005</v>
      </c>
      <c r="R20" s="53">
        <v>612.95000000000005</v>
      </c>
      <c r="S20" s="53">
        <v>0</v>
      </c>
      <c r="T20" s="54">
        <v>0</v>
      </c>
      <c r="U20" s="53">
        <v>1894.27</v>
      </c>
      <c r="V20" s="53">
        <v>667.64</v>
      </c>
      <c r="W20" s="53">
        <v>667.64</v>
      </c>
      <c r="X20" s="53">
        <v>0</v>
      </c>
      <c r="Y20" s="54">
        <v>0</v>
      </c>
    </row>
    <row r="21" spans="1:25" x14ac:dyDescent="0.2">
      <c r="A21" s="50" t="s">
        <v>124</v>
      </c>
      <c r="B21" s="51" t="s">
        <v>107</v>
      </c>
      <c r="C21" s="51"/>
      <c r="D21" s="52">
        <v>25342</v>
      </c>
      <c r="E21" s="51" t="s">
        <v>123</v>
      </c>
      <c r="F21" s="53"/>
      <c r="G21" s="53"/>
      <c r="H21" s="53">
        <v>0</v>
      </c>
      <c r="I21" s="53">
        <v>0</v>
      </c>
      <c r="J21" s="53"/>
      <c r="K21" s="53"/>
      <c r="L21" s="53"/>
      <c r="M21" s="53">
        <v>0</v>
      </c>
      <c r="N21" s="53">
        <v>0</v>
      </c>
      <c r="O21" s="53"/>
      <c r="P21" s="53"/>
      <c r="Q21" s="53">
        <v>595.16999999999996</v>
      </c>
      <c r="R21" s="53">
        <v>595.16999999999996</v>
      </c>
      <c r="S21" s="53">
        <v>0</v>
      </c>
      <c r="T21" s="54"/>
      <c r="U21" s="53"/>
      <c r="V21" s="53">
        <v>648.27</v>
      </c>
      <c r="W21" s="53">
        <v>648.27</v>
      </c>
      <c r="X21" s="53">
        <v>0</v>
      </c>
      <c r="Y21" s="54"/>
    </row>
    <row r="22" spans="1:25" x14ac:dyDescent="0.2">
      <c r="A22" s="50" t="s">
        <v>125</v>
      </c>
      <c r="B22" s="51" t="s">
        <v>109</v>
      </c>
      <c r="C22" s="51"/>
      <c r="D22" s="52">
        <v>38632</v>
      </c>
      <c r="E22" s="51" t="s">
        <v>123</v>
      </c>
      <c r="F22" s="53"/>
      <c r="G22" s="53"/>
      <c r="H22" s="53">
        <v>0</v>
      </c>
      <c r="I22" s="53">
        <v>0</v>
      </c>
      <c r="J22" s="53"/>
      <c r="K22" s="53"/>
      <c r="L22" s="53"/>
      <c r="M22" s="53">
        <v>0</v>
      </c>
      <c r="N22" s="53">
        <v>0</v>
      </c>
      <c r="O22" s="53"/>
      <c r="P22" s="53"/>
      <c r="Q22" s="53">
        <v>269.52</v>
      </c>
      <c r="R22" s="53">
        <v>269.52</v>
      </c>
      <c r="S22" s="53">
        <v>0</v>
      </c>
      <c r="T22" s="54"/>
      <c r="U22" s="53"/>
      <c r="V22" s="53">
        <v>293.57</v>
      </c>
      <c r="W22" s="53">
        <v>293.57</v>
      </c>
      <c r="X22" s="53">
        <v>0</v>
      </c>
      <c r="Y22" s="54"/>
    </row>
    <row r="23" spans="1:25" x14ac:dyDescent="0.2">
      <c r="A23" s="50" t="s">
        <v>126</v>
      </c>
      <c r="B23" s="51" t="s">
        <v>109</v>
      </c>
      <c r="C23" s="51"/>
      <c r="D23" s="52">
        <v>39092</v>
      </c>
      <c r="E23" s="51" t="s">
        <v>123</v>
      </c>
      <c r="F23" s="53"/>
      <c r="G23" s="53"/>
      <c r="H23" s="53">
        <v>0</v>
      </c>
      <c r="I23" s="53">
        <v>0</v>
      </c>
      <c r="J23" s="53"/>
      <c r="K23" s="53"/>
      <c r="L23" s="53"/>
      <c r="M23" s="53">
        <v>0</v>
      </c>
      <c r="N23" s="53">
        <v>0</v>
      </c>
      <c r="O23" s="53"/>
      <c r="P23" s="53"/>
      <c r="Q23" s="53">
        <v>261.45999999999998</v>
      </c>
      <c r="R23" s="53">
        <v>261.45999999999998</v>
      </c>
      <c r="S23" s="53">
        <v>0</v>
      </c>
      <c r="T23" s="54"/>
      <c r="U23" s="53"/>
      <c r="V23" s="53">
        <v>284.79000000000002</v>
      </c>
      <c r="W23" s="53">
        <v>284.79000000000002</v>
      </c>
      <c r="X23" s="53">
        <v>0</v>
      </c>
      <c r="Y23" s="54"/>
    </row>
    <row r="24" spans="1:25" x14ac:dyDescent="0.2">
      <c r="A24" s="50" t="s">
        <v>127</v>
      </c>
      <c r="B24" s="51" t="s">
        <v>65</v>
      </c>
      <c r="C24" s="51" t="s">
        <v>117</v>
      </c>
      <c r="D24" s="52">
        <v>21309</v>
      </c>
      <c r="E24" s="51" t="s">
        <v>96</v>
      </c>
      <c r="F24" s="53">
        <v>1865.64</v>
      </c>
      <c r="G24" s="53">
        <v>1865.64</v>
      </c>
      <c r="H24" s="53">
        <v>1865.64</v>
      </c>
      <c r="I24" s="53">
        <v>0</v>
      </c>
      <c r="J24" s="53">
        <v>0</v>
      </c>
      <c r="K24" s="53">
        <v>2768.38</v>
      </c>
      <c r="L24" s="53">
        <v>2768.38</v>
      </c>
      <c r="M24" s="53">
        <v>2768.38</v>
      </c>
      <c r="N24" s="53">
        <v>0</v>
      </c>
      <c r="O24" s="53">
        <v>0</v>
      </c>
      <c r="P24" s="53">
        <v>1267.04</v>
      </c>
      <c r="Q24" s="53">
        <v>633.52</v>
      </c>
      <c r="R24" s="53">
        <v>633.52</v>
      </c>
      <c r="S24" s="53">
        <v>0</v>
      </c>
      <c r="T24" s="54">
        <v>0</v>
      </c>
      <c r="U24" s="53">
        <v>1380.06</v>
      </c>
      <c r="V24" s="53">
        <v>690.03</v>
      </c>
      <c r="W24" s="53">
        <v>690.03</v>
      </c>
      <c r="X24" s="53">
        <v>0</v>
      </c>
      <c r="Y24" s="54">
        <v>0</v>
      </c>
    </row>
    <row r="25" spans="1:25" x14ac:dyDescent="0.2">
      <c r="A25" s="50" t="s">
        <v>128</v>
      </c>
      <c r="B25" s="51" t="s">
        <v>107</v>
      </c>
      <c r="C25" s="51"/>
      <c r="D25" s="52">
        <v>23570</v>
      </c>
      <c r="E25" s="51" t="s">
        <v>96</v>
      </c>
      <c r="F25" s="53"/>
      <c r="G25" s="53"/>
      <c r="H25" s="53">
        <v>0</v>
      </c>
      <c r="I25" s="53">
        <v>0</v>
      </c>
      <c r="J25" s="53"/>
      <c r="K25" s="53"/>
      <c r="L25" s="53"/>
      <c r="M25" s="53">
        <v>0</v>
      </c>
      <c r="N25" s="53">
        <v>0</v>
      </c>
      <c r="O25" s="53"/>
      <c r="P25" s="53"/>
      <c r="Q25" s="53">
        <v>633.52</v>
      </c>
      <c r="R25" s="53">
        <v>633.52</v>
      </c>
      <c r="S25" s="53">
        <v>0</v>
      </c>
      <c r="T25" s="54"/>
      <c r="U25" s="53"/>
      <c r="V25" s="53">
        <v>690.03</v>
      </c>
      <c r="W25" s="53">
        <v>690.03</v>
      </c>
      <c r="X25" s="53">
        <v>0</v>
      </c>
      <c r="Y25" s="54"/>
    </row>
    <row r="26" spans="1:25" x14ac:dyDescent="0.2">
      <c r="A26" s="50" t="s">
        <v>129</v>
      </c>
      <c r="B26" s="51" t="s">
        <v>65</v>
      </c>
      <c r="C26" s="51" t="s">
        <v>65</v>
      </c>
      <c r="D26" s="52">
        <v>24147</v>
      </c>
      <c r="E26" s="51" t="s">
        <v>113</v>
      </c>
      <c r="F26" s="53">
        <v>839.41</v>
      </c>
      <c r="G26" s="53">
        <v>839.41</v>
      </c>
      <c r="H26" s="53">
        <v>839.41</v>
      </c>
      <c r="I26" s="53">
        <v>0</v>
      </c>
      <c r="J26" s="53">
        <v>0</v>
      </c>
      <c r="K26" s="53">
        <v>1231.9100000000001</v>
      </c>
      <c r="L26" s="53">
        <v>1231.9100000000001</v>
      </c>
      <c r="M26" s="53">
        <v>1231.9100000000001</v>
      </c>
      <c r="N26" s="53">
        <v>0</v>
      </c>
      <c r="O26" s="53">
        <v>0</v>
      </c>
      <c r="P26" s="53">
        <v>633.52</v>
      </c>
      <c r="Q26" s="53">
        <v>633.52</v>
      </c>
      <c r="R26" s="53">
        <v>633.52</v>
      </c>
      <c r="S26" s="53">
        <v>0</v>
      </c>
      <c r="T26" s="54">
        <v>0</v>
      </c>
      <c r="U26" s="53">
        <v>690.03</v>
      </c>
      <c r="V26" s="53">
        <v>690.03</v>
      </c>
      <c r="W26" s="53">
        <v>690.03</v>
      </c>
      <c r="X26" s="53">
        <v>0</v>
      </c>
      <c r="Y26" s="54">
        <v>0</v>
      </c>
    </row>
    <row r="27" spans="1:25" x14ac:dyDescent="0.2">
      <c r="A27" s="50" t="s">
        <v>130</v>
      </c>
      <c r="B27" s="51" t="s">
        <v>65</v>
      </c>
      <c r="C27" s="51" t="s">
        <v>65</v>
      </c>
      <c r="D27" s="52">
        <v>25210</v>
      </c>
      <c r="E27" s="51" t="s">
        <v>131</v>
      </c>
      <c r="F27" s="53">
        <v>839.41</v>
      </c>
      <c r="G27" s="53">
        <v>839.41</v>
      </c>
      <c r="H27" s="53">
        <v>839.41</v>
      </c>
      <c r="I27" s="53">
        <v>0</v>
      </c>
      <c r="J27" s="53">
        <v>0</v>
      </c>
      <c r="K27" s="53">
        <v>1231.9100000000001</v>
      </c>
      <c r="L27" s="53">
        <v>1231.9100000000001</v>
      </c>
      <c r="M27" s="53">
        <v>1231.9100000000001</v>
      </c>
      <c r="N27" s="53">
        <v>0</v>
      </c>
      <c r="O27" s="53">
        <v>0</v>
      </c>
      <c r="P27" s="53">
        <v>595.16999999999996</v>
      </c>
      <c r="Q27" s="53">
        <v>595.16999999999996</v>
      </c>
      <c r="R27" s="53">
        <v>595.16999999999996</v>
      </c>
      <c r="S27" s="53">
        <v>0</v>
      </c>
      <c r="T27" s="54">
        <v>0</v>
      </c>
      <c r="U27" s="53">
        <v>648.27</v>
      </c>
      <c r="V27" s="53">
        <v>648.27</v>
      </c>
      <c r="W27" s="53">
        <v>648.27</v>
      </c>
      <c r="X27" s="53">
        <v>0</v>
      </c>
      <c r="Y27" s="54">
        <v>0</v>
      </c>
    </row>
    <row r="28" spans="1:25" x14ac:dyDescent="0.2">
      <c r="A28" s="50" t="s">
        <v>132</v>
      </c>
      <c r="B28" s="51" t="s">
        <v>65</v>
      </c>
      <c r="C28" s="51" t="s">
        <v>65</v>
      </c>
      <c r="D28" s="52">
        <v>35103</v>
      </c>
      <c r="E28" s="51" t="s">
        <v>113</v>
      </c>
      <c r="F28" s="53">
        <v>839.41</v>
      </c>
      <c r="G28" s="53">
        <v>839.41</v>
      </c>
      <c r="H28" s="53">
        <v>839.41</v>
      </c>
      <c r="I28" s="53">
        <v>0</v>
      </c>
      <c r="J28" s="53">
        <v>0</v>
      </c>
      <c r="K28" s="53">
        <v>1231.9100000000001</v>
      </c>
      <c r="L28" s="53">
        <v>1231.9100000000001</v>
      </c>
      <c r="M28" s="53">
        <v>1231.9100000000001</v>
      </c>
      <c r="N28" s="53">
        <v>0</v>
      </c>
      <c r="O28" s="53">
        <v>0</v>
      </c>
      <c r="P28" s="53">
        <v>357.6</v>
      </c>
      <c r="Q28" s="53">
        <v>357.6</v>
      </c>
      <c r="R28" s="53">
        <v>357.6</v>
      </c>
      <c r="S28" s="53">
        <v>0</v>
      </c>
      <c r="T28" s="54">
        <v>0</v>
      </c>
      <c r="U28" s="53">
        <v>389.51</v>
      </c>
      <c r="V28" s="53">
        <v>389.51</v>
      </c>
      <c r="W28" s="53">
        <v>389.51</v>
      </c>
      <c r="X28" s="53">
        <v>0</v>
      </c>
      <c r="Y28" s="54">
        <v>0</v>
      </c>
    </row>
    <row r="29" spans="1:25" x14ac:dyDescent="0.2">
      <c r="A29" s="50" t="s">
        <v>133</v>
      </c>
      <c r="B29" s="51" t="s">
        <v>65</v>
      </c>
      <c r="C29" s="51" t="s">
        <v>117</v>
      </c>
      <c r="D29" s="52">
        <v>27399</v>
      </c>
      <c r="E29" s="51" t="s">
        <v>113</v>
      </c>
      <c r="F29" s="53">
        <v>1865.64</v>
      </c>
      <c r="G29" s="53">
        <v>1865.64</v>
      </c>
      <c r="H29" s="53">
        <v>1865.64</v>
      </c>
      <c r="I29" s="53">
        <v>0</v>
      </c>
      <c r="J29" s="53">
        <v>0</v>
      </c>
      <c r="K29" s="53">
        <v>2768.38</v>
      </c>
      <c r="L29" s="53">
        <v>2768.38</v>
      </c>
      <c r="M29" s="53">
        <v>2768.38</v>
      </c>
      <c r="N29" s="53">
        <v>0</v>
      </c>
      <c r="O29" s="53">
        <v>0</v>
      </c>
      <c r="P29" s="53">
        <v>917.76</v>
      </c>
      <c r="Q29" s="53">
        <v>497.92</v>
      </c>
      <c r="R29" s="53">
        <v>497.92</v>
      </c>
      <c r="S29" s="53">
        <v>0</v>
      </c>
      <c r="T29" s="54">
        <v>0</v>
      </c>
      <c r="U29" s="53">
        <v>999.64</v>
      </c>
      <c r="V29" s="53">
        <v>542.34</v>
      </c>
      <c r="W29" s="53">
        <v>542.34</v>
      </c>
      <c r="X29" s="53">
        <v>0</v>
      </c>
      <c r="Y29" s="54">
        <v>0</v>
      </c>
    </row>
    <row r="30" spans="1:25" x14ac:dyDescent="0.2">
      <c r="A30" s="50" t="s">
        <v>134</v>
      </c>
      <c r="B30" s="51" t="s">
        <v>107</v>
      </c>
      <c r="C30" s="51"/>
      <c r="D30" s="52">
        <v>29502</v>
      </c>
      <c r="E30" s="51" t="s">
        <v>113</v>
      </c>
      <c r="F30" s="53"/>
      <c r="G30" s="53"/>
      <c r="H30" s="53">
        <v>0</v>
      </c>
      <c r="I30" s="53">
        <v>0</v>
      </c>
      <c r="J30" s="53"/>
      <c r="K30" s="53"/>
      <c r="L30" s="53"/>
      <c r="M30" s="53">
        <v>0</v>
      </c>
      <c r="N30" s="53">
        <v>0</v>
      </c>
      <c r="O30" s="53"/>
      <c r="P30" s="53"/>
      <c r="Q30" s="53">
        <v>419.84</v>
      </c>
      <c r="R30" s="53">
        <v>419.84</v>
      </c>
      <c r="S30" s="53">
        <v>0</v>
      </c>
      <c r="T30" s="54"/>
      <c r="U30" s="53"/>
      <c r="V30" s="53">
        <v>457.3</v>
      </c>
      <c r="W30" s="53">
        <v>457.3</v>
      </c>
      <c r="X30" s="53">
        <v>0</v>
      </c>
      <c r="Y30" s="54"/>
    </row>
    <row r="31" spans="1:25" x14ac:dyDescent="0.2">
      <c r="A31" s="50" t="s">
        <v>135</v>
      </c>
      <c r="B31" s="51" t="s">
        <v>65</v>
      </c>
      <c r="C31" s="51" t="s">
        <v>104</v>
      </c>
      <c r="D31" s="52">
        <v>24592</v>
      </c>
      <c r="E31" s="51" t="s">
        <v>111</v>
      </c>
      <c r="F31" s="53">
        <v>2655.07</v>
      </c>
      <c r="G31" s="53">
        <v>2655.07</v>
      </c>
      <c r="H31" s="53">
        <v>2655.07</v>
      </c>
      <c r="I31" s="53">
        <v>0</v>
      </c>
      <c r="J31" s="53">
        <v>0</v>
      </c>
      <c r="K31" s="53">
        <v>3950.28</v>
      </c>
      <c r="L31" s="53">
        <v>3950.28</v>
      </c>
      <c r="M31" s="53">
        <v>3950.28</v>
      </c>
      <c r="N31" s="53">
        <v>0</v>
      </c>
      <c r="O31" s="53">
        <v>0</v>
      </c>
      <c r="P31" s="53">
        <v>1614.36</v>
      </c>
      <c r="Q31" s="53">
        <v>633.52</v>
      </c>
      <c r="R31" s="53">
        <v>633.52</v>
      </c>
      <c r="S31" s="53">
        <v>0</v>
      </c>
      <c r="T31" s="54">
        <v>0</v>
      </c>
      <c r="U31" s="53">
        <v>1758.37</v>
      </c>
      <c r="V31" s="53">
        <v>690.03</v>
      </c>
      <c r="W31" s="53">
        <v>690.03</v>
      </c>
      <c r="X31" s="53">
        <v>0</v>
      </c>
      <c r="Y31" s="54">
        <v>0</v>
      </c>
    </row>
    <row r="32" spans="1:25" x14ac:dyDescent="0.2">
      <c r="A32" s="50" t="s">
        <v>136</v>
      </c>
      <c r="B32" s="51" t="s">
        <v>107</v>
      </c>
      <c r="C32" s="51"/>
      <c r="D32" s="52">
        <v>22616</v>
      </c>
      <c r="E32" s="51" t="s">
        <v>111</v>
      </c>
      <c r="F32" s="53"/>
      <c r="G32" s="53"/>
      <c r="H32" s="53">
        <v>0</v>
      </c>
      <c r="I32" s="53">
        <v>0</v>
      </c>
      <c r="J32" s="53"/>
      <c r="K32" s="53"/>
      <c r="L32" s="53"/>
      <c r="M32" s="53">
        <v>0</v>
      </c>
      <c r="N32" s="53">
        <v>0</v>
      </c>
      <c r="O32" s="53"/>
      <c r="P32" s="53"/>
      <c r="Q32" s="53">
        <v>633.52</v>
      </c>
      <c r="R32" s="53">
        <v>633.52</v>
      </c>
      <c r="S32" s="53">
        <v>0</v>
      </c>
      <c r="T32" s="54"/>
      <c r="U32" s="53"/>
      <c r="V32" s="53">
        <v>690.03</v>
      </c>
      <c r="W32" s="53">
        <v>690.03</v>
      </c>
      <c r="X32" s="53">
        <v>0</v>
      </c>
      <c r="Y32" s="54"/>
    </row>
    <row r="33" spans="1:25" x14ac:dyDescent="0.2">
      <c r="A33" s="50" t="s">
        <v>137</v>
      </c>
      <c r="B33" s="51" t="s">
        <v>109</v>
      </c>
      <c r="C33" s="51"/>
      <c r="D33" s="52">
        <v>37842</v>
      </c>
      <c r="E33" s="51" t="s">
        <v>111</v>
      </c>
      <c r="F33" s="53"/>
      <c r="G33" s="53"/>
      <c r="H33" s="53">
        <v>0</v>
      </c>
      <c r="I33" s="53">
        <v>0</v>
      </c>
      <c r="J33" s="53"/>
      <c r="K33" s="53"/>
      <c r="L33" s="53"/>
      <c r="M33" s="53">
        <v>0</v>
      </c>
      <c r="N33" s="53">
        <v>0</v>
      </c>
      <c r="O33" s="53"/>
      <c r="P33" s="53"/>
      <c r="Q33" s="53">
        <v>347.32</v>
      </c>
      <c r="R33" s="53">
        <v>347.32</v>
      </c>
      <c r="S33" s="53">
        <v>0</v>
      </c>
      <c r="T33" s="54"/>
      <c r="U33" s="53"/>
      <c r="V33" s="53">
        <v>378.31</v>
      </c>
      <c r="W33" s="53">
        <v>378.31</v>
      </c>
      <c r="X33" s="53">
        <v>0</v>
      </c>
      <c r="Y33" s="54"/>
    </row>
    <row r="34" spans="1:25" x14ac:dyDescent="0.2">
      <c r="A34" s="50" t="s">
        <v>138</v>
      </c>
      <c r="B34" s="51" t="s">
        <v>65</v>
      </c>
      <c r="C34" s="51" t="s">
        <v>65</v>
      </c>
      <c r="D34" s="52">
        <v>35401</v>
      </c>
      <c r="E34" s="51" t="s">
        <v>113</v>
      </c>
      <c r="F34" s="53">
        <v>839.41</v>
      </c>
      <c r="G34" s="53">
        <v>839.41</v>
      </c>
      <c r="H34" s="53">
        <v>839.41</v>
      </c>
      <c r="I34" s="53">
        <v>0</v>
      </c>
      <c r="J34" s="53">
        <v>0</v>
      </c>
      <c r="K34" s="53">
        <v>1231.9100000000001</v>
      </c>
      <c r="L34" s="53">
        <v>1231.9100000000001</v>
      </c>
      <c r="M34" s="53">
        <v>1231.9100000000001</v>
      </c>
      <c r="N34" s="53">
        <v>0</v>
      </c>
      <c r="O34" s="53">
        <v>0</v>
      </c>
      <c r="P34" s="53">
        <v>354.27</v>
      </c>
      <c r="Q34" s="53">
        <v>354.27</v>
      </c>
      <c r="R34" s="53">
        <v>354.27</v>
      </c>
      <c r="S34" s="53">
        <v>0</v>
      </c>
      <c r="T34" s="54">
        <v>0</v>
      </c>
      <c r="U34" s="53">
        <v>385.87</v>
      </c>
      <c r="V34" s="53">
        <v>385.87</v>
      </c>
      <c r="W34" s="53">
        <v>385.87</v>
      </c>
      <c r="X34" s="53">
        <v>0</v>
      </c>
      <c r="Y34" s="54">
        <v>0</v>
      </c>
    </row>
    <row r="35" spans="1:25" x14ac:dyDescent="0.2">
      <c r="A35" s="50" t="s">
        <v>139</v>
      </c>
      <c r="B35" s="51" t="s">
        <v>65</v>
      </c>
      <c r="C35" s="51" t="s">
        <v>65</v>
      </c>
      <c r="D35" s="52">
        <v>35453</v>
      </c>
      <c r="E35" s="51" t="s">
        <v>113</v>
      </c>
      <c r="F35" s="53">
        <v>839.41</v>
      </c>
      <c r="G35" s="53">
        <v>839.41</v>
      </c>
      <c r="H35" s="53">
        <v>839.41</v>
      </c>
      <c r="I35" s="53">
        <v>0</v>
      </c>
      <c r="J35" s="53">
        <v>0</v>
      </c>
      <c r="K35" s="53">
        <v>1231.9100000000001</v>
      </c>
      <c r="L35" s="53">
        <v>1231.9100000000001</v>
      </c>
      <c r="M35" s="53">
        <v>1231.9100000000001</v>
      </c>
      <c r="N35" s="53">
        <v>0</v>
      </c>
      <c r="O35" s="53">
        <v>0</v>
      </c>
      <c r="P35" s="53">
        <v>354.27</v>
      </c>
      <c r="Q35" s="53">
        <v>354.27</v>
      </c>
      <c r="R35" s="53">
        <v>354.27</v>
      </c>
      <c r="S35" s="53">
        <v>0</v>
      </c>
      <c r="T35" s="54">
        <v>0</v>
      </c>
      <c r="U35" s="53">
        <v>385.87</v>
      </c>
      <c r="V35" s="53">
        <v>385.87</v>
      </c>
      <c r="W35" s="53">
        <v>385.87</v>
      </c>
      <c r="X35" s="53">
        <v>0</v>
      </c>
      <c r="Y35" s="54">
        <v>0</v>
      </c>
    </row>
    <row r="36" spans="1:25" x14ac:dyDescent="0.2">
      <c r="A36" s="50" t="s">
        <v>140</v>
      </c>
      <c r="B36" s="51" t="s">
        <v>65</v>
      </c>
      <c r="C36" s="51" t="s">
        <v>65</v>
      </c>
      <c r="D36" s="52">
        <v>34864</v>
      </c>
      <c r="E36" s="51" t="s">
        <v>118</v>
      </c>
      <c r="F36" s="53">
        <v>839.41</v>
      </c>
      <c r="G36" s="53">
        <v>839.41</v>
      </c>
      <c r="H36" s="53">
        <v>839.41</v>
      </c>
      <c r="I36" s="53">
        <v>0</v>
      </c>
      <c r="J36" s="53">
        <v>0</v>
      </c>
      <c r="K36" s="53">
        <v>1231.9100000000001</v>
      </c>
      <c r="L36" s="53">
        <v>1231.9100000000001</v>
      </c>
      <c r="M36" s="53">
        <v>1231.9100000000001</v>
      </c>
      <c r="N36" s="53">
        <v>0</v>
      </c>
      <c r="O36" s="53">
        <v>0</v>
      </c>
      <c r="P36" s="53">
        <v>357.6</v>
      </c>
      <c r="Q36" s="53">
        <v>357.6</v>
      </c>
      <c r="R36" s="53">
        <v>357.6</v>
      </c>
      <c r="S36" s="53">
        <v>0</v>
      </c>
      <c r="T36" s="54">
        <v>0</v>
      </c>
      <c r="U36" s="53">
        <v>389.51</v>
      </c>
      <c r="V36" s="53">
        <v>389.51</v>
      </c>
      <c r="W36" s="53">
        <v>389.51</v>
      </c>
      <c r="X36" s="53">
        <v>0</v>
      </c>
      <c r="Y36" s="54">
        <v>0</v>
      </c>
    </row>
    <row r="37" spans="1:25" x14ac:dyDescent="0.2">
      <c r="A37" s="50" t="s">
        <v>141</v>
      </c>
      <c r="B37" s="51" t="s">
        <v>65</v>
      </c>
      <c r="C37" s="51" t="s">
        <v>104</v>
      </c>
      <c r="D37" s="52">
        <v>26666</v>
      </c>
      <c r="E37" s="51" t="s">
        <v>118</v>
      </c>
      <c r="F37" s="53">
        <v>2655.07</v>
      </c>
      <c r="G37" s="53">
        <v>2655.07</v>
      </c>
      <c r="H37" s="53">
        <v>2655.07</v>
      </c>
      <c r="I37" s="53">
        <v>0</v>
      </c>
      <c r="J37" s="53">
        <v>0</v>
      </c>
      <c r="K37" s="53">
        <v>3950.28</v>
      </c>
      <c r="L37" s="53">
        <v>3950.28</v>
      </c>
      <c r="M37" s="53">
        <v>3950.28</v>
      </c>
      <c r="N37" s="53">
        <v>0</v>
      </c>
      <c r="O37" s="53">
        <v>0</v>
      </c>
      <c r="P37" s="53">
        <v>1587.96</v>
      </c>
      <c r="Q37" s="53">
        <v>528.49</v>
      </c>
      <c r="R37" s="53">
        <v>528.49</v>
      </c>
      <c r="S37" s="53">
        <v>0</v>
      </c>
      <c r="T37" s="54">
        <v>0</v>
      </c>
      <c r="U37" s="53">
        <v>1729.63</v>
      </c>
      <c r="V37" s="53">
        <v>575.63</v>
      </c>
      <c r="W37" s="53">
        <v>575.63</v>
      </c>
      <c r="X37" s="53">
        <v>0</v>
      </c>
      <c r="Y37" s="54">
        <v>0</v>
      </c>
    </row>
    <row r="38" spans="1:25" x14ac:dyDescent="0.2">
      <c r="A38" s="50" t="s">
        <v>142</v>
      </c>
      <c r="B38" s="51" t="s">
        <v>107</v>
      </c>
      <c r="C38" s="51"/>
      <c r="D38" s="52">
        <v>28717</v>
      </c>
      <c r="E38" s="51" t="s">
        <v>118</v>
      </c>
      <c r="F38" s="53"/>
      <c r="G38" s="53"/>
      <c r="H38" s="53">
        <v>0</v>
      </c>
      <c r="I38" s="53">
        <v>0</v>
      </c>
      <c r="J38" s="53"/>
      <c r="K38" s="53"/>
      <c r="L38" s="53"/>
      <c r="M38" s="53">
        <v>0</v>
      </c>
      <c r="N38" s="53">
        <v>0</v>
      </c>
      <c r="O38" s="53"/>
      <c r="P38" s="53"/>
      <c r="Q38" s="53">
        <v>442.63</v>
      </c>
      <c r="R38" s="53">
        <v>442.63</v>
      </c>
      <c r="S38" s="53">
        <v>0</v>
      </c>
      <c r="T38" s="54"/>
      <c r="U38" s="53"/>
      <c r="V38" s="53">
        <v>482.12</v>
      </c>
      <c r="W38" s="53">
        <v>482.12</v>
      </c>
      <c r="X38" s="53">
        <v>0</v>
      </c>
      <c r="Y38" s="54"/>
    </row>
    <row r="39" spans="1:25" x14ac:dyDescent="0.2">
      <c r="A39" s="50" t="s">
        <v>143</v>
      </c>
      <c r="B39" s="51" t="s">
        <v>109</v>
      </c>
      <c r="C39" s="51"/>
      <c r="D39" s="52">
        <v>37384</v>
      </c>
      <c r="E39" s="51" t="s">
        <v>118</v>
      </c>
      <c r="F39" s="53"/>
      <c r="G39" s="53"/>
      <c r="H39" s="53">
        <v>0</v>
      </c>
      <c r="I39" s="53">
        <v>0</v>
      </c>
      <c r="J39" s="53"/>
      <c r="K39" s="53"/>
      <c r="L39" s="53"/>
      <c r="M39" s="53">
        <v>0</v>
      </c>
      <c r="N39" s="53">
        <v>0</v>
      </c>
      <c r="O39" s="53"/>
      <c r="P39" s="53"/>
      <c r="Q39" s="53">
        <v>347.32</v>
      </c>
      <c r="R39" s="53">
        <v>347.32</v>
      </c>
      <c r="S39" s="53">
        <v>0</v>
      </c>
      <c r="T39" s="54"/>
      <c r="U39" s="53"/>
      <c r="V39" s="53">
        <v>378.31</v>
      </c>
      <c r="W39" s="53">
        <v>378.31</v>
      </c>
      <c r="X39" s="53">
        <v>0</v>
      </c>
      <c r="Y39" s="54"/>
    </row>
    <row r="40" spans="1:25" x14ac:dyDescent="0.2">
      <c r="A40" s="50" t="s">
        <v>144</v>
      </c>
      <c r="B40" s="51" t="s">
        <v>109</v>
      </c>
      <c r="C40" s="51"/>
      <c r="D40" s="52">
        <v>38688</v>
      </c>
      <c r="E40" s="51" t="s">
        <v>118</v>
      </c>
      <c r="F40" s="53"/>
      <c r="G40" s="53"/>
      <c r="H40" s="53">
        <v>0</v>
      </c>
      <c r="I40" s="53">
        <v>0</v>
      </c>
      <c r="J40" s="53"/>
      <c r="K40" s="53"/>
      <c r="L40" s="53"/>
      <c r="M40" s="53">
        <v>0</v>
      </c>
      <c r="N40" s="53">
        <v>0</v>
      </c>
      <c r="O40" s="53"/>
      <c r="P40" s="53"/>
      <c r="Q40" s="53">
        <v>269.52</v>
      </c>
      <c r="R40" s="53">
        <v>269.52</v>
      </c>
      <c r="S40" s="53">
        <v>0</v>
      </c>
      <c r="T40" s="54"/>
      <c r="U40" s="53"/>
      <c r="V40" s="53">
        <v>293.57</v>
      </c>
      <c r="W40" s="53">
        <v>293.57</v>
      </c>
      <c r="X40" s="53">
        <v>0</v>
      </c>
      <c r="Y40" s="54"/>
    </row>
    <row r="41" spans="1:25" x14ac:dyDescent="0.2">
      <c r="A41" s="50" t="s">
        <v>145</v>
      </c>
      <c r="B41" s="51" t="s">
        <v>65</v>
      </c>
      <c r="C41" s="51" t="s">
        <v>65</v>
      </c>
      <c r="D41" s="52">
        <v>36146</v>
      </c>
      <c r="E41" s="51" t="s">
        <v>111</v>
      </c>
      <c r="F41" s="53">
        <v>839.41</v>
      </c>
      <c r="G41" s="53">
        <v>839.41</v>
      </c>
      <c r="H41" s="53">
        <v>839.41</v>
      </c>
      <c r="I41" s="53">
        <v>0</v>
      </c>
      <c r="J41" s="53">
        <v>0</v>
      </c>
      <c r="K41" s="53">
        <v>1231.9100000000001</v>
      </c>
      <c r="L41" s="53">
        <v>1231.9100000000001</v>
      </c>
      <c r="M41" s="53">
        <v>1231.9100000000001</v>
      </c>
      <c r="N41" s="53">
        <v>0</v>
      </c>
      <c r="O41" s="53">
        <v>0</v>
      </c>
      <c r="P41" s="53">
        <v>347.32</v>
      </c>
      <c r="Q41" s="53">
        <v>347.32</v>
      </c>
      <c r="R41" s="53">
        <v>347.32</v>
      </c>
      <c r="S41" s="53">
        <v>0</v>
      </c>
      <c r="T41" s="54">
        <v>0</v>
      </c>
      <c r="U41" s="53">
        <v>378.31</v>
      </c>
      <c r="V41" s="53">
        <v>378.31</v>
      </c>
      <c r="W41" s="53">
        <v>378.31</v>
      </c>
      <c r="X41" s="53">
        <v>0</v>
      </c>
      <c r="Y41" s="54">
        <v>0</v>
      </c>
    </row>
    <row r="42" spans="1:25" x14ac:dyDescent="0.2">
      <c r="A42" s="50" t="s">
        <v>146</v>
      </c>
      <c r="B42" s="51" t="s">
        <v>65</v>
      </c>
      <c r="C42" s="51" t="s">
        <v>65</v>
      </c>
      <c r="D42" s="52">
        <v>35249</v>
      </c>
      <c r="E42" s="51" t="s">
        <v>147</v>
      </c>
      <c r="F42" s="53">
        <v>839.41</v>
      </c>
      <c r="G42" s="53">
        <v>839.41</v>
      </c>
      <c r="H42" s="53">
        <v>839.41</v>
      </c>
      <c r="I42" s="53">
        <v>0</v>
      </c>
      <c r="J42" s="53">
        <v>0</v>
      </c>
      <c r="K42" s="53">
        <v>1231.9100000000001</v>
      </c>
      <c r="L42" s="53">
        <v>1231.9100000000001</v>
      </c>
      <c r="M42" s="53">
        <v>1231.9100000000001</v>
      </c>
      <c r="N42" s="53">
        <v>0</v>
      </c>
      <c r="O42" s="53">
        <v>0</v>
      </c>
      <c r="P42" s="53">
        <v>354.27</v>
      </c>
      <c r="Q42" s="53">
        <v>354.27</v>
      </c>
      <c r="R42" s="53">
        <v>354.27</v>
      </c>
      <c r="S42" s="53">
        <v>0</v>
      </c>
      <c r="T42" s="54">
        <v>0</v>
      </c>
      <c r="U42" s="53">
        <v>385.87</v>
      </c>
      <c r="V42" s="53">
        <v>385.87</v>
      </c>
      <c r="W42" s="53">
        <v>385.87</v>
      </c>
      <c r="X42" s="53">
        <v>0</v>
      </c>
      <c r="Y42" s="54">
        <v>0</v>
      </c>
    </row>
    <row r="43" spans="1:25" ht="16.149999999999999" customHeight="1" x14ac:dyDescent="0.2">
      <c r="A43" s="226" t="s">
        <v>81</v>
      </c>
      <c r="B43" s="227"/>
      <c r="C43" s="227"/>
      <c r="D43" s="227"/>
      <c r="E43" s="227"/>
      <c r="F43" s="212" t="s">
        <v>1</v>
      </c>
      <c r="G43" s="212"/>
      <c r="H43" s="212"/>
      <c r="I43" s="212"/>
      <c r="J43" s="213"/>
      <c r="K43" s="211" t="s">
        <v>2</v>
      </c>
      <c r="L43" s="212"/>
      <c r="M43" s="212"/>
      <c r="N43" s="212"/>
      <c r="O43" s="213"/>
      <c r="P43" s="211" t="s">
        <v>51</v>
      </c>
      <c r="Q43" s="212"/>
      <c r="R43" s="212"/>
      <c r="S43" s="212"/>
      <c r="T43" s="213"/>
      <c r="U43" s="211" t="s">
        <v>36</v>
      </c>
      <c r="V43" s="212"/>
      <c r="W43" s="212"/>
      <c r="X43" s="212"/>
      <c r="Y43" s="213"/>
    </row>
    <row r="44" spans="1:25" ht="13.9" customHeight="1" x14ac:dyDescent="0.2">
      <c r="A44" s="228" t="s">
        <v>82</v>
      </c>
      <c r="B44" s="229"/>
      <c r="C44" s="229"/>
      <c r="D44" s="229"/>
      <c r="E44" s="229"/>
      <c r="F44" s="214">
        <v>8015.19</v>
      </c>
      <c r="G44" s="215"/>
      <c r="H44" s="215"/>
      <c r="I44" s="215"/>
      <c r="J44" s="220"/>
      <c r="K44" s="214">
        <v>11900.85</v>
      </c>
      <c r="L44" s="215"/>
      <c r="M44" s="215"/>
      <c r="N44" s="215"/>
      <c r="O44" s="220"/>
      <c r="P44" s="214">
        <v>4517.1400000000003</v>
      </c>
      <c r="Q44" s="215"/>
      <c r="R44" s="215"/>
      <c r="S44" s="215"/>
      <c r="T44" s="216"/>
      <c r="U44" s="214">
        <v>4920.12</v>
      </c>
      <c r="V44" s="215"/>
      <c r="W44" s="215"/>
      <c r="X44" s="215"/>
      <c r="Y44" s="216"/>
    </row>
    <row r="45" spans="1:25" ht="13.9" customHeight="1" x14ac:dyDescent="0.2">
      <c r="A45" s="230" t="s">
        <v>83</v>
      </c>
      <c r="B45" s="231"/>
      <c r="C45" s="231"/>
      <c r="D45" s="231"/>
      <c r="E45" s="231"/>
      <c r="F45" s="208">
        <f>F44*12</f>
        <v>96182.28</v>
      </c>
      <c r="G45" s="209"/>
      <c r="H45" s="209"/>
      <c r="I45" s="209"/>
      <c r="J45" s="221"/>
      <c r="K45" s="208">
        <f>K44*12</f>
        <v>142810.20000000001</v>
      </c>
      <c r="L45" s="209"/>
      <c r="M45" s="209"/>
      <c r="N45" s="209"/>
      <c r="O45" s="221"/>
      <c r="P45" s="208">
        <f>P44*12</f>
        <v>54205.680000000008</v>
      </c>
      <c r="Q45" s="209"/>
      <c r="R45" s="209"/>
      <c r="S45" s="209"/>
      <c r="T45" s="210"/>
      <c r="U45" s="208">
        <f>U44*12</f>
        <v>59041.440000000002</v>
      </c>
      <c r="V45" s="209"/>
      <c r="W45" s="209"/>
      <c r="X45" s="209"/>
      <c r="Y45" s="210"/>
    </row>
    <row r="46" spans="1:25" ht="13.9" customHeight="1" x14ac:dyDescent="0.2">
      <c r="A46" s="230" t="s">
        <v>7</v>
      </c>
      <c r="B46" s="231"/>
      <c r="C46" s="231"/>
      <c r="D46" s="231"/>
      <c r="E46" s="231"/>
      <c r="F46" s="222"/>
      <c r="G46" s="223"/>
      <c r="H46" s="223"/>
      <c r="I46" s="223"/>
      <c r="J46" s="224"/>
      <c r="K46" s="217">
        <f>(K45-F45)/F45</f>
        <v>0.48478701066350283</v>
      </c>
      <c r="L46" s="218"/>
      <c r="M46" s="218"/>
      <c r="N46" s="218"/>
      <c r="O46" s="225"/>
      <c r="P46" s="217">
        <f>(P45-F45)/F45</f>
        <v>-0.4364275831265384</v>
      </c>
      <c r="Q46" s="218"/>
      <c r="R46" s="218"/>
      <c r="S46" s="218"/>
      <c r="T46" s="219"/>
      <c r="U46" s="217">
        <f>(U45-F45)/F45</f>
        <v>-0.38615054664954912</v>
      </c>
      <c r="V46" s="218"/>
      <c r="W46" s="218"/>
      <c r="X46" s="218"/>
      <c r="Y46" s="219"/>
    </row>
    <row r="47" spans="1:25" ht="13.9" customHeight="1" x14ac:dyDescent="0.2">
      <c r="A47" s="201" t="s">
        <v>9</v>
      </c>
      <c r="B47" s="202"/>
      <c r="C47" s="202"/>
      <c r="D47" s="202"/>
      <c r="E47" s="202"/>
      <c r="F47" s="222"/>
      <c r="G47" s="223"/>
      <c r="H47" s="223"/>
      <c r="I47" s="223"/>
      <c r="J47" s="224"/>
      <c r="K47" s="208">
        <f>K45-F45</f>
        <v>46627.920000000013</v>
      </c>
      <c r="L47" s="209"/>
      <c r="M47" s="209"/>
      <c r="N47" s="209"/>
      <c r="O47" s="221"/>
      <c r="P47" s="208">
        <f>P45-F45</f>
        <v>-41976.599999999991</v>
      </c>
      <c r="Q47" s="209"/>
      <c r="R47" s="209"/>
      <c r="S47" s="209"/>
      <c r="T47" s="210"/>
      <c r="U47" s="208">
        <f>U45-F45</f>
        <v>-37140.839999999997</v>
      </c>
      <c r="V47" s="209"/>
      <c r="W47" s="209"/>
      <c r="X47" s="209"/>
      <c r="Y47" s="210"/>
    </row>
    <row r="48" spans="1:25" ht="13.9" customHeight="1" x14ac:dyDescent="0.2">
      <c r="A48" s="201" t="s">
        <v>10</v>
      </c>
      <c r="B48" s="202"/>
      <c r="C48" s="202"/>
      <c r="D48" s="202"/>
      <c r="E48" s="202"/>
      <c r="F48" s="222"/>
      <c r="G48" s="223"/>
      <c r="H48" s="223"/>
      <c r="I48" s="223"/>
      <c r="J48" s="224"/>
      <c r="K48" s="208">
        <f>K44-F44</f>
        <v>3885.6600000000008</v>
      </c>
      <c r="L48" s="209"/>
      <c r="M48" s="209"/>
      <c r="N48" s="209"/>
      <c r="O48" s="221"/>
      <c r="P48" s="208">
        <f>P44-F44</f>
        <v>-3498.0499999999993</v>
      </c>
      <c r="Q48" s="209"/>
      <c r="R48" s="209"/>
      <c r="S48" s="209"/>
      <c r="T48" s="210"/>
      <c r="U48" s="208">
        <f>U44-F44</f>
        <v>-3095.0699999999997</v>
      </c>
      <c r="V48" s="209"/>
      <c r="W48" s="209"/>
      <c r="X48" s="209"/>
      <c r="Y48" s="210"/>
    </row>
    <row r="49" spans="1:25" ht="18" customHeight="1" x14ac:dyDescent="0.2">
      <c r="A49" s="201" t="s">
        <v>30</v>
      </c>
      <c r="B49" s="202"/>
      <c r="C49" s="202"/>
      <c r="D49" s="202"/>
      <c r="E49" s="202"/>
      <c r="F49" s="203" t="s">
        <v>29</v>
      </c>
      <c r="G49" s="204"/>
      <c r="H49" s="204"/>
      <c r="I49" s="204"/>
      <c r="J49" s="205"/>
      <c r="K49" s="203" t="s">
        <v>29</v>
      </c>
      <c r="L49" s="204"/>
      <c r="M49" s="204"/>
      <c r="N49" s="204"/>
      <c r="O49" s="205"/>
      <c r="P49" s="203" t="s">
        <v>29</v>
      </c>
      <c r="Q49" s="206"/>
      <c r="R49" s="206"/>
      <c r="S49" s="206"/>
      <c r="T49" s="207"/>
      <c r="U49" s="203" t="s">
        <v>29</v>
      </c>
      <c r="V49" s="206"/>
      <c r="W49" s="206"/>
      <c r="X49" s="206"/>
      <c r="Y49" s="207"/>
    </row>
    <row r="50" spans="1:25" ht="4.9000000000000004" customHeight="1" x14ac:dyDescent="0.2">
      <c r="A50" s="36"/>
      <c r="B50" s="36"/>
      <c r="C50" s="37"/>
      <c r="D50" s="37"/>
      <c r="E50" s="38"/>
      <c r="F50" s="38"/>
      <c r="G50" s="39"/>
      <c r="H50" s="40"/>
      <c r="I50" s="40"/>
      <c r="J50" s="40"/>
      <c r="K50" s="40"/>
      <c r="L50" s="40"/>
      <c r="M50" s="40"/>
      <c r="N50" s="40"/>
      <c r="O50" s="40"/>
      <c r="P50" s="40"/>
      <c r="Q50" s="40"/>
      <c r="R50" s="40"/>
      <c r="S50" s="40"/>
      <c r="T50" s="40"/>
      <c r="U50" s="40"/>
      <c r="V50" s="40"/>
      <c r="W50" s="40"/>
      <c r="X50" s="40"/>
      <c r="Y50" s="40"/>
    </row>
    <row r="51" spans="1:25" ht="55.15" customHeight="1" x14ac:dyDescent="0.2">
      <c r="A51" s="200" t="s">
        <v>31</v>
      </c>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row>
  </sheetData>
  <mergeCells count="48">
    <mergeCell ref="A2:Y2"/>
    <mergeCell ref="A3:Y3"/>
    <mergeCell ref="A4:Y4"/>
    <mergeCell ref="A5:E7"/>
    <mergeCell ref="F8:J8"/>
    <mergeCell ref="K8:O8"/>
    <mergeCell ref="F7:J7"/>
    <mergeCell ref="K7:O7"/>
    <mergeCell ref="A46:E46"/>
    <mergeCell ref="A47:E47"/>
    <mergeCell ref="U8:Y8"/>
    <mergeCell ref="U7:Y7"/>
    <mergeCell ref="P8:T8"/>
    <mergeCell ref="P7:T7"/>
    <mergeCell ref="A48:E48"/>
    <mergeCell ref="F43:J43"/>
    <mergeCell ref="K43:O43"/>
    <mergeCell ref="F44:J44"/>
    <mergeCell ref="F45:J45"/>
    <mergeCell ref="F46:J46"/>
    <mergeCell ref="F47:J47"/>
    <mergeCell ref="F48:J48"/>
    <mergeCell ref="K44:O44"/>
    <mergeCell ref="K45:O45"/>
    <mergeCell ref="K46:O46"/>
    <mergeCell ref="K47:O47"/>
    <mergeCell ref="K48:O48"/>
    <mergeCell ref="A43:E43"/>
    <mergeCell ref="A44:E44"/>
    <mergeCell ref="A45:E45"/>
    <mergeCell ref="U48:Y48"/>
    <mergeCell ref="P43:T43"/>
    <mergeCell ref="P44:T44"/>
    <mergeCell ref="P45:T45"/>
    <mergeCell ref="P46:T46"/>
    <mergeCell ref="P47:T47"/>
    <mergeCell ref="P48:T48"/>
    <mergeCell ref="U43:Y43"/>
    <mergeCell ref="U44:Y44"/>
    <mergeCell ref="U45:Y45"/>
    <mergeCell ref="U46:Y46"/>
    <mergeCell ref="U47:Y47"/>
    <mergeCell ref="A51:Y51"/>
    <mergeCell ref="A49:E49"/>
    <mergeCell ref="F49:J49"/>
    <mergeCell ref="K49:O49"/>
    <mergeCell ref="U49:Y49"/>
    <mergeCell ref="P49:T49"/>
  </mergeCells>
  <hyperlinks>
    <hyperlink ref="F49" r:id="rId1" xr:uid="{00000000-0004-0000-3E00-000000000000}"/>
    <hyperlink ref="K7" r:id="rId2" xr:uid="{00000000-0004-0000-3E00-000001000000}"/>
    <hyperlink ref="K49" r:id="rId3" xr:uid="{00000000-0004-0000-3E00-000002000000}"/>
    <hyperlink ref="P7" r:id="rId4" xr:uid="{00000000-0004-0000-3E00-000003000000}"/>
    <hyperlink ref="P49" r:id="rId5" xr:uid="{00000000-0004-0000-3E00-000004000000}"/>
    <hyperlink ref="U7" r:id="rId6" xr:uid="{00000000-0004-0000-3E00-000005000000}"/>
    <hyperlink ref="U49" r:id="rId7" xr:uid="{00000000-0004-0000-3E00-000006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5478F-9CA5-4274-B6A9-540297BCD54A}">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148</v>
      </c>
      <c r="G6" s="122"/>
      <c r="H6" s="122"/>
      <c r="I6" s="122"/>
      <c r="J6" s="124"/>
      <c r="K6" s="121" t="s">
        <v>149</v>
      </c>
      <c r="L6" s="122"/>
      <c r="M6" s="122"/>
      <c r="N6" s="122"/>
      <c r="O6" s="124"/>
      <c r="P6" s="121" t="s">
        <v>150</v>
      </c>
      <c r="Q6" s="122"/>
      <c r="R6" s="122"/>
      <c r="S6" s="122"/>
      <c r="T6" s="124"/>
      <c r="U6" s="121" t="s">
        <v>151</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47</v>
      </c>
      <c r="G8" s="233"/>
      <c r="H8" s="233"/>
      <c r="I8" s="233"/>
      <c r="J8" s="234"/>
      <c r="K8" s="232" t="s">
        <v>48</v>
      </c>
      <c r="L8" s="233"/>
      <c r="M8" s="233"/>
      <c r="N8" s="233"/>
      <c r="O8" s="234"/>
      <c r="P8" s="232" t="s">
        <v>49</v>
      </c>
      <c r="Q8" s="233"/>
      <c r="R8" s="233"/>
      <c r="S8" s="233"/>
      <c r="T8" s="234"/>
      <c r="U8" s="232" t="s">
        <v>50</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1521.53</v>
      </c>
      <c r="G10" s="53">
        <v>695.07</v>
      </c>
      <c r="H10" s="53">
        <v>695.07</v>
      </c>
      <c r="I10" s="53">
        <v>0</v>
      </c>
      <c r="J10" s="54">
        <v>0</v>
      </c>
      <c r="K10" s="53">
        <v>1588.6</v>
      </c>
      <c r="L10" s="53">
        <v>725.71</v>
      </c>
      <c r="M10" s="53">
        <v>725.71</v>
      </c>
      <c r="N10" s="53">
        <v>0</v>
      </c>
      <c r="O10" s="54">
        <v>0</v>
      </c>
      <c r="P10" s="53">
        <v>1680.02</v>
      </c>
      <c r="Q10" s="53">
        <v>767.47</v>
      </c>
      <c r="R10" s="53">
        <v>767.47</v>
      </c>
      <c r="S10" s="53">
        <v>0</v>
      </c>
      <c r="T10" s="54">
        <v>0</v>
      </c>
      <c r="U10" s="53">
        <v>1730.94</v>
      </c>
      <c r="V10" s="53">
        <v>790.73</v>
      </c>
      <c r="W10" s="53">
        <v>790.73</v>
      </c>
      <c r="X10" s="53">
        <v>0</v>
      </c>
      <c r="Y10" s="54">
        <v>0</v>
      </c>
    </row>
    <row r="11" spans="1:25" x14ac:dyDescent="0.2">
      <c r="A11" s="50" t="s">
        <v>106</v>
      </c>
      <c r="B11" s="51" t="s">
        <v>107</v>
      </c>
      <c r="C11" s="51"/>
      <c r="D11" s="52">
        <v>27837</v>
      </c>
      <c r="E11" s="51" t="s">
        <v>105</v>
      </c>
      <c r="F11" s="53"/>
      <c r="G11" s="53">
        <v>530.75</v>
      </c>
      <c r="H11" s="53">
        <v>530.75</v>
      </c>
      <c r="I11" s="53">
        <v>0</v>
      </c>
      <c r="J11" s="54"/>
      <c r="K11" s="53"/>
      <c r="L11" s="53">
        <v>554.15</v>
      </c>
      <c r="M11" s="53">
        <v>554.15</v>
      </c>
      <c r="N11" s="53">
        <v>0</v>
      </c>
      <c r="O11" s="54"/>
      <c r="P11" s="53"/>
      <c r="Q11" s="53">
        <v>586.04</v>
      </c>
      <c r="R11" s="53">
        <v>586.04</v>
      </c>
      <c r="S11" s="53">
        <v>0</v>
      </c>
      <c r="T11" s="54"/>
      <c r="U11" s="53"/>
      <c r="V11" s="53">
        <v>603.79999999999995</v>
      </c>
      <c r="W11" s="53">
        <v>603.79999999999995</v>
      </c>
      <c r="X11" s="53">
        <v>0</v>
      </c>
      <c r="Y11" s="54"/>
    </row>
    <row r="12" spans="1:25" x14ac:dyDescent="0.2">
      <c r="A12" s="50" t="s">
        <v>108</v>
      </c>
      <c r="B12" s="51" t="s">
        <v>109</v>
      </c>
      <c r="C12" s="51"/>
      <c r="D12" s="52">
        <v>38648</v>
      </c>
      <c r="E12" s="51" t="s">
        <v>105</v>
      </c>
      <c r="F12" s="53"/>
      <c r="G12" s="53">
        <v>295.70999999999998</v>
      </c>
      <c r="H12" s="53">
        <v>295.70999999999998</v>
      </c>
      <c r="I12" s="53">
        <v>0</v>
      </c>
      <c r="J12" s="54"/>
      <c r="K12" s="53"/>
      <c r="L12" s="53">
        <v>308.74</v>
      </c>
      <c r="M12" s="53">
        <v>308.74</v>
      </c>
      <c r="N12" s="53">
        <v>0</v>
      </c>
      <c r="O12" s="54"/>
      <c r="P12" s="53"/>
      <c r="Q12" s="53">
        <v>326.51</v>
      </c>
      <c r="R12" s="53">
        <v>326.51</v>
      </c>
      <c r="S12" s="53">
        <v>0</v>
      </c>
      <c r="T12" s="54"/>
      <c r="U12" s="53"/>
      <c r="V12" s="53">
        <v>336.41</v>
      </c>
      <c r="W12" s="53">
        <v>336.41</v>
      </c>
      <c r="X12" s="53">
        <v>0</v>
      </c>
      <c r="Y12" s="54"/>
    </row>
    <row r="13" spans="1:25" x14ac:dyDescent="0.2">
      <c r="A13" s="50" t="s">
        <v>110</v>
      </c>
      <c r="B13" s="51" t="s">
        <v>65</v>
      </c>
      <c r="C13" s="51" t="s">
        <v>65</v>
      </c>
      <c r="D13" s="52">
        <v>36345</v>
      </c>
      <c r="E13" s="51" t="s">
        <v>111</v>
      </c>
      <c r="F13" s="53">
        <v>381.07</v>
      </c>
      <c r="G13" s="53">
        <v>381.07</v>
      </c>
      <c r="H13" s="53">
        <v>381.07</v>
      </c>
      <c r="I13" s="53">
        <v>0</v>
      </c>
      <c r="J13" s="54">
        <v>0</v>
      </c>
      <c r="K13" s="53">
        <v>397.86</v>
      </c>
      <c r="L13" s="53">
        <v>397.86</v>
      </c>
      <c r="M13" s="53">
        <v>397.86</v>
      </c>
      <c r="N13" s="53">
        <v>0</v>
      </c>
      <c r="O13" s="54">
        <v>0</v>
      </c>
      <c r="P13" s="53">
        <v>420.76</v>
      </c>
      <c r="Q13" s="53">
        <v>420.76</v>
      </c>
      <c r="R13" s="53">
        <v>420.76</v>
      </c>
      <c r="S13" s="53">
        <v>0</v>
      </c>
      <c r="T13" s="54">
        <v>0</v>
      </c>
      <c r="U13" s="53">
        <v>433.52</v>
      </c>
      <c r="V13" s="53">
        <v>433.52</v>
      </c>
      <c r="W13" s="53">
        <v>433.52</v>
      </c>
      <c r="X13" s="53">
        <v>0</v>
      </c>
      <c r="Y13" s="54">
        <v>0</v>
      </c>
    </row>
    <row r="14" spans="1:25" x14ac:dyDescent="0.2">
      <c r="A14" s="50" t="s">
        <v>112</v>
      </c>
      <c r="B14" s="51" t="s">
        <v>65</v>
      </c>
      <c r="C14" s="51" t="s">
        <v>104</v>
      </c>
      <c r="D14" s="52">
        <v>24895</v>
      </c>
      <c r="E14" s="51" t="s">
        <v>113</v>
      </c>
      <c r="F14" s="53">
        <v>1663.29</v>
      </c>
      <c r="G14" s="53">
        <v>672.51</v>
      </c>
      <c r="H14" s="53">
        <v>672.51</v>
      </c>
      <c r="I14" s="53">
        <v>0</v>
      </c>
      <c r="J14" s="54">
        <v>0</v>
      </c>
      <c r="K14" s="53">
        <v>1736.6</v>
      </c>
      <c r="L14" s="53">
        <v>702.15</v>
      </c>
      <c r="M14" s="53">
        <v>702.15</v>
      </c>
      <c r="N14" s="53">
        <v>0</v>
      </c>
      <c r="O14" s="54">
        <v>0</v>
      </c>
      <c r="P14" s="53">
        <v>1836.54</v>
      </c>
      <c r="Q14" s="53">
        <v>742.56</v>
      </c>
      <c r="R14" s="53">
        <v>742.56</v>
      </c>
      <c r="S14" s="53">
        <v>0</v>
      </c>
      <c r="T14" s="54">
        <v>0</v>
      </c>
      <c r="U14" s="53">
        <v>1892.21</v>
      </c>
      <c r="V14" s="53">
        <v>765.07</v>
      </c>
      <c r="W14" s="53">
        <v>765.07</v>
      </c>
      <c r="X14" s="53">
        <v>0</v>
      </c>
      <c r="Y14" s="54">
        <v>0</v>
      </c>
    </row>
    <row r="15" spans="1:25" x14ac:dyDescent="0.2">
      <c r="A15" s="50" t="s">
        <v>114</v>
      </c>
      <c r="B15" s="51" t="s">
        <v>107</v>
      </c>
      <c r="C15" s="51"/>
      <c r="D15" s="52">
        <v>24269</v>
      </c>
      <c r="E15" s="51" t="s">
        <v>113</v>
      </c>
      <c r="F15" s="53"/>
      <c r="G15" s="53">
        <v>695.07</v>
      </c>
      <c r="H15" s="53">
        <v>695.07</v>
      </c>
      <c r="I15" s="53">
        <v>0</v>
      </c>
      <c r="J15" s="54"/>
      <c r="K15" s="53"/>
      <c r="L15" s="53">
        <v>725.71</v>
      </c>
      <c r="M15" s="53">
        <v>725.71</v>
      </c>
      <c r="N15" s="53">
        <v>0</v>
      </c>
      <c r="O15" s="54"/>
      <c r="P15" s="53"/>
      <c r="Q15" s="53">
        <v>767.47</v>
      </c>
      <c r="R15" s="53">
        <v>767.47</v>
      </c>
      <c r="S15" s="53">
        <v>0</v>
      </c>
      <c r="T15" s="54"/>
      <c r="U15" s="53"/>
      <c r="V15" s="53">
        <v>790.73</v>
      </c>
      <c r="W15" s="53">
        <v>790.73</v>
      </c>
      <c r="X15" s="53">
        <v>0</v>
      </c>
      <c r="Y15" s="54"/>
    </row>
    <row r="16" spans="1:25" x14ac:dyDescent="0.2">
      <c r="A16" s="50" t="s">
        <v>115</v>
      </c>
      <c r="B16" s="51" t="s">
        <v>109</v>
      </c>
      <c r="C16" s="51"/>
      <c r="D16" s="52">
        <v>38614</v>
      </c>
      <c r="E16" s="51" t="s">
        <v>113</v>
      </c>
      <c r="F16" s="53"/>
      <c r="G16" s="53">
        <v>295.70999999999998</v>
      </c>
      <c r="H16" s="53">
        <v>295.70999999999998</v>
      </c>
      <c r="I16" s="53">
        <v>0</v>
      </c>
      <c r="J16" s="54"/>
      <c r="K16" s="53"/>
      <c r="L16" s="53">
        <v>308.74</v>
      </c>
      <c r="M16" s="53">
        <v>308.74</v>
      </c>
      <c r="N16" s="53">
        <v>0</v>
      </c>
      <c r="O16" s="54"/>
      <c r="P16" s="53"/>
      <c r="Q16" s="53">
        <v>326.51</v>
      </c>
      <c r="R16" s="53">
        <v>326.51</v>
      </c>
      <c r="S16" s="53">
        <v>0</v>
      </c>
      <c r="T16" s="54"/>
      <c r="U16" s="53"/>
      <c r="V16" s="53">
        <v>336.41</v>
      </c>
      <c r="W16" s="53">
        <v>336.41</v>
      </c>
      <c r="X16" s="53">
        <v>0</v>
      </c>
      <c r="Y16" s="54"/>
    </row>
    <row r="17" spans="1:25" x14ac:dyDescent="0.2">
      <c r="A17" s="50" t="s">
        <v>116</v>
      </c>
      <c r="B17" s="51" t="s">
        <v>65</v>
      </c>
      <c r="C17" s="51" t="s">
        <v>117</v>
      </c>
      <c r="D17" s="52">
        <v>18453</v>
      </c>
      <c r="E17" s="51" t="s">
        <v>118</v>
      </c>
      <c r="F17" s="53">
        <v>1390.14</v>
      </c>
      <c r="G17" s="53">
        <v>695.07</v>
      </c>
      <c r="H17" s="53">
        <v>695.07</v>
      </c>
      <c r="I17" s="53">
        <v>0</v>
      </c>
      <c r="J17" s="54">
        <v>0</v>
      </c>
      <c r="K17" s="53">
        <v>1451.42</v>
      </c>
      <c r="L17" s="53">
        <v>725.71</v>
      </c>
      <c r="M17" s="53">
        <v>725.71</v>
      </c>
      <c r="N17" s="53">
        <v>0</v>
      </c>
      <c r="O17" s="54">
        <v>0</v>
      </c>
      <c r="P17" s="53">
        <v>1534.94</v>
      </c>
      <c r="Q17" s="53">
        <v>767.47</v>
      </c>
      <c r="R17" s="53">
        <v>767.47</v>
      </c>
      <c r="S17" s="53">
        <v>0</v>
      </c>
      <c r="T17" s="54">
        <v>0</v>
      </c>
      <c r="U17" s="53">
        <v>1581.46</v>
      </c>
      <c r="V17" s="53">
        <v>790.73</v>
      </c>
      <c r="W17" s="53">
        <v>790.73</v>
      </c>
      <c r="X17" s="53">
        <v>0</v>
      </c>
      <c r="Y17" s="54">
        <v>0</v>
      </c>
    </row>
    <row r="18" spans="1:25" x14ac:dyDescent="0.2">
      <c r="A18" s="50" t="s">
        <v>119</v>
      </c>
      <c r="B18" s="51" t="s">
        <v>107</v>
      </c>
      <c r="C18" s="51"/>
      <c r="D18" s="52">
        <v>19761</v>
      </c>
      <c r="E18" s="51" t="s">
        <v>118</v>
      </c>
      <c r="F18" s="53"/>
      <c r="G18" s="53">
        <v>695.07</v>
      </c>
      <c r="H18" s="53">
        <v>695.07</v>
      </c>
      <c r="I18" s="53">
        <v>0</v>
      </c>
      <c r="J18" s="54"/>
      <c r="K18" s="53"/>
      <c r="L18" s="53">
        <v>725.71</v>
      </c>
      <c r="M18" s="53">
        <v>725.71</v>
      </c>
      <c r="N18" s="53">
        <v>0</v>
      </c>
      <c r="O18" s="54"/>
      <c r="P18" s="53"/>
      <c r="Q18" s="53">
        <v>767.47</v>
      </c>
      <c r="R18" s="53">
        <v>767.47</v>
      </c>
      <c r="S18" s="53">
        <v>0</v>
      </c>
      <c r="T18" s="54"/>
      <c r="U18" s="53"/>
      <c r="V18" s="53">
        <v>790.73</v>
      </c>
      <c r="W18" s="53">
        <v>790.73</v>
      </c>
      <c r="X18" s="53">
        <v>0</v>
      </c>
      <c r="Y18" s="54"/>
    </row>
    <row r="19" spans="1:25" x14ac:dyDescent="0.2">
      <c r="A19" s="50" t="s">
        <v>120</v>
      </c>
      <c r="B19" s="51" t="s">
        <v>65</v>
      </c>
      <c r="C19" s="51" t="s">
        <v>65</v>
      </c>
      <c r="D19" s="52">
        <v>35733</v>
      </c>
      <c r="E19" s="51" t="s">
        <v>121</v>
      </c>
      <c r="F19" s="53">
        <v>381.07</v>
      </c>
      <c r="G19" s="53">
        <v>381.07</v>
      </c>
      <c r="H19" s="53">
        <v>381.07</v>
      </c>
      <c r="I19" s="53">
        <v>0</v>
      </c>
      <c r="J19" s="54">
        <v>0</v>
      </c>
      <c r="K19" s="53">
        <v>397.86</v>
      </c>
      <c r="L19" s="53">
        <v>397.86</v>
      </c>
      <c r="M19" s="53">
        <v>397.86</v>
      </c>
      <c r="N19" s="53">
        <v>0</v>
      </c>
      <c r="O19" s="54">
        <v>0</v>
      </c>
      <c r="P19" s="53">
        <v>420.76</v>
      </c>
      <c r="Q19" s="53">
        <v>420.76</v>
      </c>
      <c r="R19" s="53">
        <v>420.76</v>
      </c>
      <c r="S19" s="53">
        <v>0</v>
      </c>
      <c r="T19" s="54">
        <v>0</v>
      </c>
      <c r="U19" s="53">
        <v>433.52</v>
      </c>
      <c r="V19" s="53">
        <v>433.52</v>
      </c>
      <c r="W19" s="53">
        <v>433.52</v>
      </c>
      <c r="X19" s="53">
        <v>0</v>
      </c>
      <c r="Y19" s="54">
        <v>0</v>
      </c>
    </row>
    <row r="20" spans="1:25" x14ac:dyDescent="0.2">
      <c r="A20" s="50" t="s">
        <v>122</v>
      </c>
      <c r="B20" s="51" t="s">
        <v>65</v>
      </c>
      <c r="C20" s="51" t="s">
        <v>104</v>
      </c>
      <c r="D20" s="52">
        <v>24958</v>
      </c>
      <c r="E20" s="51" t="s">
        <v>123</v>
      </c>
      <c r="F20" s="53">
        <v>1908.09</v>
      </c>
      <c r="G20" s="53">
        <v>672.51</v>
      </c>
      <c r="H20" s="53">
        <v>672.51</v>
      </c>
      <c r="I20" s="53">
        <v>0</v>
      </c>
      <c r="J20" s="54">
        <v>0</v>
      </c>
      <c r="K20" s="53">
        <v>1992.18</v>
      </c>
      <c r="L20" s="53">
        <v>702.15</v>
      </c>
      <c r="M20" s="53">
        <v>702.15</v>
      </c>
      <c r="N20" s="53">
        <v>0</v>
      </c>
      <c r="O20" s="54">
        <v>0</v>
      </c>
      <c r="P20" s="53">
        <v>2106.84</v>
      </c>
      <c r="Q20" s="53">
        <v>742.56</v>
      </c>
      <c r="R20" s="53">
        <v>742.56</v>
      </c>
      <c r="S20" s="53">
        <v>0</v>
      </c>
      <c r="T20" s="54">
        <v>0</v>
      </c>
      <c r="U20" s="53">
        <v>2170.6999999999998</v>
      </c>
      <c r="V20" s="53">
        <v>765.07</v>
      </c>
      <c r="W20" s="53">
        <v>765.07</v>
      </c>
      <c r="X20" s="53">
        <v>0</v>
      </c>
      <c r="Y20" s="54">
        <v>0</v>
      </c>
    </row>
    <row r="21" spans="1:25" x14ac:dyDescent="0.2">
      <c r="A21" s="50" t="s">
        <v>124</v>
      </c>
      <c r="B21" s="51" t="s">
        <v>107</v>
      </c>
      <c r="C21" s="51"/>
      <c r="D21" s="52">
        <v>25342</v>
      </c>
      <c r="E21" s="51" t="s">
        <v>123</v>
      </c>
      <c r="F21" s="53"/>
      <c r="G21" s="53">
        <v>653</v>
      </c>
      <c r="H21" s="53">
        <v>653</v>
      </c>
      <c r="I21" s="53">
        <v>0</v>
      </c>
      <c r="J21" s="54"/>
      <c r="K21" s="53"/>
      <c r="L21" s="53">
        <v>681.78</v>
      </c>
      <c r="M21" s="53">
        <v>681.78</v>
      </c>
      <c r="N21" s="53">
        <v>0</v>
      </c>
      <c r="O21" s="54"/>
      <c r="P21" s="53"/>
      <c r="Q21" s="53">
        <v>721.02</v>
      </c>
      <c r="R21" s="53">
        <v>721.02</v>
      </c>
      <c r="S21" s="53">
        <v>0</v>
      </c>
      <c r="T21" s="54"/>
      <c r="U21" s="53"/>
      <c r="V21" s="53">
        <v>742.87</v>
      </c>
      <c r="W21" s="53">
        <v>742.87</v>
      </c>
      <c r="X21" s="53">
        <v>0</v>
      </c>
      <c r="Y21" s="54"/>
    </row>
    <row r="22" spans="1:25" x14ac:dyDescent="0.2">
      <c r="A22" s="50" t="s">
        <v>125</v>
      </c>
      <c r="B22" s="51" t="s">
        <v>109</v>
      </c>
      <c r="C22" s="51"/>
      <c r="D22" s="52">
        <v>38632</v>
      </c>
      <c r="E22" s="51" t="s">
        <v>123</v>
      </c>
      <c r="F22" s="53"/>
      <c r="G22" s="53">
        <v>295.70999999999998</v>
      </c>
      <c r="H22" s="53">
        <v>295.70999999999998</v>
      </c>
      <c r="I22" s="53">
        <v>0</v>
      </c>
      <c r="J22" s="54"/>
      <c r="K22" s="53"/>
      <c r="L22" s="53">
        <v>308.74</v>
      </c>
      <c r="M22" s="53">
        <v>308.74</v>
      </c>
      <c r="N22" s="53">
        <v>0</v>
      </c>
      <c r="O22" s="54"/>
      <c r="P22" s="53"/>
      <c r="Q22" s="53">
        <v>326.51</v>
      </c>
      <c r="R22" s="53">
        <v>326.51</v>
      </c>
      <c r="S22" s="53">
        <v>0</v>
      </c>
      <c r="T22" s="54"/>
      <c r="U22" s="53"/>
      <c r="V22" s="53">
        <v>336.41</v>
      </c>
      <c r="W22" s="53">
        <v>336.41</v>
      </c>
      <c r="X22" s="53">
        <v>0</v>
      </c>
      <c r="Y22" s="54"/>
    </row>
    <row r="23" spans="1:25" x14ac:dyDescent="0.2">
      <c r="A23" s="50" t="s">
        <v>126</v>
      </c>
      <c r="B23" s="51" t="s">
        <v>109</v>
      </c>
      <c r="C23" s="51"/>
      <c r="D23" s="52">
        <v>39092</v>
      </c>
      <c r="E23" s="51" t="s">
        <v>123</v>
      </c>
      <c r="F23" s="53"/>
      <c r="G23" s="53">
        <v>286.87</v>
      </c>
      <c r="H23" s="53">
        <v>286.87</v>
      </c>
      <c r="I23" s="53">
        <v>0</v>
      </c>
      <c r="J23" s="54"/>
      <c r="K23" s="53"/>
      <c r="L23" s="53">
        <v>299.51</v>
      </c>
      <c r="M23" s="53">
        <v>299.51</v>
      </c>
      <c r="N23" s="53">
        <v>0</v>
      </c>
      <c r="O23" s="54"/>
      <c r="P23" s="53"/>
      <c r="Q23" s="53">
        <v>316.75</v>
      </c>
      <c r="R23" s="53">
        <v>316.75</v>
      </c>
      <c r="S23" s="53">
        <v>0</v>
      </c>
      <c r="T23" s="54"/>
      <c r="U23" s="53"/>
      <c r="V23" s="53">
        <v>326.35000000000002</v>
      </c>
      <c r="W23" s="53">
        <v>326.35000000000002</v>
      </c>
      <c r="X23" s="53">
        <v>0</v>
      </c>
      <c r="Y23" s="54"/>
    </row>
    <row r="24" spans="1:25" x14ac:dyDescent="0.2">
      <c r="A24" s="50" t="s">
        <v>127</v>
      </c>
      <c r="B24" s="51" t="s">
        <v>65</v>
      </c>
      <c r="C24" s="51" t="s">
        <v>117</v>
      </c>
      <c r="D24" s="52">
        <v>21309</v>
      </c>
      <c r="E24" s="51" t="s">
        <v>96</v>
      </c>
      <c r="F24" s="53">
        <v>1390.14</v>
      </c>
      <c r="G24" s="53">
        <v>695.07</v>
      </c>
      <c r="H24" s="53">
        <v>695.07</v>
      </c>
      <c r="I24" s="53">
        <v>0</v>
      </c>
      <c r="J24" s="54">
        <v>0</v>
      </c>
      <c r="K24" s="53">
        <v>1451.42</v>
      </c>
      <c r="L24" s="53">
        <v>725.71</v>
      </c>
      <c r="M24" s="53">
        <v>725.71</v>
      </c>
      <c r="N24" s="53">
        <v>0</v>
      </c>
      <c r="O24" s="54">
        <v>0</v>
      </c>
      <c r="P24" s="53">
        <v>1534.94</v>
      </c>
      <c r="Q24" s="53">
        <v>767.47</v>
      </c>
      <c r="R24" s="53">
        <v>767.47</v>
      </c>
      <c r="S24" s="53">
        <v>0</v>
      </c>
      <c r="T24" s="54">
        <v>0</v>
      </c>
      <c r="U24" s="53">
        <v>1581.46</v>
      </c>
      <c r="V24" s="53">
        <v>790.73</v>
      </c>
      <c r="W24" s="53">
        <v>790.73</v>
      </c>
      <c r="X24" s="53">
        <v>0</v>
      </c>
      <c r="Y24" s="54">
        <v>0</v>
      </c>
    </row>
    <row r="25" spans="1:25" x14ac:dyDescent="0.2">
      <c r="A25" s="50" t="s">
        <v>128</v>
      </c>
      <c r="B25" s="51" t="s">
        <v>107</v>
      </c>
      <c r="C25" s="51"/>
      <c r="D25" s="52">
        <v>23570</v>
      </c>
      <c r="E25" s="51" t="s">
        <v>96</v>
      </c>
      <c r="F25" s="53"/>
      <c r="G25" s="53">
        <v>695.07</v>
      </c>
      <c r="H25" s="53">
        <v>695.07</v>
      </c>
      <c r="I25" s="53">
        <v>0</v>
      </c>
      <c r="J25" s="54"/>
      <c r="K25" s="53"/>
      <c r="L25" s="53">
        <v>725.71</v>
      </c>
      <c r="M25" s="53">
        <v>725.71</v>
      </c>
      <c r="N25" s="53">
        <v>0</v>
      </c>
      <c r="O25" s="54"/>
      <c r="P25" s="53"/>
      <c r="Q25" s="53">
        <v>767.47</v>
      </c>
      <c r="R25" s="53">
        <v>767.47</v>
      </c>
      <c r="S25" s="53">
        <v>0</v>
      </c>
      <c r="T25" s="54"/>
      <c r="U25" s="53"/>
      <c r="V25" s="53">
        <v>790.73</v>
      </c>
      <c r="W25" s="53">
        <v>790.73</v>
      </c>
      <c r="X25" s="53">
        <v>0</v>
      </c>
      <c r="Y25" s="54"/>
    </row>
    <row r="26" spans="1:25" x14ac:dyDescent="0.2">
      <c r="A26" s="50" t="s">
        <v>129</v>
      </c>
      <c r="B26" s="51" t="s">
        <v>65</v>
      </c>
      <c r="C26" s="51" t="s">
        <v>65</v>
      </c>
      <c r="D26" s="52">
        <v>24147</v>
      </c>
      <c r="E26" s="51" t="s">
        <v>113</v>
      </c>
      <c r="F26" s="53">
        <v>695.07</v>
      </c>
      <c r="G26" s="53">
        <v>695.07</v>
      </c>
      <c r="H26" s="53">
        <v>695.07</v>
      </c>
      <c r="I26" s="53">
        <v>0</v>
      </c>
      <c r="J26" s="54">
        <v>0</v>
      </c>
      <c r="K26" s="53">
        <v>725.71</v>
      </c>
      <c r="L26" s="53">
        <v>725.71</v>
      </c>
      <c r="M26" s="53">
        <v>725.71</v>
      </c>
      <c r="N26" s="53">
        <v>0</v>
      </c>
      <c r="O26" s="54">
        <v>0</v>
      </c>
      <c r="P26" s="53">
        <v>767.47</v>
      </c>
      <c r="Q26" s="53">
        <v>767.47</v>
      </c>
      <c r="R26" s="53">
        <v>767.47</v>
      </c>
      <c r="S26" s="53">
        <v>0</v>
      </c>
      <c r="T26" s="54">
        <v>0</v>
      </c>
      <c r="U26" s="53">
        <v>790.73</v>
      </c>
      <c r="V26" s="53">
        <v>790.73</v>
      </c>
      <c r="W26" s="53">
        <v>790.73</v>
      </c>
      <c r="X26" s="53">
        <v>0</v>
      </c>
      <c r="Y26" s="54">
        <v>0</v>
      </c>
    </row>
    <row r="27" spans="1:25" x14ac:dyDescent="0.2">
      <c r="A27" s="50" t="s">
        <v>130</v>
      </c>
      <c r="B27" s="51" t="s">
        <v>65</v>
      </c>
      <c r="C27" s="51" t="s">
        <v>65</v>
      </c>
      <c r="D27" s="52">
        <v>25210</v>
      </c>
      <c r="E27" s="51" t="s">
        <v>131</v>
      </c>
      <c r="F27" s="53">
        <v>653</v>
      </c>
      <c r="G27" s="53">
        <v>653</v>
      </c>
      <c r="H27" s="53">
        <v>653</v>
      </c>
      <c r="I27" s="53">
        <v>0</v>
      </c>
      <c r="J27" s="54">
        <v>0</v>
      </c>
      <c r="K27" s="53">
        <v>681.78</v>
      </c>
      <c r="L27" s="53">
        <v>681.78</v>
      </c>
      <c r="M27" s="53">
        <v>681.78</v>
      </c>
      <c r="N27" s="53">
        <v>0</v>
      </c>
      <c r="O27" s="54">
        <v>0</v>
      </c>
      <c r="P27" s="53">
        <v>721.02</v>
      </c>
      <c r="Q27" s="53">
        <v>721.02</v>
      </c>
      <c r="R27" s="53">
        <v>721.02</v>
      </c>
      <c r="S27" s="53">
        <v>0</v>
      </c>
      <c r="T27" s="54">
        <v>0</v>
      </c>
      <c r="U27" s="53">
        <v>742.87</v>
      </c>
      <c r="V27" s="53">
        <v>742.87</v>
      </c>
      <c r="W27" s="53">
        <v>742.87</v>
      </c>
      <c r="X27" s="53">
        <v>0</v>
      </c>
      <c r="Y27" s="54">
        <v>0</v>
      </c>
    </row>
    <row r="28" spans="1:25" x14ac:dyDescent="0.2">
      <c r="A28" s="50" t="s">
        <v>132</v>
      </c>
      <c r="B28" s="51" t="s">
        <v>65</v>
      </c>
      <c r="C28" s="51" t="s">
        <v>65</v>
      </c>
      <c r="D28" s="52">
        <v>35103</v>
      </c>
      <c r="E28" s="51" t="s">
        <v>113</v>
      </c>
      <c r="F28" s="53">
        <v>392.35</v>
      </c>
      <c r="G28" s="53">
        <v>392.35</v>
      </c>
      <c r="H28" s="53">
        <v>392.35</v>
      </c>
      <c r="I28" s="53">
        <v>0</v>
      </c>
      <c r="J28" s="54">
        <v>0</v>
      </c>
      <c r="K28" s="53">
        <v>409.64</v>
      </c>
      <c r="L28" s="53">
        <v>409.64</v>
      </c>
      <c r="M28" s="53">
        <v>409.64</v>
      </c>
      <c r="N28" s="53">
        <v>0</v>
      </c>
      <c r="O28" s="54">
        <v>0</v>
      </c>
      <c r="P28" s="53">
        <v>433.22</v>
      </c>
      <c r="Q28" s="53">
        <v>433.22</v>
      </c>
      <c r="R28" s="53">
        <v>433.22</v>
      </c>
      <c r="S28" s="53">
        <v>0</v>
      </c>
      <c r="T28" s="54">
        <v>0</v>
      </c>
      <c r="U28" s="53">
        <v>446.35</v>
      </c>
      <c r="V28" s="53">
        <v>446.35</v>
      </c>
      <c r="W28" s="53">
        <v>446.35</v>
      </c>
      <c r="X28" s="53">
        <v>0</v>
      </c>
      <c r="Y28" s="54">
        <v>0</v>
      </c>
    </row>
    <row r="29" spans="1:25" x14ac:dyDescent="0.2">
      <c r="A29" s="50" t="s">
        <v>133</v>
      </c>
      <c r="B29" s="51" t="s">
        <v>65</v>
      </c>
      <c r="C29" s="51" t="s">
        <v>117</v>
      </c>
      <c r="D29" s="52">
        <v>27399</v>
      </c>
      <c r="E29" s="51" t="s">
        <v>113</v>
      </c>
      <c r="F29" s="53">
        <v>1006.93</v>
      </c>
      <c r="G29" s="53">
        <v>546.29999999999995</v>
      </c>
      <c r="H29" s="53">
        <v>546.29999999999995</v>
      </c>
      <c r="I29" s="53">
        <v>0</v>
      </c>
      <c r="J29" s="54">
        <v>0</v>
      </c>
      <c r="K29" s="53">
        <v>1051.32</v>
      </c>
      <c r="L29" s="53">
        <v>570.38</v>
      </c>
      <c r="M29" s="53">
        <v>570.38</v>
      </c>
      <c r="N29" s="53">
        <v>0</v>
      </c>
      <c r="O29" s="54">
        <v>0</v>
      </c>
      <c r="P29" s="53">
        <v>1111.83</v>
      </c>
      <c r="Q29" s="53">
        <v>603.21</v>
      </c>
      <c r="R29" s="53">
        <v>603.21</v>
      </c>
      <c r="S29" s="53">
        <v>0</v>
      </c>
      <c r="T29" s="54">
        <v>0</v>
      </c>
      <c r="U29" s="53">
        <v>1145.53</v>
      </c>
      <c r="V29" s="53">
        <v>621.49</v>
      </c>
      <c r="W29" s="53">
        <v>621.49</v>
      </c>
      <c r="X29" s="53">
        <v>0</v>
      </c>
      <c r="Y29" s="54">
        <v>0</v>
      </c>
    </row>
    <row r="30" spans="1:25" x14ac:dyDescent="0.2">
      <c r="A30" s="50" t="s">
        <v>134</v>
      </c>
      <c r="B30" s="51" t="s">
        <v>107</v>
      </c>
      <c r="C30" s="51"/>
      <c r="D30" s="52">
        <v>29502</v>
      </c>
      <c r="E30" s="51" t="s">
        <v>113</v>
      </c>
      <c r="F30" s="53"/>
      <c r="G30" s="53">
        <v>460.63</v>
      </c>
      <c r="H30" s="53">
        <v>460.63</v>
      </c>
      <c r="I30" s="53">
        <v>0</v>
      </c>
      <c r="J30" s="54"/>
      <c r="K30" s="53"/>
      <c r="L30" s="53">
        <v>480.94</v>
      </c>
      <c r="M30" s="53">
        <v>480.94</v>
      </c>
      <c r="N30" s="53">
        <v>0</v>
      </c>
      <c r="O30" s="54"/>
      <c r="P30" s="53"/>
      <c r="Q30" s="53">
        <v>508.62</v>
      </c>
      <c r="R30" s="53">
        <v>508.62</v>
      </c>
      <c r="S30" s="53">
        <v>0</v>
      </c>
      <c r="T30" s="54"/>
      <c r="U30" s="53"/>
      <c r="V30" s="53">
        <v>524.04</v>
      </c>
      <c r="W30" s="53">
        <v>524.04</v>
      </c>
      <c r="X30" s="53">
        <v>0</v>
      </c>
      <c r="Y30" s="54"/>
    </row>
    <row r="31" spans="1:25" x14ac:dyDescent="0.2">
      <c r="A31" s="50" t="s">
        <v>135</v>
      </c>
      <c r="B31" s="51" t="s">
        <v>65</v>
      </c>
      <c r="C31" s="51" t="s">
        <v>104</v>
      </c>
      <c r="D31" s="52">
        <v>24592</v>
      </c>
      <c r="E31" s="51" t="s">
        <v>111</v>
      </c>
      <c r="F31" s="53">
        <v>1771.21</v>
      </c>
      <c r="G31" s="53">
        <v>695.07</v>
      </c>
      <c r="H31" s="53">
        <v>695.07</v>
      </c>
      <c r="I31" s="53">
        <v>0</v>
      </c>
      <c r="J31" s="54">
        <v>0</v>
      </c>
      <c r="K31" s="53">
        <v>1849.28</v>
      </c>
      <c r="L31" s="53">
        <v>725.71</v>
      </c>
      <c r="M31" s="53">
        <v>725.71</v>
      </c>
      <c r="N31" s="53">
        <v>0</v>
      </c>
      <c r="O31" s="54">
        <v>0</v>
      </c>
      <c r="P31" s="53">
        <v>1955.7</v>
      </c>
      <c r="Q31" s="53">
        <v>767.47</v>
      </c>
      <c r="R31" s="53">
        <v>767.47</v>
      </c>
      <c r="S31" s="53">
        <v>0</v>
      </c>
      <c r="T31" s="54">
        <v>0</v>
      </c>
      <c r="U31" s="53">
        <v>2014.98</v>
      </c>
      <c r="V31" s="53">
        <v>790.73</v>
      </c>
      <c r="W31" s="53">
        <v>790.73</v>
      </c>
      <c r="X31" s="53">
        <v>0</v>
      </c>
      <c r="Y31" s="54">
        <v>0</v>
      </c>
    </row>
    <row r="32" spans="1:25" x14ac:dyDescent="0.2">
      <c r="A32" s="50" t="s">
        <v>136</v>
      </c>
      <c r="B32" s="51" t="s">
        <v>107</v>
      </c>
      <c r="C32" s="51"/>
      <c r="D32" s="52">
        <v>22616</v>
      </c>
      <c r="E32" s="51" t="s">
        <v>111</v>
      </c>
      <c r="F32" s="53"/>
      <c r="G32" s="53">
        <v>695.07</v>
      </c>
      <c r="H32" s="53">
        <v>695.07</v>
      </c>
      <c r="I32" s="53">
        <v>0</v>
      </c>
      <c r="J32" s="54"/>
      <c r="K32" s="53"/>
      <c r="L32" s="53">
        <v>725.71</v>
      </c>
      <c r="M32" s="53">
        <v>725.71</v>
      </c>
      <c r="N32" s="53">
        <v>0</v>
      </c>
      <c r="O32" s="54"/>
      <c r="P32" s="53"/>
      <c r="Q32" s="53">
        <v>767.47</v>
      </c>
      <c r="R32" s="53">
        <v>767.47</v>
      </c>
      <c r="S32" s="53">
        <v>0</v>
      </c>
      <c r="T32" s="54"/>
      <c r="U32" s="53"/>
      <c r="V32" s="53">
        <v>790.73</v>
      </c>
      <c r="W32" s="53">
        <v>790.73</v>
      </c>
      <c r="X32" s="53">
        <v>0</v>
      </c>
      <c r="Y32" s="54"/>
    </row>
    <row r="33" spans="1:25" x14ac:dyDescent="0.2">
      <c r="A33" s="50" t="s">
        <v>137</v>
      </c>
      <c r="B33" s="51" t="s">
        <v>109</v>
      </c>
      <c r="C33" s="51"/>
      <c r="D33" s="52">
        <v>37842</v>
      </c>
      <c r="E33" s="51" t="s">
        <v>111</v>
      </c>
      <c r="F33" s="53"/>
      <c r="G33" s="53">
        <v>381.07</v>
      </c>
      <c r="H33" s="53">
        <v>381.07</v>
      </c>
      <c r="I33" s="53">
        <v>0</v>
      </c>
      <c r="J33" s="54"/>
      <c r="K33" s="53"/>
      <c r="L33" s="53">
        <v>397.86</v>
      </c>
      <c r="M33" s="53">
        <v>397.86</v>
      </c>
      <c r="N33" s="53">
        <v>0</v>
      </c>
      <c r="O33" s="54"/>
      <c r="P33" s="53"/>
      <c r="Q33" s="53">
        <v>420.76</v>
      </c>
      <c r="R33" s="53">
        <v>420.76</v>
      </c>
      <c r="S33" s="53">
        <v>0</v>
      </c>
      <c r="T33" s="54"/>
      <c r="U33" s="53"/>
      <c r="V33" s="53">
        <v>433.52</v>
      </c>
      <c r="W33" s="53">
        <v>433.52</v>
      </c>
      <c r="X33" s="53">
        <v>0</v>
      </c>
      <c r="Y33" s="54"/>
    </row>
    <row r="34" spans="1:25" x14ac:dyDescent="0.2">
      <c r="A34" s="50" t="s">
        <v>138</v>
      </c>
      <c r="B34" s="51" t="s">
        <v>65</v>
      </c>
      <c r="C34" s="51" t="s">
        <v>65</v>
      </c>
      <c r="D34" s="52">
        <v>35401</v>
      </c>
      <c r="E34" s="51" t="s">
        <v>113</v>
      </c>
      <c r="F34" s="53">
        <v>388.69</v>
      </c>
      <c r="G34" s="53">
        <v>388.69</v>
      </c>
      <c r="H34" s="53">
        <v>388.69</v>
      </c>
      <c r="I34" s="53">
        <v>0</v>
      </c>
      <c r="J34" s="54">
        <v>0</v>
      </c>
      <c r="K34" s="53">
        <v>405.82</v>
      </c>
      <c r="L34" s="53">
        <v>405.82</v>
      </c>
      <c r="M34" s="53">
        <v>405.82</v>
      </c>
      <c r="N34" s="53">
        <v>0</v>
      </c>
      <c r="O34" s="54">
        <v>0</v>
      </c>
      <c r="P34" s="53">
        <v>429.18</v>
      </c>
      <c r="Q34" s="53">
        <v>429.18</v>
      </c>
      <c r="R34" s="53">
        <v>429.18</v>
      </c>
      <c r="S34" s="53">
        <v>0</v>
      </c>
      <c r="T34" s="54">
        <v>0</v>
      </c>
      <c r="U34" s="53">
        <v>442.19</v>
      </c>
      <c r="V34" s="53">
        <v>442.19</v>
      </c>
      <c r="W34" s="53">
        <v>442.19</v>
      </c>
      <c r="X34" s="53">
        <v>0</v>
      </c>
      <c r="Y34" s="54">
        <v>0</v>
      </c>
    </row>
    <row r="35" spans="1:25" x14ac:dyDescent="0.2">
      <c r="A35" s="50" t="s">
        <v>139</v>
      </c>
      <c r="B35" s="51" t="s">
        <v>65</v>
      </c>
      <c r="C35" s="51" t="s">
        <v>65</v>
      </c>
      <c r="D35" s="52">
        <v>35453</v>
      </c>
      <c r="E35" s="51" t="s">
        <v>113</v>
      </c>
      <c r="F35" s="53">
        <v>388.69</v>
      </c>
      <c r="G35" s="53">
        <v>388.69</v>
      </c>
      <c r="H35" s="53">
        <v>388.69</v>
      </c>
      <c r="I35" s="53">
        <v>0</v>
      </c>
      <c r="J35" s="54">
        <v>0</v>
      </c>
      <c r="K35" s="53">
        <v>405.82</v>
      </c>
      <c r="L35" s="53">
        <v>405.82</v>
      </c>
      <c r="M35" s="53">
        <v>405.82</v>
      </c>
      <c r="N35" s="53">
        <v>0</v>
      </c>
      <c r="O35" s="54">
        <v>0</v>
      </c>
      <c r="P35" s="53">
        <v>429.18</v>
      </c>
      <c r="Q35" s="53">
        <v>429.18</v>
      </c>
      <c r="R35" s="53">
        <v>429.18</v>
      </c>
      <c r="S35" s="53">
        <v>0</v>
      </c>
      <c r="T35" s="54">
        <v>0</v>
      </c>
      <c r="U35" s="53">
        <v>442.19</v>
      </c>
      <c r="V35" s="53">
        <v>442.19</v>
      </c>
      <c r="W35" s="53">
        <v>442.19</v>
      </c>
      <c r="X35" s="53">
        <v>0</v>
      </c>
      <c r="Y35" s="54">
        <v>0</v>
      </c>
    </row>
    <row r="36" spans="1:25" x14ac:dyDescent="0.2">
      <c r="A36" s="50" t="s">
        <v>140</v>
      </c>
      <c r="B36" s="51" t="s">
        <v>65</v>
      </c>
      <c r="C36" s="51" t="s">
        <v>65</v>
      </c>
      <c r="D36" s="52">
        <v>34864</v>
      </c>
      <c r="E36" s="51" t="s">
        <v>118</v>
      </c>
      <c r="F36" s="53">
        <v>392.35</v>
      </c>
      <c r="G36" s="53">
        <v>392.35</v>
      </c>
      <c r="H36" s="53">
        <v>392.35</v>
      </c>
      <c r="I36" s="53">
        <v>0</v>
      </c>
      <c r="J36" s="54">
        <v>0</v>
      </c>
      <c r="K36" s="53">
        <v>409.64</v>
      </c>
      <c r="L36" s="53">
        <v>409.64</v>
      </c>
      <c r="M36" s="53">
        <v>409.64</v>
      </c>
      <c r="N36" s="53">
        <v>0</v>
      </c>
      <c r="O36" s="54">
        <v>0</v>
      </c>
      <c r="P36" s="53">
        <v>433.22</v>
      </c>
      <c r="Q36" s="53">
        <v>433.22</v>
      </c>
      <c r="R36" s="53">
        <v>433.22</v>
      </c>
      <c r="S36" s="53">
        <v>0</v>
      </c>
      <c r="T36" s="54">
        <v>0</v>
      </c>
      <c r="U36" s="53">
        <v>446.35</v>
      </c>
      <c r="V36" s="53">
        <v>446.35</v>
      </c>
      <c r="W36" s="53">
        <v>446.35</v>
      </c>
      <c r="X36" s="53">
        <v>0</v>
      </c>
      <c r="Y36" s="54">
        <v>0</v>
      </c>
    </row>
    <row r="37" spans="1:25" x14ac:dyDescent="0.2">
      <c r="A37" s="50" t="s">
        <v>141</v>
      </c>
      <c r="B37" s="51" t="s">
        <v>65</v>
      </c>
      <c r="C37" s="51" t="s">
        <v>104</v>
      </c>
      <c r="D37" s="52">
        <v>26666</v>
      </c>
      <c r="E37" s="51" t="s">
        <v>118</v>
      </c>
      <c r="F37" s="53">
        <v>1742.24</v>
      </c>
      <c r="G37" s="53">
        <v>579.83000000000004</v>
      </c>
      <c r="H37" s="53">
        <v>579.83000000000004</v>
      </c>
      <c r="I37" s="53">
        <v>0</v>
      </c>
      <c r="J37" s="54">
        <v>0</v>
      </c>
      <c r="K37" s="53">
        <v>1819.03</v>
      </c>
      <c r="L37" s="53">
        <v>605.39</v>
      </c>
      <c r="M37" s="53">
        <v>605.39</v>
      </c>
      <c r="N37" s="53">
        <v>0</v>
      </c>
      <c r="O37" s="54">
        <v>0</v>
      </c>
      <c r="P37" s="53">
        <v>1923.72</v>
      </c>
      <c r="Q37" s="53">
        <v>640.23</v>
      </c>
      <c r="R37" s="53">
        <v>640.23</v>
      </c>
      <c r="S37" s="53">
        <v>0</v>
      </c>
      <c r="T37" s="54">
        <v>0</v>
      </c>
      <c r="U37" s="53">
        <v>1982.04</v>
      </c>
      <c r="V37" s="53">
        <v>659.64</v>
      </c>
      <c r="W37" s="53">
        <v>659.64</v>
      </c>
      <c r="X37" s="53">
        <v>0</v>
      </c>
      <c r="Y37" s="54">
        <v>0</v>
      </c>
    </row>
    <row r="38" spans="1:25" x14ac:dyDescent="0.2">
      <c r="A38" s="50" t="s">
        <v>142</v>
      </c>
      <c r="B38" s="51" t="s">
        <v>107</v>
      </c>
      <c r="C38" s="51"/>
      <c r="D38" s="52">
        <v>28717</v>
      </c>
      <c r="E38" s="51" t="s">
        <v>118</v>
      </c>
      <c r="F38" s="53"/>
      <c r="G38" s="53">
        <v>485.63</v>
      </c>
      <c r="H38" s="53">
        <v>485.63</v>
      </c>
      <c r="I38" s="53">
        <v>0</v>
      </c>
      <c r="J38" s="54"/>
      <c r="K38" s="53"/>
      <c r="L38" s="53">
        <v>507.04</v>
      </c>
      <c r="M38" s="53">
        <v>507.04</v>
      </c>
      <c r="N38" s="53">
        <v>0</v>
      </c>
      <c r="O38" s="54"/>
      <c r="P38" s="53"/>
      <c r="Q38" s="53">
        <v>536.22</v>
      </c>
      <c r="R38" s="53">
        <v>536.22</v>
      </c>
      <c r="S38" s="53">
        <v>0</v>
      </c>
      <c r="T38" s="54"/>
      <c r="U38" s="53"/>
      <c r="V38" s="53">
        <v>552.47</v>
      </c>
      <c r="W38" s="53">
        <v>552.47</v>
      </c>
      <c r="X38" s="53">
        <v>0</v>
      </c>
      <c r="Y38" s="54"/>
    </row>
    <row r="39" spans="1:25" x14ac:dyDescent="0.2">
      <c r="A39" s="50" t="s">
        <v>143</v>
      </c>
      <c r="B39" s="51" t="s">
        <v>109</v>
      </c>
      <c r="C39" s="51"/>
      <c r="D39" s="52">
        <v>37384</v>
      </c>
      <c r="E39" s="51" t="s">
        <v>118</v>
      </c>
      <c r="F39" s="53"/>
      <c r="G39" s="53">
        <v>381.07</v>
      </c>
      <c r="H39" s="53">
        <v>381.07</v>
      </c>
      <c r="I39" s="53">
        <v>0</v>
      </c>
      <c r="J39" s="54"/>
      <c r="K39" s="53"/>
      <c r="L39" s="53">
        <v>397.86</v>
      </c>
      <c r="M39" s="53">
        <v>397.86</v>
      </c>
      <c r="N39" s="53">
        <v>0</v>
      </c>
      <c r="O39" s="54"/>
      <c r="P39" s="53"/>
      <c r="Q39" s="53">
        <v>420.76</v>
      </c>
      <c r="R39" s="53">
        <v>420.76</v>
      </c>
      <c r="S39" s="53">
        <v>0</v>
      </c>
      <c r="T39" s="54"/>
      <c r="U39" s="53"/>
      <c r="V39" s="53">
        <v>433.52</v>
      </c>
      <c r="W39" s="53">
        <v>433.52</v>
      </c>
      <c r="X39" s="53">
        <v>0</v>
      </c>
      <c r="Y39" s="54"/>
    </row>
    <row r="40" spans="1:25" x14ac:dyDescent="0.2">
      <c r="A40" s="50" t="s">
        <v>144</v>
      </c>
      <c r="B40" s="51" t="s">
        <v>109</v>
      </c>
      <c r="C40" s="51"/>
      <c r="D40" s="52">
        <v>38688</v>
      </c>
      <c r="E40" s="51" t="s">
        <v>118</v>
      </c>
      <c r="F40" s="53"/>
      <c r="G40" s="53">
        <v>295.70999999999998</v>
      </c>
      <c r="H40" s="53">
        <v>295.70999999999998</v>
      </c>
      <c r="I40" s="53">
        <v>0</v>
      </c>
      <c r="J40" s="54"/>
      <c r="K40" s="53"/>
      <c r="L40" s="53">
        <v>308.74</v>
      </c>
      <c r="M40" s="53">
        <v>308.74</v>
      </c>
      <c r="N40" s="53">
        <v>0</v>
      </c>
      <c r="O40" s="54"/>
      <c r="P40" s="53"/>
      <c r="Q40" s="53">
        <v>326.51</v>
      </c>
      <c r="R40" s="53">
        <v>326.51</v>
      </c>
      <c r="S40" s="53">
        <v>0</v>
      </c>
      <c r="T40" s="54"/>
      <c r="U40" s="53"/>
      <c r="V40" s="53">
        <v>336.41</v>
      </c>
      <c r="W40" s="53">
        <v>336.41</v>
      </c>
      <c r="X40" s="53">
        <v>0</v>
      </c>
      <c r="Y40" s="54"/>
    </row>
    <row r="41" spans="1:25" x14ac:dyDescent="0.2">
      <c r="A41" s="50" t="s">
        <v>145</v>
      </c>
      <c r="B41" s="51" t="s">
        <v>65</v>
      </c>
      <c r="C41" s="51" t="s">
        <v>65</v>
      </c>
      <c r="D41" s="52">
        <v>36146</v>
      </c>
      <c r="E41" s="51" t="s">
        <v>111</v>
      </c>
      <c r="F41" s="53">
        <v>381.07</v>
      </c>
      <c r="G41" s="53">
        <v>381.07</v>
      </c>
      <c r="H41" s="53">
        <v>381.07</v>
      </c>
      <c r="I41" s="53">
        <v>0</v>
      </c>
      <c r="J41" s="54">
        <v>0</v>
      </c>
      <c r="K41" s="53">
        <v>397.86</v>
      </c>
      <c r="L41" s="53">
        <v>397.86</v>
      </c>
      <c r="M41" s="53">
        <v>397.86</v>
      </c>
      <c r="N41" s="53">
        <v>0</v>
      </c>
      <c r="O41" s="54">
        <v>0</v>
      </c>
      <c r="P41" s="53">
        <v>420.76</v>
      </c>
      <c r="Q41" s="53">
        <v>420.76</v>
      </c>
      <c r="R41" s="53">
        <v>420.76</v>
      </c>
      <c r="S41" s="53">
        <v>0</v>
      </c>
      <c r="T41" s="54">
        <v>0</v>
      </c>
      <c r="U41" s="53">
        <v>433.52</v>
      </c>
      <c r="V41" s="53">
        <v>433.52</v>
      </c>
      <c r="W41" s="53">
        <v>433.52</v>
      </c>
      <c r="X41" s="53">
        <v>0</v>
      </c>
      <c r="Y41" s="54">
        <v>0</v>
      </c>
    </row>
    <row r="42" spans="1:25" x14ac:dyDescent="0.2">
      <c r="A42" s="50" t="s">
        <v>146</v>
      </c>
      <c r="B42" s="51" t="s">
        <v>65</v>
      </c>
      <c r="C42" s="51" t="s">
        <v>65</v>
      </c>
      <c r="D42" s="52">
        <v>35249</v>
      </c>
      <c r="E42" s="51" t="s">
        <v>147</v>
      </c>
      <c r="F42" s="53">
        <v>388.69</v>
      </c>
      <c r="G42" s="53">
        <v>388.69</v>
      </c>
      <c r="H42" s="53">
        <v>388.69</v>
      </c>
      <c r="I42" s="53">
        <v>0</v>
      </c>
      <c r="J42" s="54">
        <v>0</v>
      </c>
      <c r="K42" s="53">
        <v>405.82</v>
      </c>
      <c r="L42" s="53">
        <v>405.82</v>
      </c>
      <c r="M42" s="53">
        <v>405.82</v>
      </c>
      <c r="N42" s="53">
        <v>0</v>
      </c>
      <c r="O42" s="54">
        <v>0</v>
      </c>
      <c r="P42" s="53">
        <v>429.18</v>
      </c>
      <c r="Q42" s="53">
        <v>429.18</v>
      </c>
      <c r="R42" s="53">
        <v>429.18</v>
      </c>
      <c r="S42" s="53">
        <v>0</v>
      </c>
      <c r="T42" s="54">
        <v>0</v>
      </c>
      <c r="U42" s="53">
        <v>442.19</v>
      </c>
      <c r="V42" s="53">
        <v>442.19</v>
      </c>
      <c r="W42" s="53">
        <v>442.19</v>
      </c>
      <c r="X42" s="53">
        <v>0</v>
      </c>
      <c r="Y42" s="54">
        <v>0</v>
      </c>
    </row>
    <row r="43" spans="1:25" ht="16.149999999999999" customHeight="1" x14ac:dyDescent="0.2">
      <c r="A43" s="226" t="s">
        <v>81</v>
      </c>
      <c r="B43" s="227"/>
      <c r="C43" s="227"/>
      <c r="D43" s="227"/>
      <c r="E43" s="227"/>
      <c r="F43" s="211" t="s">
        <v>47</v>
      </c>
      <c r="G43" s="212"/>
      <c r="H43" s="212"/>
      <c r="I43" s="212"/>
      <c r="J43" s="213"/>
      <c r="K43" s="211" t="s">
        <v>48</v>
      </c>
      <c r="L43" s="212"/>
      <c r="M43" s="212"/>
      <c r="N43" s="212"/>
      <c r="O43" s="213"/>
      <c r="P43" s="211" t="s">
        <v>49</v>
      </c>
      <c r="Q43" s="212"/>
      <c r="R43" s="212"/>
      <c r="S43" s="212"/>
      <c r="T43" s="213"/>
      <c r="U43" s="211" t="s">
        <v>50</v>
      </c>
      <c r="V43" s="212"/>
      <c r="W43" s="212"/>
      <c r="X43" s="212"/>
      <c r="Y43" s="213"/>
    </row>
    <row r="44" spans="1:25" ht="13.9" customHeight="1" x14ac:dyDescent="0.2">
      <c r="A44" s="228" t="s">
        <v>82</v>
      </c>
      <c r="B44" s="229"/>
      <c r="C44" s="229"/>
      <c r="D44" s="229"/>
      <c r="E44" s="229"/>
      <c r="F44" s="214">
        <v>4956.03</v>
      </c>
      <c r="G44" s="215"/>
      <c r="H44" s="215"/>
      <c r="I44" s="215"/>
      <c r="J44" s="216"/>
      <c r="K44" s="214">
        <v>5174.4799999999996</v>
      </c>
      <c r="L44" s="215"/>
      <c r="M44" s="215"/>
      <c r="N44" s="215"/>
      <c r="O44" s="216"/>
      <c r="P44" s="214">
        <v>5472.26</v>
      </c>
      <c r="Q44" s="215"/>
      <c r="R44" s="215"/>
      <c r="S44" s="215"/>
      <c r="T44" s="216"/>
      <c r="U44" s="214">
        <v>5638.13</v>
      </c>
      <c r="V44" s="215"/>
      <c r="W44" s="215"/>
      <c r="X44" s="215"/>
      <c r="Y44" s="216"/>
    </row>
    <row r="45" spans="1:25" ht="13.9" customHeight="1" x14ac:dyDescent="0.2">
      <c r="A45" s="230" t="s">
        <v>83</v>
      </c>
      <c r="B45" s="231"/>
      <c r="C45" s="231"/>
      <c r="D45" s="231"/>
      <c r="E45" s="231"/>
      <c r="F45" s="208">
        <f>F44*12</f>
        <v>59472.36</v>
      </c>
      <c r="G45" s="209"/>
      <c r="H45" s="209"/>
      <c r="I45" s="209"/>
      <c r="J45" s="210"/>
      <c r="K45" s="208">
        <f>K44*12</f>
        <v>62093.759999999995</v>
      </c>
      <c r="L45" s="209"/>
      <c r="M45" s="209"/>
      <c r="N45" s="209"/>
      <c r="O45" s="210"/>
      <c r="P45" s="208">
        <f>P44*12</f>
        <v>65667.12</v>
      </c>
      <c r="Q45" s="209"/>
      <c r="R45" s="209"/>
      <c r="S45" s="209"/>
      <c r="T45" s="210"/>
      <c r="U45" s="208">
        <f>U44*12</f>
        <v>67657.56</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3F00-000000000000}"/>
    <hyperlink ref="F46" r:id="rId2" xr:uid="{00000000-0004-0000-3F00-000001000000}"/>
    <hyperlink ref="K7" r:id="rId3" xr:uid="{00000000-0004-0000-3F00-000002000000}"/>
    <hyperlink ref="K46" r:id="rId4" xr:uid="{00000000-0004-0000-3F00-000003000000}"/>
    <hyperlink ref="P7" r:id="rId5" xr:uid="{00000000-0004-0000-3F00-000004000000}"/>
    <hyperlink ref="P46" r:id="rId6" xr:uid="{00000000-0004-0000-3F00-000005000000}"/>
    <hyperlink ref="U7" r:id="rId7" xr:uid="{00000000-0004-0000-3F00-000006000000}"/>
    <hyperlink ref="U46" r:id="rId8" xr:uid="{00000000-0004-0000-3F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B24F-1AE4-45FB-BF2C-A3E90BC6825E}">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152</v>
      </c>
      <c r="G6" s="122"/>
      <c r="H6" s="122"/>
      <c r="I6" s="122"/>
      <c r="J6" s="124"/>
      <c r="K6" s="121" t="s">
        <v>154</v>
      </c>
      <c r="L6" s="122"/>
      <c r="M6" s="122"/>
      <c r="N6" s="122"/>
      <c r="O6" s="124"/>
      <c r="P6" s="121" t="s">
        <v>156</v>
      </c>
      <c r="Q6" s="122"/>
      <c r="R6" s="122"/>
      <c r="S6" s="122"/>
      <c r="T6" s="124"/>
      <c r="U6" s="121" t="s">
        <v>158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153</v>
      </c>
      <c r="G8" s="233"/>
      <c r="H8" s="233"/>
      <c r="I8" s="233"/>
      <c r="J8" s="234"/>
      <c r="K8" s="232" t="s">
        <v>155</v>
      </c>
      <c r="L8" s="233"/>
      <c r="M8" s="233"/>
      <c r="N8" s="233"/>
      <c r="O8" s="234"/>
      <c r="P8" s="232" t="s">
        <v>157</v>
      </c>
      <c r="Q8" s="233"/>
      <c r="R8" s="233"/>
      <c r="S8" s="233"/>
      <c r="T8" s="234"/>
      <c r="U8" s="232" t="s">
        <v>159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1754.01</v>
      </c>
      <c r="G10" s="53">
        <v>801.27</v>
      </c>
      <c r="H10" s="53">
        <v>801.27</v>
      </c>
      <c r="I10" s="53">
        <v>0</v>
      </c>
      <c r="J10" s="54">
        <v>0</v>
      </c>
      <c r="K10" s="53">
        <v>1911.09</v>
      </c>
      <c r="L10" s="53">
        <v>873.03</v>
      </c>
      <c r="M10" s="53">
        <v>873.03</v>
      </c>
      <c r="N10" s="53">
        <v>0</v>
      </c>
      <c r="O10" s="54">
        <v>0</v>
      </c>
      <c r="P10" s="53">
        <v>2152.44</v>
      </c>
      <c r="Q10" s="53">
        <v>983.28</v>
      </c>
      <c r="R10" s="53">
        <v>983.28</v>
      </c>
      <c r="S10" s="53">
        <v>0</v>
      </c>
      <c r="T10" s="54">
        <v>0</v>
      </c>
      <c r="U10" s="53">
        <v>2228.04</v>
      </c>
      <c r="V10" s="53">
        <v>1017.82</v>
      </c>
      <c r="W10" s="53">
        <v>1017.82</v>
      </c>
      <c r="X10" s="53">
        <v>0</v>
      </c>
      <c r="Y10" s="54">
        <v>0</v>
      </c>
    </row>
    <row r="11" spans="1:25" x14ac:dyDescent="0.2">
      <c r="A11" s="50" t="s">
        <v>106</v>
      </c>
      <c r="B11" s="51" t="s">
        <v>107</v>
      </c>
      <c r="C11" s="51"/>
      <c r="D11" s="52">
        <v>27837</v>
      </c>
      <c r="E11" s="51" t="s">
        <v>105</v>
      </c>
      <c r="F11" s="53"/>
      <c r="G11" s="53">
        <v>611.85</v>
      </c>
      <c r="H11" s="53">
        <v>611.85</v>
      </c>
      <c r="I11" s="53">
        <v>0</v>
      </c>
      <c r="J11" s="54"/>
      <c r="K11" s="53"/>
      <c r="L11" s="53">
        <v>666.64</v>
      </c>
      <c r="M11" s="53">
        <v>666.64</v>
      </c>
      <c r="N11" s="53">
        <v>0</v>
      </c>
      <c r="O11" s="54"/>
      <c r="P11" s="53"/>
      <c r="Q11" s="53">
        <v>750.83</v>
      </c>
      <c r="R11" s="53">
        <v>750.83</v>
      </c>
      <c r="S11" s="53">
        <v>0</v>
      </c>
      <c r="T11" s="54"/>
      <c r="U11" s="53"/>
      <c r="V11" s="53">
        <v>777.2</v>
      </c>
      <c r="W11" s="53">
        <v>777.2</v>
      </c>
      <c r="X11" s="53">
        <v>0</v>
      </c>
      <c r="Y11" s="54"/>
    </row>
    <row r="12" spans="1:25" x14ac:dyDescent="0.2">
      <c r="A12" s="50" t="s">
        <v>108</v>
      </c>
      <c r="B12" s="51" t="s">
        <v>109</v>
      </c>
      <c r="C12" s="51"/>
      <c r="D12" s="52">
        <v>38648</v>
      </c>
      <c r="E12" s="51" t="s">
        <v>105</v>
      </c>
      <c r="F12" s="53"/>
      <c r="G12" s="53">
        <v>340.89</v>
      </c>
      <c r="H12" s="53">
        <v>340.89</v>
      </c>
      <c r="I12" s="53">
        <v>0</v>
      </c>
      <c r="J12" s="54"/>
      <c r="K12" s="53"/>
      <c r="L12" s="53">
        <v>371.42</v>
      </c>
      <c r="M12" s="53">
        <v>371.42</v>
      </c>
      <c r="N12" s="53">
        <v>0</v>
      </c>
      <c r="O12" s="54"/>
      <c r="P12" s="53"/>
      <c r="Q12" s="53">
        <v>418.33</v>
      </c>
      <c r="R12" s="53">
        <v>418.33</v>
      </c>
      <c r="S12" s="53">
        <v>0</v>
      </c>
      <c r="T12" s="54"/>
      <c r="U12" s="53"/>
      <c r="V12" s="53">
        <v>433.02</v>
      </c>
      <c r="W12" s="53">
        <v>433.02</v>
      </c>
      <c r="X12" s="53">
        <v>0</v>
      </c>
      <c r="Y12" s="54"/>
    </row>
    <row r="13" spans="1:25" x14ac:dyDescent="0.2">
      <c r="A13" s="50" t="s">
        <v>110</v>
      </c>
      <c r="B13" s="51" t="s">
        <v>65</v>
      </c>
      <c r="C13" s="51" t="s">
        <v>65</v>
      </c>
      <c r="D13" s="52">
        <v>36345</v>
      </c>
      <c r="E13" s="51" t="s">
        <v>111</v>
      </c>
      <c r="F13" s="53">
        <v>439.29</v>
      </c>
      <c r="G13" s="53">
        <v>439.29</v>
      </c>
      <c r="H13" s="53">
        <v>439.29</v>
      </c>
      <c r="I13" s="53">
        <v>0</v>
      </c>
      <c r="J13" s="54">
        <v>0</v>
      </c>
      <c r="K13" s="53">
        <v>478.64</v>
      </c>
      <c r="L13" s="53">
        <v>478.64</v>
      </c>
      <c r="M13" s="53">
        <v>478.64</v>
      </c>
      <c r="N13" s="53">
        <v>0</v>
      </c>
      <c r="O13" s="54">
        <v>0</v>
      </c>
      <c r="P13" s="53">
        <v>539.08000000000004</v>
      </c>
      <c r="Q13" s="53">
        <v>539.08000000000004</v>
      </c>
      <c r="R13" s="53">
        <v>539.08000000000004</v>
      </c>
      <c r="S13" s="53">
        <v>0</v>
      </c>
      <c r="T13" s="54">
        <v>0</v>
      </c>
      <c r="U13" s="53">
        <v>558.01</v>
      </c>
      <c r="V13" s="53">
        <v>558.01</v>
      </c>
      <c r="W13" s="53">
        <v>558.01</v>
      </c>
      <c r="X13" s="53">
        <v>0</v>
      </c>
      <c r="Y13" s="54">
        <v>0</v>
      </c>
    </row>
    <row r="14" spans="1:25" x14ac:dyDescent="0.2">
      <c r="A14" s="50" t="s">
        <v>112</v>
      </c>
      <c r="B14" s="51" t="s">
        <v>65</v>
      </c>
      <c r="C14" s="51" t="s">
        <v>104</v>
      </c>
      <c r="D14" s="52">
        <v>24895</v>
      </c>
      <c r="E14" s="51" t="s">
        <v>113</v>
      </c>
      <c r="F14" s="53">
        <v>1917.42</v>
      </c>
      <c r="G14" s="53">
        <v>775.26</v>
      </c>
      <c r="H14" s="53">
        <v>775.26</v>
      </c>
      <c r="I14" s="53">
        <v>0</v>
      </c>
      <c r="J14" s="54">
        <v>0</v>
      </c>
      <c r="K14" s="53">
        <v>2089.15</v>
      </c>
      <c r="L14" s="53">
        <v>844.7</v>
      </c>
      <c r="M14" s="53">
        <v>844.7</v>
      </c>
      <c r="N14" s="53">
        <v>0</v>
      </c>
      <c r="O14" s="54">
        <v>0</v>
      </c>
      <c r="P14" s="53">
        <v>2352.98</v>
      </c>
      <c r="Q14" s="53">
        <v>951.37</v>
      </c>
      <c r="R14" s="53">
        <v>951.37</v>
      </c>
      <c r="S14" s="53">
        <v>0</v>
      </c>
      <c r="T14" s="54">
        <v>0</v>
      </c>
      <c r="U14" s="53">
        <v>2435.62</v>
      </c>
      <c r="V14" s="53">
        <v>984.78</v>
      </c>
      <c r="W14" s="53">
        <v>984.78</v>
      </c>
      <c r="X14" s="53">
        <v>0</v>
      </c>
      <c r="Y14" s="54">
        <v>0</v>
      </c>
    </row>
    <row r="15" spans="1:25" x14ac:dyDescent="0.2">
      <c r="A15" s="50" t="s">
        <v>114</v>
      </c>
      <c r="B15" s="51" t="s">
        <v>107</v>
      </c>
      <c r="C15" s="51"/>
      <c r="D15" s="52">
        <v>24269</v>
      </c>
      <c r="E15" s="51" t="s">
        <v>113</v>
      </c>
      <c r="F15" s="53"/>
      <c r="G15" s="53">
        <v>801.27</v>
      </c>
      <c r="H15" s="53">
        <v>801.27</v>
      </c>
      <c r="I15" s="53">
        <v>0</v>
      </c>
      <c r="J15" s="54"/>
      <c r="K15" s="53"/>
      <c r="L15" s="53">
        <v>873.03</v>
      </c>
      <c r="M15" s="53">
        <v>873.03</v>
      </c>
      <c r="N15" s="53">
        <v>0</v>
      </c>
      <c r="O15" s="54"/>
      <c r="P15" s="53"/>
      <c r="Q15" s="53">
        <v>983.28</v>
      </c>
      <c r="R15" s="53">
        <v>983.28</v>
      </c>
      <c r="S15" s="53">
        <v>0</v>
      </c>
      <c r="T15" s="54"/>
      <c r="U15" s="53"/>
      <c r="V15" s="53">
        <v>1017.82</v>
      </c>
      <c r="W15" s="53">
        <v>1017.82</v>
      </c>
      <c r="X15" s="53">
        <v>0</v>
      </c>
      <c r="Y15" s="54"/>
    </row>
    <row r="16" spans="1:25" x14ac:dyDescent="0.2">
      <c r="A16" s="50" t="s">
        <v>115</v>
      </c>
      <c r="B16" s="51" t="s">
        <v>109</v>
      </c>
      <c r="C16" s="51"/>
      <c r="D16" s="52">
        <v>38614</v>
      </c>
      <c r="E16" s="51" t="s">
        <v>113</v>
      </c>
      <c r="F16" s="53"/>
      <c r="G16" s="53">
        <v>340.89</v>
      </c>
      <c r="H16" s="53">
        <v>340.89</v>
      </c>
      <c r="I16" s="53">
        <v>0</v>
      </c>
      <c r="J16" s="54"/>
      <c r="K16" s="53"/>
      <c r="L16" s="53">
        <v>371.42</v>
      </c>
      <c r="M16" s="53">
        <v>371.42</v>
      </c>
      <c r="N16" s="53">
        <v>0</v>
      </c>
      <c r="O16" s="54"/>
      <c r="P16" s="53"/>
      <c r="Q16" s="53">
        <v>418.33</v>
      </c>
      <c r="R16" s="53">
        <v>418.33</v>
      </c>
      <c r="S16" s="53">
        <v>0</v>
      </c>
      <c r="T16" s="54"/>
      <c r="U16" s="53"/>
      <c r="V16" s="53">
        <v>433.02</v>
      </c>
      <c r="W16" s="53">
        <v>433.02</v>
      </c>
      <c r="X16" s="53">
        <v>0</v>
      </c>
      <c r="Y16" s="54"/>
    </row>
    <row r="17" spans="1:25" x14ac:dyDescent="0.2">
      <c r="A17" s="50" t="s">
        <v>116</v>
      </c>
      <c r="B17" s="51" t="s">
        <v>65</v>
      </c>
      <c r="C17" s="51" t="s">
        <v>117</v>
      </c>
      <c r="D17" s="52">
        <v>18453</v>
      </c>
      <c r="E17" s="51" t="s">
        <v>118</v>
      </c>
      <c r="F17" s="53">
        <v>1602.54</v>
      </c>
      <c r="G17" s="53">
        <v>801.27</v>
      </c>
      <c r="H17" s="53">
        <v>801.27</v>
      </c>
      <c r="I17" s="53">
        <v>0</v>
      </c>
      <c r="J17" s="54">
        <v>0</v>
      </c>
      <c r="K17" s="53">
        <v>1746.06</v>
      </c>
      <c r="L17" s="53">
        <v>873.03</v>
      </c>
      <c r="M17" s="53">
        <v>873.03</v>
      </c>
      <c r="N17" s="53">
        <v>0</v>
      </c>
      <c r="O17" s="54">
        <v>0</v>
      </c>
      <c r="P17" s="53">
        <v>1966.56</v>
      </c>
      <c r="Q17" s="53">
        <v>983.28</v>
      </c>
      <c r="R17" s="53">
        <v>983.28</v>
      </c>
      <c r="S17" s="53">
        <v>0</v>
      </c>
      <c r="T17" s="54">
        <v>0</v>
      </c>
      <c r="U17" s="53">
        <v>2035.64</v>
      </c>
      <c r="V17" s="53">
        <v>1017.82</v>
      </c>
      <c r="W17" s="53">
        <v>1017.82</v>
      </c>
      <c r="X17" s="53">
        <v>0</v>
      </c>
      <c r="Y17" s="54">
        <v>0</v>
      </c>
    </row>
    <row r="18" spans="1:25" x14ac:dyDescent="0.2">
      <c r="A18" s="50" t="s">
        <v>119</v>
      </c>
      <c r="B18" s="51" t="s">
        <v>107</v>
      </c>
      <c r="C18" s="51"/>
      <c r="D18" s="52">
        <v>19761</v>
      </c>
      <c r="E18" s="51" t="s">
        <v>118</v>
      </c>
      <c r="F18" s="53"/>
      <c r="G18" s="53">
        <v>801.27</v>
      </c>
      <c r="H18" s="53">
        <v>801.27</v>
      </c>
      <c r="I18" s="53">
        <v>0</v>
      </c>
      <c r="J18" s="54"/>
      <c r="K18" s="53"/>
      <c r="L18" s="53">
        <v>873.03</v>
      </c>
      <c r="M18" s="53">
        <v>873.03</v>
      </c>
      <c r="N18" s="53">
        <v>0</v>
      </c>
      <c r="O18" s="54"/>
      <c r="P18" s="53"/>
      <c r="Q18" s="53">
        <v>983.28</v>
      </c>
      <c r="R18" s="53">
        <v>983.28</v>
      </c>
      <c r="S18" s="53">
        <v>0</v>
      </c>
      <c r="T18" s="54"/>
      <c r="U18" s="53"/>
      <c r="V18" s="53">
        <v>1017.82</v>
      </c>
      <c r="W18" s="53">
        <v>1017.82</v>
      </c>
      <c r="X18" s="53">
        <v>0</v>
      </c>
      <c r="Y18" s="54"/>
    </row>
    <row r="19" spans="1:25" x14ac:dyDescent="0.2">
      <c r="A19" s="50" t="s">
        <v>120</v>
      </c>
      <c r="B19" s="51" t="s">
        <v>65</v>
      </c>
      <c r="C19" s="51" t="s">
        <v>65</v>
      </c>
      <c r="D19" s="52">
        <v>35733</v>
      </c>
      <c r="E19" s="51" t="s">
        <v>121</v>
      </c>
      <c r="F19" s="53">
        <v>439.29</v>
      </c>
      <c r="G19" s="53">
        <v>439.29</v>
      </c>
      <c r="H19" s="53">
        <v>439.29</v>
      </c>
      <c r="I19" s="53">
        <v>0</v>
      </c>
      <c r="J19" s="54">
        <v>0</v>
      </c>
      <c r="K19" s="53">
        <v>478.64</v>
      </c>
      <c r="L19" s="53">
        <v>478.64</v>
      </c>
      <c r="M19" s="53">
        <v>478.64</v>
      </c>
      <c r="N19" s="53">
        <v>0</v>
      </c>
      <c r="O19" s="54">
        <v>0</v>
      </c>
      <c r="P19" s="53">
        <v>539.08000000000004</v>
      </c>
      <c r="Q19" s="53">
        <v>539.08000000000004</v>
      </c>
      <c r="R19" s="53">
        <v>539.08000000000004</v>
      </c>
      <c r="S19" s="53">
        <v>0</v>
      </c>
      <c r="T19" s="54">
        <v>0</v>
      </c>
      <c r="U19" s="53">
        <v>558.01</v>
      </c>
      <c r="V19" s="53">
        <v>558.01</v>
      </c>
      <c r="W19" s="53">
        <v>558.01</v>
      </c>
      <c r="X19" s="53">
        <v>0</v>
      </c>
      <c r="Y19" s="54">
        <v>0</v>
      </c>
    </row>
    <row r="20" spans="1:25" x14ac:dyDescent="0.2">
      <c r="A20" s="50" t="s">
        <v>122</v>
      </c>
      <c r="B20" s="51" t="s">
        <v>65</v>
      </c>
      <c r="C20" s="51" t="s">
        <v>104</v>
      </c>
      <c r="D20" s="52">
        <v>24958</v>
      </c>
      <c r="E20" s="51" t="s">
        <v>123</v>
      </c>
      <c r="F20" s="53">
        <v>2199.62</v>
      </c>
      <c r="G20" s="53">
        <v>775.26</v>
      </c>
      <c r="H20" s="53">
        <v>775.26</v>
      </c>
      <c r="I20" s="53">
        <v>0</v>
      </c>
      <c r="J20" s="54">
        <v>0</v>
      </c>
      <c r="K20" s="53">
        <v>2396.63</v>
      </c>
      <c r="L20" s="53">
        <v>844.7</v>
      </c>
      <c r="M20" s="53">
        <v>844.7</v>
      </c>
      <c r="N20" s="53">
        <v>0</v>
      </c>
      <c r="O20" s="54">
        <v>0</v>
      </c>
      <c r="P20" s="53">
        <v>2699.29</v>
      </c>
      <c r="Q20" s="53">
        <v>951.37</v>
      </c>
      <c r="R20" s="53">
        <v>951.37</v>
      </c>
      <c r="S20" s="53">
        <v>0</v>
      </c>
      <c r="T20" s="54">
        <v>0</v>
      </c>
      <c r="U20" s="53">
        <v>2794.08</v>
      </c>
      <c r="V20" s="53">
        <v>984.78</v>
      </c>
      <c r="W20" s="53">
        <v>984.78</v>
      </c>
      <c r="X20" s="53">
        <v>0</v>
      </c>
      <c r="Y20" s="54">
        <v>0</v>
      </c>
    </row>
    <row r="21" spans="1:25" x14ac:dyDescent="0.2">
      <c r="A21" s="50" t="s">
        <v>124</v>
      </c>
      <c r="B21" s="51" t="s">
        <v>107</v>
      </c>
      <c r="C21" s="51"/>
      <c r="D21" s="52">
        <v>25342</v>
      </c>
      <c r="E21" s="51" t="s">
        <v>123</v>
      </c>
      <c r="F21" s="53"/>
      <c r="G21" s="53">
        <v>752.77</v>
      </c>
      <c r="H21" s="53">
        <v>752.77</v>
      </c>
      <c r="I21" s="53">
        <v>0</v>
      </c>
      <c r="J21" s="54"/>
      <c r="K21" s="53"/>
      <c r="L21" s="53">
        <v>820.19</v>
      </c>
      <c r="M21" s="53">
        <v>820.19</v>
      </c>
      <c r="N21" s="53">
        <v>0</v>
      </c>
      <c r="O21" s="54"/>
      <c r="P21" s="53"/>
      <c r="Q21" s="53">
        <v>923.77</v>
      </c>
      <c r="R21" s="53">
        <v>923.77</v>
      </c>
      <c r="S21" s="53">
        <v>0</v>
      </c>
      <c r="T21" s="54"/>
      <c r="U21" s="53"/>
      <c r="V21" s="53">
        <v>956.21</v>
      </c>
      <c r="W21" s="53">
        <v>956.21</v>
      </c>
      <c r="X21" s="53">
        <v>0</v>
      </c>
      <c r="Y21" s="54"/>
    </row>
    <row r="22" spans="1:25" x14ac:dyDescent="0.2">
      <c r="A22" s="50" t="s">
        <v>125</v>
      </c>
      <c r="B22" s="51" t="s">
        <v>109</v>
      </c>
      <c r="C22" s="51"/>
      <c r="D22" s="52">
        <v>38632</v>
      </c>
      <c r="E22" s="51" t="s">
        <v>123</v>
      </c>
      <c r="F22" s="53"/>
      <c r="G22" s="53">
        <v>340.89</v>
      </c>
      <c r="H22" s="53">
        <v>340.89</v>
      </c>
      <c r="I22" s="53">
        <v>0</v>
      </c>
      <c r="J22" s="54"/>
      <c r="K22" s="53"/>
      <c r="L22" s="53">
        <v>371.42</v>
      </c>
      <c r="M22" s="53">
        <v>371.42</v>
      </c>
      <c r="N22" s="53">
        <v>0</v>
      </c>
      <c r="O22" s="54"/>
      <c r="P22" s="53"/>
      <c r="Q22" s="53">
        <v>418.33</v>
      </c>
      <c r="R22" s="53">
        <v>418.33</v>
      </c>
      <c r="S22" s="53">
        <v>0</v>
      </c>
      <c r="T22" s="54"/>
      <c r="U22" s="53"/>
      <c r="V22" s="53">
        <v>433.02</v>
      </c>
      <c r="W22" s="53">
        <v>433.02</v>
      </c>
      <c r="X22" s="53">
        <v>0</v>
      </c>
      <c r="Y22" s="54"/>
    </row>
    <row r="23" spans="1:25" x14ac:dyDescent="0.2">
      <c r="A23" s="50" t="s">
        <v>126</v>
      </c>
      <c r="B23" s="51" t="s">
        <v>109</v>
      </c>
      <c r="C23" s="51"/>
      <c r="D23" s="52">
        <v>39092</v>
      </c>
      <c r="E23" s="51" t="s">
        <v>123</v>
      </c>
      <c r="F23" s="53"/>
      <c r="G23" s="53">
        <v>330.7</v>
      </c>
      <c r="H23" s="53">
        <v>330.7</v>
      </c>
      <c r="I23" s="53">
        <v>0</v>
      </c>
      <c r="J23" s="54"/>
      <c r="K23" s="53"/>
      <c r="L23" s="53">
        <v>360.32</v>
      </c>
      <c r="M23" s="53">
        <v>360.32</v>
      </c>
      <c r="N23" s="53">
        <v>0</v>
      </c>
      <c r="O23" s="54"/>
      <c r="P23" s="53"/>
      <c r="Q23" s="53">
        <v>405.82</v>
      </c>
      <c r="R23" s="53">
        <v>405.82</v>
      </c>
      <c r="S23" s="53">
        <v>0</v>
      </c>
      <c r="T23" s="54"/>
      <c r="U23" s="53"/>
      <c r="V23" s="53">
        <v>420.07</v>
      </c>
      <c r="W23" s="53">
        <v>420.07</v>
      </c>
      <c r="X23" s="53">
        <v>0</v>
      </c>
      <c r="Y23" s="54"/>
    </row>
    <row r="24" spans="1:25" x14ac:dyDescent="0.2">
      <c r="A24" s="50" t="s">
        <v>127</v>
      </c>
      <c r="B24" s="51" t="s">
        <v>65</v>
      </c>
      <c r="C24" s="51" t="s">
        <v>117</v>
      </c>
      <c r="D24" s="52">
        <v>21309</v>
      </c>
      <c r="E24" s="51" t="s">
        <v>96</v>
      </c>
      <c r="F24" s="53">
        <v>1602.54</v>
      </c>
      <c r="G24" s="53">
        <v>801.27</v>
      </c>
      <c r="H24" s="53">
        <v>801.27</v>
      </c>
      <c r="I24" s="53">
        <v>0</v>
      </c>
      <c r="J24" s="54">
        <v>0</v>
      </c>
      <c r="K24" s="53">
        <v>1746.06</v>
      </c>
      <c r="L24" s="53">
        <v>873.03</v>
      </c>
      <c r="M24" s="53">
        <v>873.03</v>
      </c>
      <c r="N24" s="53">
        <v>0</v>
      </c>
      <c r="O24" s="54">
        <v>0</v>
      </c>
      <c r="P24" s="53">
        <v>1966.56</v>
      </c>
      <c r="Q24" s="53">
        <v>983.28</v>
      </c>
      <c r="R24" s="53">
        <v>983.28</v>
      </c>
      <c r="S24" s="53">
        <v>0</v>
      </c>
      <c r="T24" s="54">
        <v>0</v>
      </c>
      <c r="U24" s="53">
        <v>2035.64</v>
      </c>
      <c r="V24" s="53">
        <v>1017.82</v>
      </c>
      <c r="W24" s="53">
        <v>1017.82</v>
      </c>
      <c r="X24" s="53">
        <v>0</v>
      </c>
      <c r="Y24" s="54">
        <v>0</v>
      </c>
    </row>
    <row r="25" spans="1:25" x14ac:dyDescent="0.2">
      <c r="A25" s="50" t="s">
        <v>128</v>
      </c>
      <c r="B25" s="51" t="s">
        <v>107</v>
      </c>
      <c r="C25" s="51"/>
      <c r="D25" s="52">
        <v>23570</v>
      </c>
      <c r="E25" s="51" t="s">
        <v>96</v>
      </c>
      <c r="F25" s="53"/>
      <c r="G25" s="53">
        <v>801.27</v>
      </c>
      <c r="H25" s="53">
        <v>801.27</v>
      </c>
      <c r="I25" s="53">
        <v>0</v>
      </c>
      <c r="J25" s="54"/>
      <c r="K25" s="53"/>
      <c r="L25" s="53">
        <v>873.03</v>
      </c>
      <c r="M25" s="53">
        <v>873.03</v>
      </c>
      <c r="N25" s="53">
        <v>0</v>
      </c>
      <c r="O25" s="54"/>
      <c r="P25" s="53"/>
      <c r="Q25" s="53">
        <v>983.28</v>
      </c>
      <c r="R25" s="53">
        <v>983.28</v>
      </c>
      <c r="S25" s="53">
        <v>0</v>
      </c>
      <c r="T25" s="54"/>
      <c r="U25" s="53"/>
      <c r="V25" s="53">
        <v>1017.82</v>
      </c>
      <c r="W25" s="53">
        <v>1017.82</v>
      </c>
      <c r="X25" s="53">
        <v>0</v>
      </c>
      <c r="Y25" s="54"/>
    </row>
    <row r="26" spans="1:25" x14ac:dyDescent="0.2">
      <c r="A26" s="50" t="s">
        <v>129</v>
      </c>
      <c r="B26" s="51" t="s">
        <v>65</v>
      </c>
      <c r="C26" s="51" t="s">
        <v>65</v>
      </c>
      <c r="D26" s="52">
        <v>24147</v>
      </c>
      <c r="E26" s="51" t="s">
        <v>113</v>
      </c>
      <c r="F26" s="53">
        <v>801.27</v>
      </c>
      <c r="G26" s="53">
        <v>801.27</v>
      </c>
      <c r="H26" s="53">
        <v>801.27</v>
      </c>
      <c r="I26" s="53">
        <v>0</v>
      </c>
      <c r="J26" s="54">
        <v>0</v>
      </c>
      <c r="K26" s="53">
        <v>873.03</v>
      </c>
      <c r="L26" s="53">
        <v>873.03</v>
      </c>
      <c r="M26" s="53">
        <v>873.03</v>
      </c>
      <c r="N26" s="53">
        <v>0</v>
      </c>
      <c r="O26" s="54">
        <v>0</v>
      </c>
      <c r="P26" s="53">
        <v>983.28</v>
      </c>
      <c r="Q26" s="53">
        <v>983.28</v>
      </c>
      <c r="R26" s="53">
        <v>983.28</v>
      </c>
      <c r="S26" s="53">
        <v>0</v>
      </c>
      <c r="T26" s="54">
        <v>0</v>
      </c>
      <c r="U26" s="53">
        <v>1017.82</v>
      </c>
      <c r="V26" s="53">
        <v>1017.82</v>
      </c>
      <c r="W26" s="53">
        <v>1017.82</v>
      </c>
      <c r="X26" s="53">
        <v>0</v>
      </c>
      <c r="Y26" s="54">
        <v>0</v>
      </c>
    </row>
    <row r="27" spans="1:25" x14ac:dyDescent="0.2">
      <c r="A27" s="50" t="s">
        <v>130</v>
      </c>
      <c r="B27" s="51" t="s">
        <v>65</v>
      </c>
      <c r="C27" s="51" t="s">
        <v>65</v>
      </c>
      <c r="D27" s="52">
        <v>25210</v>
      </c>
      <c r="E27" s="51" t="s">
        <v>131</v>
      </c>
      <c r="F27" s="53">
        <v>752.77</v>
      </c>
      <c r="G27" s="53">
        <v>752.77</v>
      </c>
      <c r="H27" s="53">
        <v>752.77</v>
      </c>
      <c r="I27" s="53">
        <v>0</v>
      </c>
      <c r="J27" s="54">
        <v>0</v>
      </c>
      <c r="K27" s="53">
        <v>820.19</v>
      </c>
      <c r="L27" s="53">
        <v>820.19</v>
      </c>
      <c r="M27" s="53">
        <v>820.19</v>
      </c>
      <c r="N27" s="53">
        <v>0</v>
      </c>
      <c r="O27" s="54">
        <v>0</v>
      </c>
      <c r="P27" s="53">
        <v>923.77</v>
      </c>
      <c r="Q27" s="53">
        <v>923.77</v>
      </c>
      <c r="R27" s="53">
        <v>923.77</v>
      </c>
      <c r="S27" s="53">
        <v>0</v>
      </c>
      <c r="T27" s="54">
        <v>0</v>
      </c>
      <c r="U27" s="53">
        <v>956.21</v>
      </c>
      <c r="V27" s="53">
        <v>956.21</v>
      </c>
      <c r="W27" s="53">
        <v>956.21</v>
      </c>
      <c r="X27" s="53">
        <v>0</v>
      </c>
      <c r="Y27" s="54">
        <v>0</v>
      </c>
    </row>
    <row r="28" spans="1:25" x14ac:dyDescent="0.2">
      <c r="A28" s="50" t="s">
        <v>132</v>
      </c>
      <c r="B28" s="51" t="s">
        <v>65</v>
      </c>
      <c r="C28" s="51" t="s">
        <v>65</v>
      </c>
      <c r="D28" s="52">
        <v>35103</v>
      </c>
      <c r="E28" s="51" t="s">
        <v>113</v>
      </c>
      <c r="F28" s="53">
        <v>452.3</v>
      </c>
      <c r="G28" s="53">
        <v>452.3</v>
      </c>
      <c r="H28" s="53">
        <v>452.3</v>
      </c>
      <c r="I28" s="53">
        <v>0</v>
      </c>
      <c r="J28" s="54">
        <v>0</v>
      </c>
      <c r="K28" s="53">
        <v>492.8</v>
      </c>
      <c r="L28" s="53">
        <v>492.8</v>
      </c>
      <c r="M28" s="53">
        <v>492.8</v>
      </c>
      <c r="N28" s="53">
        <v>0</v>
      </c>
      <c r="O28" s="54">
        <v>0</v>
      </c>
      <c r="P28" s="53">
        <v>555.04</v>
      </c>
      <c r="Q28" s="53">
        <v>555.04</v>
      </c>
      <c r="R28" s="53">
        <v>555.04</v>
      </c>
      <c r="S28" s="53">
        <v>0</v>
      </c>
      <c r="T28" s="54">
        <v>0</v>
      </c>
      <c r="U28" s="53">
        <v>574.53</v>
      </c>
      <c r="V28" s="53">
        <v>574.53</v>
      </c>
      <c r="W28" s="53">
        <v>574.53</v>
      </c>
      <c r="X28" s="53">
        <v>0</v>
      </c>
      <c r="Y28" s="54">
        <v>0</v>
      </c>
    </row>
    <row r="29" spans="1:25" x14ac:dyDescent="0.2">
      <c r="A29" s="50" t="s">
        <v>133</v>
      </c>
      <c r="B29" s="51" t="s">
        <v>65</v>
      </c>
      <c r="C29" s="51" t="s">
        <v>117</v>
      </c>
      <c r="D29" s="52">
        <v>27399</v>
      </c>
      <c r="E29" s="51" t="s">
        <v>113</v>
      </c>
      <c r="F29" s="53">
        <v>1160.79</v>
      </c>
      <c r="G29" s="53">
        <v>629.77</v>
      </c>
      <c r="H29" s="53">
        <v>629.77</v>
      </c>
      <c r="I29" s="53">
        <v>0</v>
      </c>
      <c r="J29" s="54">
        <v>0</v>
      </c>
      <c r="K29" s="53">
        <v>1264.75</v>
      </c>
      <c r="L29" s="53">
        <v>686.17</v>
      </c>
      <c r="M29" s="53">
        <v>686.17</v>
      </c>
      <c r="N29" s="53">
        <v>0</v>
      </c>
      <c r="O29" s="54">
        <v>0</v>
      </c>
      <c r="P29" s="53">
        <v>1424.46</v>
      </c>
      <c r="Q29" s="53">
        <v>772.82</v>
      </c>
      <c r="R29" s="53">
        <v>772.82</v>
      </c>
      <c r="S29" s="53">
        <v>0</v>
      </c>
      <c r="T29" s="54">
        <v>0</v>
      </c>
      <c r="U29" s="53">
        <v>1474.5</v>
      </c>
      <c r="V29" s="53">
        <v>799.97</v>
      </c>
      <c r="W29" s="53">
        <v>799.97</v>
      </c>
      <c r="X29" s="53">
        <v>0</v>
      </c>
      <c r="Y29" s="54">
        <v>0</v>
      </c>
    </row>
    <row r="30" spans="1:25" x14ac:dyDescent="0.2">
      <c r="A30" s="50" t="s">
        <v>134</v>
      </c>
      <c r="B30" s="51" t="s">
        <v>107</v>
      </c>
      <c r="C30" s="51"/>
      <c r="D30" s="52">
        <v>29502</v>
      </c>
      <c r="E30" s="51" t="s">
        <v>113</v>
      </c>
      <c r="F30" s="53"/>
      <c r="G30" s="53">
        <v>531.02</v>
      </c>
      <c r="H30" s="53">
        <v>531.02</v>
      </c>
      <c r="I30" s="53">
        <v>0</v>
      </c>
      <c r="J30" s="54"/>
      <c r="K30" s="53"/>
      <c r="L30" s="53">
        <v>578.58000000000004</v>
      </c>
      <c r="M30" s="53">
        <v>578.58000000000004</v>
      </c>
      <c r="N30" s="53">
        <v>0</v>
      </c>
      <c r="O30" s="54"/>
      <c r="P30" s="53"/>
      <c r="Q30" s="53">
        <v>651.64</v>
      </c>
      <c r="R30" s="53">
        <v>651.64</v>
      </c>
      <c r="S30" s="53">
        <v>0</v>
      </c>
      <c r="T30" s="54"/>
      <c r="U30" s="53"/>
      <c r="V30" s="53">
        <v>674.53</v>
      </c>
      <c r="W30" s="53">
        <v>674.53</v>
      </c>
      <c r="X30" s="53">
        <v>0</v>
      </c>
      <c r="Y30" s="54"/>
    </row>
    <row r="31" spans="1:25" x14ac:dyDescent="0.2">
      <c r="A31" s="50" t="s">
        <v>135</v>
      </c>
      <c r="B31" s="51" t="s">
        <v>65</v>
      </c>
      <c r="C31" s="51" t="s">
        <v>104</v>
      </c>
      <c r="D31" s="52">
        <v>24592</v>
      </c>
      <c r="E31" s="51" t="s">
        <v>111</v>
      </c>
      <c r="F31" s="53">
        <v>2041.83</v>
      </c>
      <c r="G31" s="53">
        <v>801.27</v>
      </c>
      <c r="H31" s="53">
        <v>801.27</v>
      </c>
      <c r="I31" s="53">
        <v>0</v>
      </c>
      <c r="J31" s="54">
        <v>0</v>
      </c>
      <c r="K31" s="53">
        <v>2224.6999999999998</v>
      </c>
      <c r="L31" s="53">
        <v>873.03</v>
      </c>
      <c r="M31" s="53">
        <v>873.03</v>
      </c>
      <c r="N31" s="53">
        <v>0</v>
      </c>
      <c r="O31" s="54">
        <v>0</v>
      </c>
      <c r="P31" s="53">
        <v>2505.64</v>
      </c>
      <c r="Q31" s="53">
        <v>983.28</v>
      </c>
      <c r="R31" s="53">
        <v>983.28</v>
      </c>
      <c r="S31" s="53">
        <v>0</v>
      </c>
      <c r="T31" s="54">
        <v>0</v>
      </c>
      <c r="U31" s="53">
        <v>2593.65</v>
      </c>
      <c r="V31" s="53">
        <v>1017.82</v>
      </c>
      <c r="W31" s="53">
        <v>1017.82</v>
      </c>
      <c r="X31" s="53">
        <v>0</v>
      </c>
      <c r="Y31" s="54">
        <v>0</v>
      </c>
    </row>
    <row r="32" spans="1:25" x14ac:dyDescent="0.2">
      <c r="A32" s="50" t="s">
        <v>136</v>
      </c>
      <c r="B32" s="51" t="s">
        <v>107</v>
      </c>
      <c r="C32" s="51"/>
      <c r="D32" s="52">
        <v>22616</v>
      </c>
      <c r="E32" s="51" t="s">
        <v>111</v>
      </c>
      <c r="F32" s="53"/>
      <c r="G32" s="53">
        <v>801.27</v>
      </c>
      <c r="H32" s="53">
        <v>801.27</v>
      </c>
      <c r="I32" s="53">
        <v>0</v>
      </c>
      <c r="J32" s="54"/>
      <c r="K32" s="53"/>
      <c r="L32" s="53">
        <v>873.03</v>
      </c>
      <c r="M32" s="53">
        <v>873.03</v>
      </c>
      <c r="N32" s="53">
        <v>0</v>
      </c>
      <c r="O32" s="54"/>
      <c r="P32" s="53"/>
      <c r="Q32" s="53">
        <v>983.28</v>
      </c>
      <c r="R32" s="53">
        <v>983.28</v>
      </c>
      <c r="S32" s="53">
        <v>0</v>
      </c>
      <c r="T32" s="54"/>
      <c r="U32" s="53"/>
      <c r="V32" s="53">
        <v>1017.82</v>
      </c>
      <c r="W32" s="53">
        <v>1017.82</v>
      </c>
      <c r="X32" s="53">
        <v>0</v>
      </c>
      <c r="Y32" s="54"/>
    </row>
    <row r="33" spans="1:25" x14ac:dyDescent="0.2">
      <c r="A33" s="50" t="s">
        <v>137</v>
      </c>
      <c r="B33" s="51" t="s">
        <v>109</v>
      </c>
      <c r="C33" s="51"/>
      <c r="D33" s="52">
        <v>37842</v>
      </c>
      <c r="E33" s="51" t="s">
        <v>111</v>
      </c>
      <c r="F33" s="53"/>
      <c r="G33" s="53">
        <v>439.29</v>
      </c>
      <c r="H33" s="53">
        <v>439.29</v>
      </c>
      <c r="I33" s="53">
        <v>0</v>
      </c>
      <c r="J33" s="54"/>
      <c r="K33" s="53"/>
      <c r="L33" s="53">
        <v>478.64</v>
      </c>
      <c r="M33" s="53">
        <v>478.64</v>
      </c>
      <c r="N33" s="53">
        <v>0</v>
      </c>
      <c r="O33" s="54"/>
      <c r="P33" s="53"/>
      <c r="Q33" s="53">
        <v>539.08000000000004</v>
      </c>
      <c r="R33" s="53">
        <v>539.08000000000004</v>
      </c>
      <c r="S33" s="53">
        <v>0</v>
      </c>
      <c r="T33" s="54"/>
      <c r="U33" s="53"/>
      <c r="V33" s="53">
        <v>558.01</v>
      </c>
      <c r="W33" s="53">
        <v>558.01</v>
      </c>
      <c r="X33" s="53">
        <v>0</v>
      </c>
      <c r="Y33" s="54"/>
    </row>
    <row r="34" spans="1:25" x14ac:dyDescent="0.2">
      <c r="A34" s="50" t="s">
        <v>138</v>
      </c>
      <c r="B34" s="51" t="s">
        <v>65</v>
      </c>
      <c r="C34" s="51" t="s">
        <v>65</v>
      </c>
      <c r="D34" s="52">
        <v>35401</v>
      </c>
      <c r="E34" s="51" t="s">
        <v>113</v>
      </c>
      <c r="F34" s="53">
        <v>448.08</v>
      </c>
      <c r="G34" s="53">
        <v>448.08</v>
      </c>
      <c r="H34" s="53">
        <v>448.08</v>
      </c>
      <c r="I34" s="53">
        <v>0</v>
      </c>
      <c r="J34" s="54">
        <v>0</v>
      </c>
      <c r="K34" s="53">
        <v>488.21</v>
      </c>
      <c r="L34" s="53">
        <v>488.21</v>
      </c>
      <c r="M34" s="53">
        <v>488.21</v>
      </c>
      <c r="N34" s="53">
        <v>0</v>
      </c>
      <c r="O34" s="54">
        <v>0</v>
      </c>
      <c r="P34" s="53">
        <v>549.86</v>
      </c>
      <c r="Q34" s="53">
        <v>549.86</v>
      </c>
      <c r="R34" s="53">
        <v>549.86</v>
      </c>
      <c r="S34" s="53">
        <v>0</v>
      </c>
      <c r="T34" s="54">
        <v>0</v>
      </c>
      <c r="U34" s="53">
        <v>569.16999999999996</v>
      </c>
      <c r="V34" s="53">
        <v>569.16999999999996</v>
      </c>
      <c r="W34" s="53">
        <v>569.16999999999996</v>
      </c>
      <c r="X34" s="53">
        <v>0</v>
      </c>
      <c r="Y34" s="54">
        <v>0</v>
      </c>
    </row>
    <row r="35" spans="1:25" x14ac:dyDescent="0.2">
      <c r="A35" s="50" t="s">
        <v>139</v>
      </c>
      <c r="B35" s="51" t="s">
        <v>65</v>
      </c>
      <c r="C35" s="51" t="s">
        <v>65</v>
      </c>
      <c r="D35" s="52">
        <v>35453</v>
      </c>
      <c r="E35" s="51" t="s">
        <v>113</v>
      </c>
      <c r="F35" s="53">
        <v>448.08</v>
      </c>
      <c r="G35" s="53">
        <v>448.08</v>
      </c>
      <c r="H35" s="53">
        <v>448.08</v>
      </c>
      <c r="I35" s="53">
        <v>0</v>
      </c>
      <c r="J35" s="54">
        <v>0</v>
      </c>
      <c r="K35" s="53">
        <v>488.21</v>
      </c>
      <c r="L35" s="53">
        <v>488.21</v>
      </c>
      <c r="M35" s="53">
        <v>488.21</v>
      </c>
      <c r="N35" s="53">
        <v>0</v>
      </c>
      <c r="O35" s="54">
        <v>0</v>
      </c>
      <c r="P35" s="53">
        <v>549.86</v>
      </c>
      <c r="Q35" s="53">
        <v>549.86</v>
      </c>
      <c r="R35" s="53">
        <v>549.86</v>
      </c>
      <c r="S35" s="53">
        <v>0</v>
      </c>
      <c r="T35" s="54">
        <v>0</v>
      </c>
      <c r="U35" s="53">
        <v>569.16999999999996</v>
      </c>
      <c r="V35" s="53">
        <v>569.16999999999996</v>
      </c>
      <c r="W35" s="53">
        <v>569.16999999999996</v>
      </c>
      <c r="X35" s="53">
        <v>0</v>
      </c>
      <c r="Y35" s="54">
        <v>0</v>
      </c>
    </row>
    <row r="36" spans="1:25" x14ac:dyDescent="0.2">
      <c r="A36" s="50" t="s">
        <v>140</v>
      </c>
      <c r="B36" s="51" t="s">
        <v>65</v>
      </c>
      <c r="C36" s="51" t="s">
        <v>65</v>
      </c>
      <c r="D36" s="52">
        <v>34864</v>
      </c>
      <c r="E36" s="51" t="s">
        <v>118</v>
      </c>
      <c r="F36" s="53">
        <v>452.3</v>
      </c>
      <c r="G36" s="53">
        <v>452.3</v>
      </c>
      <c r="H36" s="53">
        <v>452.3</v>
      </c>
      <c r="I36" s="53">
        <v>0</v>
      </c>
      <c r="J36" s="54">
        <v>0</v>
      </c>
      <c r="K36" s="53">
        <v>492.8</v>
      </c>
      <c r="L36" s="53">
        <v>492.8</v>
      </c>
      <c r="M36" s="53">
        <v>492.8</v>
      </c>
      <c r="N36" s="53">
        <v>0</v>
      </c>
      <c r="O36" s="54">
        <v>0</v>
      </c>
      <c r="P36" s="53">
        <v>555.04</v>
      </c>
      <c r="Q36" s="53">
        <v>555.04</v>
      </c>
      <c r="R36" s="53">
        <v>555.04</v>
      </c>
      <c r="S36" s="53">
        <v>0</v>
      </c>
      <c r="T36" s="54">
        <v>0</v>
      </c>
      <c r="U36" s="53">
        <v>574.53</v>
      </c>
      <c r="V36" s="53">
        <v>574.53</v>
      </c>
      <c r="W36" s="53">
        <v>574.53</v>
      </c>
      <c r="X36" s="53">
        <v>0</v>
      </c>
      <c r="Y36" s="54">
        <v>0</v>
      </c>
    </row>
    <row r="37" spans="1:25" x14ac:dyDescent="0.2">
      <c r="A37" s="50" t="s">
        <v>141</v>
      </c>
      <c r="B37" s="51" t="s">
        <v>65</v>
      </c>
      <c r="C37" s="51" t="s">
        <v>104</v>
      </c>
      <c r="D37" s="52">
        <v>26666</v>
      </c>
      <c r="E37" s="51" t="s">
        <v>118</v>
      </c>
      <c r="F37" s="53">
        <v>2008.44</v>
      </c>
      <c r="G37" s="53">
        <v>668.43</v>
      </c>
      <c r="H37" s="53">
        <v>668.43</v>
      </c>
      <c r="I37" s="53">
        <v>0</v>
      </c>
      <c r="J37" s="54">
        <v>0</v>
      </c>
      <c r="K37" s="53">
        <v>2188.3200000000002</v>
      </c>
      <c r="L37" s="53">
        <v>728.29</v>
      </c>
      <c r="M37" s="53">
        <v>728.29</v>
      </c>
      <c r="N37" s="53">
        <v>0</v>
      </c>
      <c r="O37" s="54">
        <v>0</v>
      </c>
      <c r="P37" s="53">
        <v>2464.67</v>
      </c>
      <c r="Q37" s="53">
        <v>820.26</v>
      </c>
      <c r="R37" s="53">
        <v>820.26</v>
      </c>
      <c r="S37" s="53">
        <v>0</v>
      </c>
      <c r="T37" s="54">
        <v>0</v>
      </c>
      <c r="U37" s="53">
        <v>2551.23</v>
      </c>
      <c r="V37" s="53">
        <v>849.07</v>
      </c>
      <c r="W37" s="53">
        <v>849.07</v>
      </c>
      <c r="X37" s="53">
        <v>0</v>
      </c>
      <c r="Y37" s="54">
        <v>0</v>
      </c>
    </row>
    <row r="38" spans="1:25" x14ac:dyDescent="0.2">
      <c r="A38" s="50" t="s">
        <v>142</v>
      </c>
      <c r="B38" s="51" t="s">
        <v>107</v>
      </c>
      <c r="C38" s="51"/>
      <c r="D38" s="52">
        <v>28717</v>
      </c>
      <c r="E38" s="51" t="s">
        <v>118</v>
      </c>
      <c r="F38" s="53"/>
      <c r="G38" s="53">
        <v>559.83000000000004</v>
      </c>
      <c r="H38" s="53">
        <v>559.83000000000004</v>
      </c>
      <c r="I38" s="53">
        <v>0</v>
      </c>
      <c r="J38" s="54"/>
      <c r="K38" s="53"/>
      <c r="L38" s="53">
        <v>609.97</v>
      </c>
      <c r="M38" s="53">
        <v>609.97</v>
      </c>
      <c r="N38" s="53">
        <v>0</v>
      </c>
      <c r="O38" s="54"/>
      <c r="P38" s="53"/>
      <c r="Q38" s="53">
        <v>687</v>
      </c>
      <c r="R38" s="53">
        <v>687</v>
      </c>
      <c r="S38" s="53">
        <v>0</v>
      </c>
      <c r="T38" s="54"/>
      <c r="U38" s="53"/>
      <c r="V38" s="53">
        <v>711.13</v>
      </c>
      <c r="W38" s="53">
        <v>711.13</v>
      </c>
      <c r="X38" s="53">
        <v>0</v>
      </c>
      <c r="Y38" s="54"/>
    </row>
    <row r="39" spans="1:25" x14ac:dyDescent="0.2">
      <c r="A39" s="50" t="s">
        <v>143</v>
      </c>
      <c r="B39" s="51" t="s">
        <v>109</v>
      </c>
      <c r="C39" s="51"/>
      <c r="D39" s="52">
        <v>37384</v>
      </c>
      <c r="E39" s="51" t="s">
        <v>118</v>
      </c>
      <c r="F39" s="53"/>
      <c r="G39" s="53">
        <v>439.29</v>
      </c>
      <c r="H39" s="53">
        <v>439.29</v>
      </c>
      <c r="I39" s="53">
        <v>0</v>
      </c>
      <c r="J39" s="54"/>
      <c r="K39" s="53"/>
      <c r="L39" s="53">
        <v>478.64</v>
      </c>
      <c r="M39" s="53">
        <v>478.64</v>
      </c>
      <c r="N39" s="53">
        <v>0</v>
      </c>
      <c r="O39" s="54"/>
      <c r="P39" s="53"/>
      <c r="Q39" s="53">
        <v>539.08000000000004</v>
      </c>
      <c r="R39" s="53">
        <v>539.08000000000004</v>
      </c>
      <c r="S39" s="53">
        <v>0</v>
      </c>
      <c r="T39" s="54"/>
      <c r="U39" s="53"/>
      <c r="V39" s="53">
        <v>558.01</v>
      </c>
      <c r="W39" s="53">
        <v>558.01</v>
      </c>
      <c r="X39" s="53">
        <v>0</v>
      </c>
      <c r="Y39" s="54"/>
    </row>
    <row r="40" spans="1:25" x14ac:dyDescent="0.2">
      <c r="A40" s="50" t="s">
        <v>144</v>
      </c>
      <c r="B40" s="51" t="s">
        <v>109</v>
      </c>
      <c r="C40" s="51"/>
      <c r="D40" s="52">
        <v>38688</v>
      </c>
      <c r="E40" s="51" t="s">
        <v>118</v>
      </c>
      <c r="F40" s="53"/>
      <c r="G40" s="53">
        <v>340.89</v>
      </c>
      <c r="H40" s="53">
        <v>340.89</v>
      </c>
      <c r="I40" s="53">
        <v>0</v>
      </c>
      <c r="J40" s="54"/>
      <c r="K40" s="53"/>
      <c r="L40" s="53">
        <v>371.42</v>
      </c>
      <c r="M40" s="53">
        <v>371.42</v>
      </c>
      <c r="N40" s="53">
        <v>0</v>
      </c>
      <c r="O40" s="54"/>
      <c r="P40" s="53"/>
      <c r="Q40" s="53">
        <v>418.33</v>
      </c>
      <c r="R40" s="53">
        <v>418.33</v>
      </c>
      <c r="S40" s="53">
        <v>0</v>
      </c>
      <c r="T40" s="54"/>
      <c r="U40" s="53"/>
      <c r="V40" s="53">
        <v>433.02</v>
      </c>
      <c r="W40" s="53">
        <v>433.02</v>
      </c>
      <c r="X40" s="53">
        <v>0</v>
      </c>
      <c r="Y40" s="54"/>
    </row>
    <row r="41" spans="1:25" x14ac:dyDescent="0.2">
      <c r="A41" s="50" t="s">
        <v>145</v>
      </c>
      <c r="B41" s="51" t="s">
        <v>65</v>
      </c>
      <c r="C41" s="51" t="s">
        <v>65</v>
      </c>
      <c r="D41" s="52">
        <v>36146</v>
      </c>
      <c r="E41" s="51" t="s">
        <v>111</v>
      </c>
      <c r="F41" s="53">
        <v>439.29</v>
      </c>
      <c r="G41" s="53">
        <v>439.29</v>
      </c>
      <c r="H41" s="53">
        <v>439.29</v>
      </c>
      <c r="I41" s="53">
        <v>0</v>
      </c>
      <c r="J41" s="54">
        <v>0</v>
      </c>
      <c r="K41" s="53">
        <v>478.64</v>
      </c>
      <c r="L41" s="53">
        <v>478.64</v>
      </c>
      <c r="M41" s="53">
        <v>478.64</v>
      </c>
      <c r="N41" s="53">
        <v>0</v>
      </c>
      <c r="O41" s="54">
        <v>0</v>
      </c>
      <c r="P41" s="53">
        <v>539.08000000000004</v>
      </c>
      <c r="Q41" s="53">
        <v>539.08000000000004</v>
      </c>
      <c r="R41" s="53">
        <v>539.08000000000004</v>
      </c>
      <c r="S41" s="53">
        <v>0</v>
      </c>
      <c r="T41" s="54">
        <v>0</v>
      </c>
      <c r="U41" s="53">
        <v>558.01</v>
      </c>
      <c r="V41" s="53">
        <v>558.01</v>
      </c>
      <c r="W41" s="53">
        <v>558.01</v>
      </c>
      <c r="X41" s="53">
        <v>0</v>
      </c>
      <c r="Y41" s="54">
        <v>0</v>
      </c>
    </row>
    <row r="42" spans="1:25" x14ac:dyDescent="0.2">
      <c r="A42" s="50" t="s">
        <v>146</v>
      </c>
      <c r="B42" s="51" t="s">
        <v>65</v>
      </c>
      <c r="C42" s="51" t="s">
        <v>65</v>
      </c>
      <c r="D42" s="52">
        <v>35249</v>
      </c>
      <c r="E42" s="51" t="s">
        <v>147</v>
      </c>
      <c r="F42" s="53">
        <v>448.08</v>
      </c>
      <c r="G42" s="53">
        <v>448.08</v>
      </c>
      <c r="H42" s="53">
        <v>448.08</v>
      </c>
      <c r="I42" s="53">
        <v>0</v>
      </c>
      <c r="J42" s="54">
        <v>0</v>
      </c>
      <c r="K42" s="53">
        <v>488.21</v>
      </c>
      <c r="L42" s="53">
        <v>488.21</v>
      </c>
      <c r="M42" s="53">
        <v>488.21</v>
      </c>
      <c r="N42" s="53">
        <v>0</v>
      </c>
      <c r="O42" s="54">
        <v>0</v>
      </c>
      <c r="P42" s="53">
        <v>549.86</v>
      </c>
      <c r="Q42" s="53">
        <v>549.86</v>
      </c>
      <c r="R42" s="53">
        <v>549.86</v>
      </c>
      <c r="S42" s="53">
        <v>0</v>
      </c>
      <c r="T42" s="54">
        <v>0</v>
      </c>
      <c r="U42" s="53">
        <v>569.16999999999996</v>
      </c>
      <c r="V42" s="53">
        <v>569.16999999999996</v>
      </c>
      <c r="W42" s="53">
        <v>569.16999999999996</v>
      </c>
      <c r="X42" s="53">
        <v>0</v>
      </c>
      <c r="Y42" s="54">
        <v>0</v>
      </c>
    </row>
    <row r="43" spans="1:25" ht="16.149999999999999" customHeight="1" x14ac:dyDescent="0.2">
      <c r="A43" s="226" t="s">
        <v>81</v>
      </c>
      <c r="B43" s="227"/>
      <c r="C43" s="227"/>
      <c r="D43" s="227"/>
      <c r="E43" s="227"/>
      <c r="F43" s="211" t="s">
        <v>153</v>
      </c>
      <c r="G43" s="212"/>
      <c r="H43" s="212"/>
      <c r="I43" s="212"/>
      <c r="J43" s="213"/>
      <c r="K43" s="211" t="s">
        <v>155</v>
      </c>
      <c r="L43" s="212"/>
      <c r="M43" s="212"/>
      <c r="N43" s="212"/>
      <c r="O43" s="213"/>
      <c r="P43" s="211" t="s">
        <v>157</v>
      </c>
      <c r="Q43" s="212"/>
      <c r="R43" s="212"/>
      <c r="S43" s="212"/>
      <c r="T43" s="213"/>
      <c r="U43" s="211" t="s">
        <v>159</v>
      </c>
      <c r="V43" s="212"/>
      <c r="W43" s="212"/>
      <c r="X43" s="212"/>
      <c r="Y43" s="213"/>
    </row>
    <row r="44" spans="1:25" ht="13.9" customHeight="1" x14ac:dyDescent="0.2">
      <c r="A44" s="228" t="s">
        <v>82</v>
      </c>
      <c r="B44" s="229"/>
      <c r="C44" s="229"/>
      <c r="D44" s="229"/>
      <c r="E44" s="229"/>
      <c r="F44" s="214">
        <v>5713.26</v>
      </c>
      <c r="G44" s="215"/>
      <c r="H44" s="215"/>
      <c r="I44" s="215"/>
      <c r="J44" s="216"/>
      <c r="K44" s="214">
        <v>6224.94</v>
      </c>
      <c r="L44" s="215"/>
      <c r="M44" s="215"/>
      <c r="N44" s="215"/>
      <c r="O44" s="216"/>
      <c r="P44" s="214">
        <v>7011.06</v>
      </c>
      <c r="Q44" s="215"/>
      <c r="R44" s="215"/>
      <c r="S44" s="215"/>
      <c r="T44" s="216"/>
      <c r="U44" s="214">
        <v>7257.31</v>
      </c>
      <c r="V44" s="215"/>
      <c r="W44" s="215"/>
      <c r="X44" s="215"/>
      <c r="Y44" s="216"/>
    </row>
    <row r="45" spans="1:25" ht="13.9" customHeight="1" x14ac:dyDescent="0.2">
      <c r="A45" s="230" t="s">
        <v>83</v>
      </c>
      <c r="B45" s="231"/>
      <c r="C45" s="231"/>
      <c r="D45" s="231"/>
      <c r="E45" s="231"/>
      <c r="F45" s="208">
        <f>F44*12</f>
        <v>68559.12</v>
      </c>
      <c r="G45" s="209"/>
      <c r="H45" s="209"/>
      <c r="I45" s="209"/>
      <c r="J45" s="210"/>
      <c r="K45" s="208">
        <f>K44*12</f>
        <v>74699.28</v>
      </c>
      <c r="L45" s="209"/>
      <c r="M45" s="209"/>
      <c r="N45" s="209"/>
      <c r="O45" s="210"/>
      <c r="P45" s="208">
        <f>P44*12</f>
        <v>84132.72</v>
      </c>
      <c r="Q45" s="209"/>
      <c r="R45" s="209"/>
      <c r="S45" s="209"/>
      <c r="T45" s="210"/>
      <c r="U45" s="208">
        <f>U44*12</f>
        <v>87087.72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000-000000000000}"/>
    <hyperlink ref="F46" r:id="rId2" xr:uid="{00000000-0004-0000-4000-000001000000}"/>
    <hyperlink ref="K7" r:id="rId3" xr:uid="{00000000-0004-0000-4000-000002000000}"/>
    <hyperlink ref="K46" r:id="rId4" xr:uid="{00000000-0004-0000-4000-000003000000}"/>
    <hyperlink ref="P7" r:id="rId5" xr:uid="{00000000-0004-0000-4000-000004000000}"/>
    <hyperlink ref="P46" r:id="rId6" xr:uid="{00000000-0004-0000-4000-000005000000}"/>
    <hyperlink ref="U7" r:id="rId7" xr:uid="{00000000-0004-0000-4000-000006000000}"/>
    <hyperlink ref="U46" r:id="rId8" xr:uid="{00000000-0004-0000-40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8CFF-604E-4400-916D-9848A4980CFA}">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160</v>
      </c>
      <c r="G6" s="122"/>
      <c r="H6" s="122"/>
      <c r="I6" s="122"/>
      <c r="J6" s="124"/>
      <c r="K6" s="121" t="s">
        <v>162</v>
      </c>
      <c r="L6" s="122"/>
      <c r="M6" s="122"/>
      <c r="N6" s="122"/>
      <c r="O6" s="124"/>
      <c r="P6" s="121" t="s">
        <v>164</v>
      </c>
      <c r="Q6" s="122"/>
      <c r="R6" s="122"/>
      <c r="S6" s="122"/>
      <c r="T6" s="124"/>
      <c r="U6" s="121" t="s">
        <v>166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161</v>
      </c>
      <c r="G8" s="233"/>
      <c r="H8" s="233"/>
      <c r="I8" s="233"/>
      <c r="J8" s="234"/>
      <c r="K8" s="232" t="s">
        <v>163</v>
      </c>
      <c r="L8" s="233"/>
      <c r="M8" s="233"/>
      <c r="N8" s="233"/>
      <c r="O8" s="234"/>
      <c r="P8" s="232" t="s">
        <v>165</v>
      </c>
      <c r="Q8" s="233"/>
      <c r="R8" s="233"/>
      <c r="S8" s="233"/>
      <c r="T8" s="234"/>
      <c r="U8" s="232" t="s">
        <v>168</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2309.96</v>
      </c>
      <c r="G10" s="53">
        <v>1055.24</v>
      </c>
      <c r="H10" s="53">
        <v>1055.24</v>
      </c>
      <c r="I10" s="53">
        <v>0</v>
      </c>
      <c r="J10" s="54">
        <v>0</v>
      </c>
      <c r="K10" s="53">
        <v>2345.34</v>
      </c>
      <c r="L10" s="53">
        <v>1071.4000000000001</v>
      </c>
      <c r="M10" s="53">
        <v>1071.4000000000001</v>
      </c>
      <c r="N10" s="53">
        <v>0</v>
      </c>
      <c r="O10" s="54">
        <v>0</v>
      </c>
      <c r="P10" s="53">
        <v>2427.64</v>
      </c>
      <c r="Q10" s="53">
        <v>1109</v>
      </c>
      <c r="R10" s="53">
        <v>1109</v>
      </c>
      <c r="S10" s="53">
        <v>0</v>
      </c>
      <c r="T10" s="54">
        <v>0</v>
      </c>
      <c r="U10" s="53">
        <v>2777.51</v>
      </c>
      <c r="V10" s="53">
        <v>1268.83</v>
      </c>
      <c r="W10" s="53">
        <v>1268.83</v>
      </c>
      <c r="X10" s="53">
        <v>0</v>
      </c>
      <c r="Y10" s="54">
        <v>0</v>
      </c>
    </row>
    <row r="11" spans="1:25" x14ac:dyDescent="0.2">
      <c r="A11" s="50" t="s">
        <v>106</v>
      </c>
      <c r="B11" s="51" t="s">
        <v>107</v>
      </c>
      <c r="C11" s="51"/>
      <c r="D11" s="52">
        <v>27837</v>
      </c>
      <c r="E11" s="51" t="s">
        <v>105</v>
      </c>
      <c r="F11" s="53"/>
      <c r="G11" s="53">
        <v>805.78</v>
      </c>
      <c r="H11" s="53">
        <v>805.78</v>
      </c>
      <c r="I11" s="53">
        <v>0</v>
      </c>
      <c r="J11" s="54"/>
      <c r="K11" s="53"/>
      <c r="L11" s="53">
        <v>818.12</v>
      </c>
      <c r="M11" s="53">
        <v>818.12</v>
      </c>
      <c r="N11" s="53">
        <v>0</v>
      </c>
      <c r="O11" s="54"/>
      <c r="P11" s="53"/>
      <c r="Q11" s="53">
        <v>846.83</v>
      </c>
      <c r="R11" s="53">
        <v>846.83</v>
      </c>
      <c r="S11" s="53">
        <v>0</v>
      </c>
      <c r="T11" s="54"/>
      <c r="U11" s="53"/>
      <c r="V11" s="53">
        <v>968.87</v>
      </c>
      <c r="W11" s="53">
        <v>968.87</v>
      </c>
      <c r="X11" s="53">
        <v>0</v>
      </c>
      <c r="Y11" s="54"/>
    </row>
    <row r="12" spans="1:25" x14ac:dyDescent="0.2">
      <c r="A12" s="50" t="s">
        <v>108</v>
      </c>
      <c r="B12" s="51" t="s">
        <v>109</v>
      </c>
      <c r="C12" s="51"/>
      <c r="D12" s="52">
        <v>38648</v>
      </c>
      <c r="E12" s="51" t="s">
        <v>105</v>
      </c>
      <c r="F12" s="53"/>
      <c r="G12" s="53">
        <v>448.94</v>
      </c>
      <c r="H12" s="53">
        <v>448.94</v>
      </c>
      <c r="I12" s="53">
        <v>0</v>
      </c>
      <c r="J12" s="54"/>
      <c r="K12" s="53"/>
      <c r="L12" s="53">
        <v>455.82</v>
      </c>
      <c r="M12" s="53">
        <v>455.82</v>
      </c>
      <c r="N12" s="53">
        <v>0</v>
      </c>
      <c r="O12" s="54"/>
      <c r="P12" s="53"/>
      <c r="Q12" s="53">
        <v>471.81</v>
      </c>
      <c r="R12" s="53">
        <v>471.81</v>
      </c>
      <c r="S12" s="53">
        <v>0</v>
      </c>
      <c r="T12" s="54"/>
      <c r="U12" s="53"/>
      <c r="V12" s="53">
        <v>539.80999999999995</v>
      </c>
      <c r="W12" s="53">
        <v>539.80999999999995</v>
      </c>
      <c r="X12" s="53">
        <v>0</v>
      </c>
      <c r="Y12" s="54"/>
    </row>
    <row r="13" spans="1:25" x14ac:dyDescent="0.2">
      <c r="A13" s="50" t="s">
        <v>110</v>
      </c>
      <c r="B13" s="51" t="s">
        <v>65</v>
      </c>
      <c r="C13" s="51" t="s">
        <v>65</v>
      </c>
      <c r="D13" s="52">
        <v>36345</v>
      </c>
      <c r="E13" s="51" t="s">
        <v>111</v>
      </c>
      <c r="F13" s="53">
        <v>578.53</v>
      </c>
      <c r="G13" s="53">
        <v>578.53</v>
      </c>
      <c r="H13" s="53">
        <v>578.53</v>
      </c>
      <c r="I13" s="53">
        <v>0</v>
      </c>
      <c r="J13" s="54">
        <v>0</v>
      </c>
      <c r="K13" s="53">
        <v>587.39</v>
      </c>
      <c r="L13" s="53">
        <v>587.39</v>
      </c>
      <c r="M13" s="53">
        <v>587.39</v>
      </c>
      <c r="N13" s="53">
        <v>0</v>
      </c>
      <c r="O13" s="54">
        <v>0</v>
      </c>
      <c r="P13" s="53">
        <v>608</v>
      </c>
      <c r="Q13" s="53">
        <v>608</v>
      </c>
      <c r="R13" s="53">
        <v>608</v>
      </c>
      <c r="S13" s="53">
        <v>0</v>
      </c>
      <c r="T13" s="54">
        <v>0</v>
      </c>
      <c r="U13" s="53">
        <v>695.63</v>
      </c>
      <c r="V13" s="53">
        <v>695.63</v>
      </c>
      <c r="W13" s="53">
        <v>695.63</v>
      </c>
      <c r="X13" s="53">
        <v>0</v>
      </c>
      <c r="Y13" s="54">
        <v>0</v>
      </c>
    </row>
    <row r="14" spans="1:25" x14ac:dyDescent="0.2">
      <c r="A14" s="50" t="s">
        <v>112</v>
      </c>
      <c r="B14" s="51" t="s">
        <v>65</v>
      </c>
      <c r="C14" s="51" t="s">
        <v>104</v>
      </c>
      <c r="D14" s="52">
        <v>24895</v>
      </c>
      <c r="E14" s="51" t="s">
        <v>113</v>
      </c>
      <c r="F14" s="53">
        <v>2525.17</v>
      </c>
      <c r="G14" s="53">
        <v>1020.99</v>
      </c>
      <c r="H14" s="53">
        <v>1020.99</v>
      </c>
      <c r="I14" s="53">
        <v>0</v>
      </c>
      <c r="J14" s="54">
        <v>0</v>
      </c>
      <c r="K14" s="53">
        <v>2563.85</v>
      </c>
      <c r="L14" s="53">
        <v>1036.6300000000001</v>
      </c>
      <c r="M14" s="53">
        <v>1036.6300000000001</v>
      </c>
      <c r="N14" s="53">
        <v>0</v>
      </c>
      <c r="O14" s="54">
        <v>0</v>
      </c>
      <c r="P14" s="53">
        <v>2653.81</v>
      </c>
      <c r="Q14" s="53">
        <v>1073</v>
      </c>
      <c r="R14" s="53">
        <v>1073</v>
      </c>
      <c r="S14" s="53">
        <v>0</v>
      </c>
      <c r="T14" s="54">
        <v>0</v>
      </c>
      <c r="U14" s="53">
        <v>3036.29</v>
      </c>
      <c r="V14" s="53">
        <v>1227.6500000000001</v>
      </c>
      <c r="W14" s="53">
        <v>1227.6500000000001</v>
      </c>
      <c r="X14" s="53">
        <v>0</v>
      </c>
      <c r="Y14" s="54">
        <v>0</v>
      </c>
    </row>
    <row r="15" spans="1:25" x14ac:dyDescent="0.2">
      <c r="A15" s="50" t="s">
        <v>114</v>
      </c>
      <c r="B15" s="51" t="s">
        <v>107</v>
      </c>
      <c r="C15" s="51"/>
      <c r="D15" s="52">
        <v>24269</v>
      </c>
      <c r="E15" s="51" t="s">
        <v>113</v>
      </c>
      <c r="F15" s="53"/>
      <c r="G15" s="53">
        <v>1055.24</v>
      </c>
      <c r="H15" s="53">
        <v>1055.24</v>
      </c>
      <c r="I15" s="53">
        <v>0</v>
      </c>
      <c r="J15" s="54"/>
      <c r="K15" s="53"/>
      <c r="L15" s="53">
        <v>1071.4000000000001</v>
      </c>
      <c r="M15" s="53">
        <v>1071.4000000000001</v>
      </c>
      <c r="N15" s="53">
        <v>0</v>
      </c>
      <c r="O15" s="54"/>
      <c r="P15" s="53"/>
      <c r="Q15" s="53">
        <v>1109</v>
      </c>
      <c r="R15" s="53">
        <v>1109</v>
      </c>
      <c r="S15" s="53">
        <v>0</v>
      </c>
      <c r="T15" s="54"/>
      <c r="U15" s="53"/>
      <c r="V15" s="53">
        <v>1268.83</v>
      </c>
      <c r="W15" s="53">
        <v>1268.83</v>
      </c>
      <c r="X15" s="53">
        <v>0</v>
      </c>
      <c r="Y15" s="54"/>
    </row>
    <row r="16" spans="1:25" x14ac:dyDescent="0.2">
      <c r="A16" s="50" t="s">
        <v>115</v>
      </c>
      <c r="B16" s="51" t="s">
        <v>109</v>
      </c>
      <c r="C16" s="51"/>
      <c r="D16" s="52">
        <v>38614</v>
      </c>
      <c r="E16" s="51" t="s">
        <v>113</v>
      </c>
      <c r="F16" s="53"/>
      <c r="G16" s="53">
        <v>448.94</v>
      </c>
      <c r="H16" s="53">
        <v>448.94</v>
      </c>
      <c r="I16" s="53">
        <v>0</v>
      </c>
      <c r="J16" s="54"/>
      <c r="K16" s="53"/>
      <c r="L16" s="53">
        <v>455.82</v>
      </c>
      <c r="M16" s="53">
        <v>455.82</v>
      </c>
      <c r="N16" s="53">
        <v>0</v>
      </c>
      <c r="O16" s="54"/>
      <c r="P16" s="53"/>
      <c r="Q16" s="53">
        <v>471.81</v>
      </c>
      <c r="R16" s="53">
        <v>471.81</v>
      </c>
      <c r="S16" s="53">
        <v>0</v>
      </c>
      <c r="T16" s="54"/>
      <c r="U16" s="53"/>
      <c r="V16" s="53">
        <v>539.80999999999995</v>
      </c>
      <c r="W16" s="53">
        <v>539.80999999999995</v>
      </c>
      <c r="X16" s="53">
        <v>0</v>
      </c>
      <c r="Y16" s="54"/>
    </row>
    <row r="17" spans="1:25" x14ac:dyDescent="0.2">
      <c r="A17" s="50" t="s">
        <v>116</v>
      </c>
      <c r="B17" s="51" t="s">
        <v>65</v>
      </c>
      <c r="C17" s="51" t="s">
        <v>117</v>
      </c>
      <c r="D17" s="52">
        <v>18453</v>
      </c>
      <c r="E17" s="51" t="s">
        <v>118</v>
      </c>
      <c r="F17" s="53">
        <v>2110.48</v>
      </c>
      <c r="G17" s="53">
        <v>1055.24</v>
      </c>
      <c r="H17" s="53">
        <v>1055.24</v>
      </c>
      <c r="I17" s="53">
        <v>0</v>
      </c>
      <c r="J17" s="54">
        <v>0</v>
      </c>
      <c r="K17" s="53">
        <v>2142.8000000000002</v>
      </c>
      <c r="L17" s="53">
        <v>1071.4000000000001</v>
      </c>
      <c r="M17" s="53">
        <v>1071.4000000000001</v>
      </c>
      <c r="N17" s="53">
        <v>0</v>
      </c>
      <c r="O17" s="54">
        <v>0</v>
      </c>
      <c r="P17" s="53">
        <v>2218</v>
      </c>
      <c r="Q17" s="53">
        <v>1109</v>
      </c>
      <c r="R17" s="53">
        <v>1109</v>
      </c>
      <c r="S17" s="53">
        <v>0</v>
      </c>
      <c r="T17" s="54">
        <v>0</v>
      </c>
      <c r="U17" s="53">
        <v>2537.66</v>
      </c>
      <c r="V17" s="53">
        <v>1268.83</v>
      </c>
      <c r="W17" s="53">
        <v>1268.83</v>
      </c>
      <c r="X17" s="53">
        <v>0</v>
      </c>
      <c r="Y17" s="54">
        <v>0</v>
      </c>
    </row>
    <row r="18" spans="1:25" x14ac:dyDescent="0.2">
      <c r="A18" s="50" t="s">
        <v>119</v>
      </c>
      <c r="B18" s="51" t="s">
        <v>107</v>
      </c>
      <c r="C18" s="51"/>
      <c r="D18" s="52">
        <v>19761</v>
      </c>
      <c r="E18" s="51" t="s">
        <v>118</v>
      </c>
      <c r="F18" s="53"/>
      <c r="G18" s="53">
        <v>1055.24</v>
      </c>
      <c r="H18" s="53">
        <v>1055.24</v>
      </c>
      <c r="I18" s="53">
        <v>0</v>
      </c>
      <c r="J18" s="54"/>
      <c r="K18" s="53"/>
      <c r="L18" s="53">
        <v>1071.4000000000001</v>
      </c>
      <c r="M18" s="53">
        <v>1071.4000000000001</v>
      </c>
      <c r="N18" s="53">
        <v>0</v>
      </c>
      <c r="O18" s="54"/>
      <c r="P18" s="53"/>
      <c r="Q18" s="53">
        <v>1109</v>
      </c>
      <c r="R18" s="53">
        <v>1109</v>
      </c>
      <c r="S18" s="53">
        <v>0</v>
      </c>
      <c r="T18" s="54"/>
      <c r="U18" s="53"/>
      <c r="V18" s="53">
        <v>1268.83</v>
      </c>
      <c r="W18" s="53">
        <v>1268.83</v>
      </c>
      <c r="X18" s="53">
        <v>0</v>
      </c>
      <c r="Y18" s="54"/>
    </row>
    <row r="19" spans="1:25" x14ac:dyDescent="0.2">
      <c r="A19" s="50" t="s">
        <v>120</v>
      </c>
      <c r="B19" s="51" t="s">
        <v>65</v>
      </c>
      <c r="C19" s="51" t="s">
        <v>65</v>
      </c>
      <c r="D19" s="52">
        <v>35733</v>
      </c>
      <c r="E19" s="51" t="s">
        <v>121</v>
      </c>
      <c r="F19" s="53">
        <v>578.53</v>
      </c>
      <c r="G19" s="53">
        <v>578.53</v>
      </c>
      <c r="H19" s="53">
        <v>578.53</v>
      </c>
      <c r="I19" s="53">
        <v>0</v>
      </c>
      <c r="J19" s="54">
        <v>0</v>
      </c>
      <c r="K19" s="53">
        <v>587.39</v>
      </c>
      <c r="L19" s="53">
        <v>587.39</v>
      </c>
      <c r="M19" s="53">
        <v>587.39</v>
      </c>
      <c r="N19" s="53">
        <v>0</v>
      </c>
      <c r="O19" s="54">
        <v>0</v>
      </c>
      <c r="P19" s="53">
        <v>608</v>
      </c>
      <c r="Q19" s="53">
        <v>608</v>
      </c>
      <c r="R19" s="53">
        <v>608</v>
      </c>
      <c r="S19" s="53">
        <v>0</v>
      </c>
      <c r="T19" s="54">
        <v>0</v>
      </c>
      <c r="U19" s="53">
        <v>695.63</v>
      </c>
      <c r="V19" s="53">
        <v>695.63</v>
      </c>
      <c r="W19" s="53">
        <v>695.63</v>
      </c>
      <c r="X19" s="53">
        <v>0</v>
      </c>
      <c r="Y19" s="54">
        <v>0</v>
      </c>
    </row>
    <row r="20" spans="1:25" x14ac:dyDescent="0.2">
      <c r="A20" s="50" t="s">
        <v>122</v>
      </c>
      <c r="B20" s="51" t="s">
        <v>65</v>
      </c>
      <c r="C20" s="51" t="s">
        <v>104</v>
      </c>
      <c r="D20" s="52">
        <v>24958</v>
      </c>
      <c r="E20" s="51" t="s">
        <v>123</v>
      </c>
      <c r="F20" s="53">
        <v>2896.82</v>
      </c>
      <c r="G20" s="53">
        <v>1020.99</v>
      </c>
      <c r="H20" s="53">
        <v>1020.99</v>
      </c>
      <c r="I20" s="53">
        <v>0</v>
      </c>
      <c r="J20" s="54">
        <v>0</v>
      </c>
      <c r="K20" s="53">
        <v>2941.19</v>
      </c>
      <c r="L20" s="53">
        <v>1036.6300000000001</v>
      </c>
      <c r="M20" s="53">
        <v>1036.6300000000001</v>
      </c>
      <c r="N20" s="53">
        <v>0</v>
      </c>
      <c r="O20" s="54">
        <v>0</v>
      </c>
      <c r="P20" s="53">
        <v>3044.38</v>
      </c>
      <c r="Q20" s="53">
        <v>1073</v>
      </c>
      <c r="R20" s="53">
        <v>1073</v>
      </c>
      <c r="S20" s="53">
        <v>0</v>
      </c>
      <c r="T20" s="54">
        <v>0</v>
      </c>
      <c r="U20" s="53">
        <v>3483.16</v>
      </c>
      <c r="V20" s="53">
        <v>1227.6500000000001</v>
      </c>
      <c r="W20" s="53">
        <v>1227.6500000000001</v>
      </c>
      <c r="X20" s="53">
        <v>0</v>
      </c>
      <c r="Y20" s="54">
        <v>0</v>
      </c>
    </row>
    <row r="21" spans="1:25" x14ac:dyDescent="0.2">
      <c r="A21" s="50" t="s">
        <v>124</v>
      </c>
      <c r="B21" s="51" t="s">
        <v>107</v>
      </c>
      <c r="C21" s="51"/>
      <c r="D21" s="52">
        <v>25342</v>
      </c>
      <c r="E21" s="51" t="s">
        <v>123</v>
      </c>
      <c r="F21" s="53"/>
      <c r="G21" s="53">
        <v>991.37</v>
      </c>
      <c r="H21" s="53">
        <v>991.37</v>
      </c>
      <c r="I21" s="53">
        <v>0</v>
      </c>
      <c r="J21" s="54"/>
      <c r="K21" s="53"/>
      <c r="L21" s="53">
        <v>1006.55</v>
      </c>
      <c r="M21" s="53">
        <v>1006.55</v>
      </c>
      <c r="N21" s="53">
        <v>0</v>
      </c>
      <c r="O21" s="54"/>
      <c r="P21" s="53"/>
      <c r="Q21" s="53">
        <v>1041.8699999999999</v>
      </c>
      <c r="R21" s="53">
        <v>1041.8699999999999</v>
      </c>
      <c r="S21" s="53">
        <v>0</v>
      </c>
      <c r="T21" s="54"/>
      <c r="U21" s="53"/>
      <c r="V21" s="53">
        <v>1192.03</v>
      </c>
      <c r="W21" s="53">
        <v>1192.03</v>
      </c>
      <c r="X21" s="53">
        <v>0</v>
      </c>
      <c r="Y21" s="54"/>
    </row>
    <row r="22" spans="1:25" x14ac:dyDescent="0.2">
      <c r="A22" s="50" t="s">
        <v>125</v>
      </c>
      <c r="B22" s="51" t="s">
        <v>109</v>
      </c>
      <c r="C22" s="51"/>
      <c r="D22" s="52">
        <v>38632</v>
      </c>
      <c r="E22" s="51" t="s">
        <v>123</v>
      </c>
      <c r="F22" s="53"/>
      <c r="G22" s="53">
        <v>448.94</v>
      </c>
      <c r="H22" s="53">
        <v>448.94</v>
      </c>
      <c r="I22" s="53">
        <v>0</v>
      </c>
      <c r="J22" s="54"/>
      <c r="K22" s="53"/>
      <c r="L22" s="53">
        <v>455.82</v>
      </c>
      <c r="M22" s="53">
        <v>455.82</v>
      </c>
      <c r="N22" s="53">
        <v>0</v>
      </c>
      <c r="O22" s="54"/>
      <c r="P22" s="53"/>
      <c r="Q22" s="53">
        <v>471.81</v>
      </c>
      <c r="R22" s="53">
        <v>471.81</v>
      </c>
      <c r="S22" s="53">
        <v>0</v>
      </c>
      <c r="T22" s="54"/>
      <c r="U22" s="53"/>
      <c r="V22" s="53">
        <v>539.80999999999995</v>
      </c>
      <c r="W22" s="53">
        <v>539.80999999999995</v>
      </c>
      <c r="X22" s="53">
        <v>0</v>
      </c>
      <c r="Y22" s="54"/>
    </row>
    <row r="23" spans="1:25" x14ac:dyDescent="0.2">
      <c r="A23" s="50" t="s">
        <v>126</v>
      </c>
      <c r="B23" s="51" t="s">
        <v>109</v>
      </c>
      <c r="C23" s="51"/>
      <c r="D23" s="52">
        <v>39092</v>
      </c>
      <c r="E23" s="51" t="s">
        <v>123</v>
      </c>
      <c r="F23" s="53"/>
      <c r="G23" s="53">
        <v>435.52</v>
      </c>
      <c r="H23" s="53">
        <v>435.52</v>
      </c>
      <c r="I23" s="53">
        <v>0</v>
      </c>
      <c r="J23" s="54"/>
      <c r="K23" s="53"/>
      <c r="L23" s="53">
        <v>442.19</v>
      </c>
      <c r="M23" s="53">
        <v>442.19</v>
      </c>
      <c r="N23" s="53">
        <v>0</v>
      </c>
      <c r="O23" s="54"/>
      <c r="P23" s="53"/>
      <c r="Q23" s="53">
        <v>457.7</v>
      </c>
      <c r="R23" s="53">
        <v>457.7</v>
      </c>
      <c r="S23" s="53">
        <v>0</v>
      </c>
      <c r="T23" s="54"/>
      <c r="U23" s="53"/>
      <c r="V23" s="53">
        <v>523.66999999999996</v>
      </c>
      <c r="W23" s="53">
        <v>523.66999999999996</v>
      </c>
      <c r="X23" s="53">
        <v>0</v>
      </c>
      <c r="Y23" s="54"/>
    </row>
    <row r="24" spans="1:25" x14ac:dyDescent="0.2">
      <c r="A24" s="50" t="s">
        <v>127</v>
      </c>
      <c r="B24" s="51" t="s">
        <v>65</v>
      </c>
      <c r="C24" s="51" t="s">
        <v>117</v>
      </c>
      <c r="D24" s="52">
        <v>21309</v>
      </c>
      <c r="E24" s="51" t="s">
        <v>96</v>
      </c>
      <c r="F24" s="53">
        <v>2110.48</v>
      </c>
      <c r="G24" s="53">
        <v>1055.24</v>
      </c>
      <c r="H24" s="53">
        <v>1055.24</v>
      </c>
      <c r="I24" s="53">
        <v>0</v>
      </c>
      <c r="J24" s="54">
        <v>0</v>
      </c>
      <c r="K24" s="53">
        <v>2142.8000000000002</v>
      </c>
      <c r="L24" s="53">
        <v>1071.4000000000001</v>
      </c>
      <c r="M24" s="53">
        <v>1071.4000000000001</v>
      </c>
      <c r="N24" s="53">
        <v>0</v>
      </c>
      <c r="O24" s="54">
        <v>0</v>
      </c>
      <c r="P24" s="53">
        <v>2218</v>
      </c>
      <c r="Q24" s="53">
        <v>1109</v>
      </c>
      <c r="R24" s="53">
        <v>1109</v>
      </c>
      <c r="S24" s="53">
        <v>0</v>
      </c>
      <c r="T24" s="54">
        <v>0</v>
      </c>
      <c r="U24" s="53">
        <v>2537.66</v>
      </c>
      <c r="V24" s="53">
        <v>1268.83</v>
      </c>
      <c r="W24" s="53">
        <v>1268.83</v>
      </c>
      <c r="X24" s="53">
        <v>0</v>
      </c>
      <c r="Y24" s="54">
        <v>0</v>
      </c>
    </row>
    <row r="25" spans="1:25" x14ac:dyDescent="0.2">
      <c r="A25" s="50" t="s">
        <v>128</v>
      </c>
      <c r="B25" s="51" t="s">
        <v>107</v>
      </c>
      <c r="C25" s="51"/>
      <c r="D25" s="52">
        <v>23570</v>
      </c>
      <c r="E25" s="51" t="s">
        <v>96</v>
      </c>
      <c r="F25" s="53"/>
      <c r="G25" s="53">
        <v>1055.24</v>
      </c>
      <c r="H25" s="53">
        <v>1055.24</v>
      </c>
      <c r="I25" s="53">
        <v>0</v>
      </c>
      <c r="J25" s="54"/>
      <c r="K25" s="53"/>
      <c r="L25" s="53">
        <v>1071.4000000000001</v>
      </c>
      <c r="M25" s="53">
        <v>1071.4000000000001</v>
      </c>
      <c r="N25" s="53">
        <v>0</v>
      </c>
      <c r="O25" s="54"/>
      <c r="P25" s="53"/>
      <c r="Q25" s="53">
        <v>1109</v>
      </c>
      <c r="R25" s="53">
        <v>1109</v>
      </c>
      <c r="S25" s="53">
        <v>0</v>
      </c>
      <c r="T25" s="54"/>
      <c r="U25" s="53"/>
      <c r="V25" s="53">
        <v>1268.83</v>
      </c>
      <c r="W25" s="53">
        <v>1268.83</v>
      </c>
      <c r="X25" s="53">
        <v>0</v>
      </c>
      <c r="Y25" s="54"/>
    </row>
    <row r="26" spans="1:25" x14ac:dyDescent="0.2">
      <c r="A26" s="50" t="s">
        <v>129</v>
      </c>
      <c r="B26" s="51" t="s">
        <v>65</v>
      </c>
      <c r="C26" s="51" t="s">
        <v>65</v>
      </c>
      <c r="D26" s="52">
        <v>24147</v>
      </c>
      <c r="E26" s="51" t="s">
        <v>113</v>
      </c>
      <c r="F26" s="53">
        <v>1055.24</v>
      </c>
      <c r="G26" s="53">
        <v>1055.24</v>
      </c>
      <c r="H26" s="53">
        <v>1055.24</v>
      </c>
      <c r="I26" s="53">
        <v>0</v>
      </c>
      <c r="J26" s="54">
        <v>0</v>
      </c>
      <c r="K26" s="53">
        <v>1071.4000000000001</v>
      </c>
      <c r="L26" s="53">
        <v>1071.4000000000001</v>
      </c>
      <c r="M26" s="53">
        <v>1071.4000000000001</v>
      </c>
      <c r="N26" s="53">
        <v>0</v>
      </c>
      <c r="O26" s="54">
        <v>0</v>
      </c>
      <c r="P26" s="53">
        <v>1109</v>
      </c>
      <c r="Q26" s="53">
        <v>1109</v>
      </c>
      <c r="R26" s="53">
        <v>1109</v>
      </c>
      <c r="S26" s="53">
        <v>0</v>
      </c>
      <c r="T26" s="54">
        <v>0</v>
      </c>
      <c r="U26" s="53">
        <v>1268.83</v>
      </c>
      <c r="V26" s="53">
        <v>1268.83</v>
      </c>
      <c r="W26" s="53">
        <v>1268.83</v>
      </c>
      <c r="X26" s="53">
        <v>0</v>
      </c>
      <c r="Y26" s="54">
        <v>0</v>
      </c>
    </row>
    <row r="27" spans="1:25" x14ac:dyDescent="0.2">
      <c r="A27" s="50" t="s">
        <v>130</v>
      </c>
      <c r="B27" s="51" t="s">
        <v>65</v>
      </c>
      <c r="C27" s="51" t="s">
        <v>65</v>
      </c>
      <c r="D27" s="52">
        <v>25210</v>
      </c>
      <c r="E27" s="51" t="s">
        <v>131</v>
      </c>
      <c r="F27" s="53">
        <v>991.37</v>
      </c>
      <c r="G27" s="53">
        <v>991.37</v>
      </c>
      <c r="H27" s="53">
        <v>991.37</v>
      </c>
      <c r="I27" s="53">
        <v>0</v>
      </c>
      <c r="J27" s="54">
        <v>0</v>
      </c>
      <c r="K27" s="53">
        <v>1006.55</v>
      </c>
      <c r="L27" s="53">
        <v>1006.55</v>
      </c>
      <c r="M27" s="53">
        <v>1006.55</v>
      </c>
      <c r="N27" s="53">
        <v>0</v>
      </c>
      <c r="O27" s="54">
        <v>0</v>
      </c>
      <c r="P27" s="53">
        <v>1041.8699999999999</v>
      </c>
      <c r="Q27" s="53">
        <v>1041.8699999999999</v>
      </c>
      <c r="R27" s="53">
        <v>1041.8699999999999</v>
      </c>
      <c r="S27" s="53">
        <v>0</v>
      </c>
      <c r="T27" s="54">
        <v>0</v>
      </c>
      <c r="U27" s="53">
        <v>1192.03</v>
      </c>
      <c r="V27" s="53">
        <v>1192.03</v>
      </c>
      <c r="W27" s="53">
        <v>1192.03</v>
      </c>
      <c r="X27" s="53">
        <v>0</v>
      </c>
      <c r="Y27" s="54">
        <v>0</v>
      </c>
    </row>
    <row r="28" spans="1:25" x14ac:dyDescent="0.2">
      <c r="A28" s="50" t="s">
        <v>132</v>
      </c>
      <c r="B28" s="51" t="s">
        <v>65</v>
      </c>
      <c r="C28" s="51" t="s">
        <v>65</v>
      </c>
      <c r="D28" s="52">
        <v>35103</v>
      </c>
      <c r="E28" s="51" t="s">
        <v>113</v>
      </c>
      <c r="F28" s="53">
        <v>595.66</v>
      </c>
      <c r="G28" s="53">
        <v>595.66</v>
      </c>
      <c r="H28" s="53">
        <v>595.66</v>
      </c>
      <c r="I28" s="53">
        <v>0</v>
      </c>
      <c r="J28" s="54">
        <v>0</v>
      </c>
      <c r="K28" s="53">
        <v>604.78</v>
      </c>
      <c r="L28" s="53">
        <v>604.78</v>
      </c>
      <c r="M28" s="53">
        <v>604.78</v>
      </c>
      <c r="N28" s="53">
        <v>0</v>
      </c>
      <c r="O28" s="54">
        <v>0</v>
      </c>
      <c r="P28" s="53">
        <v>626</v>
      </c>
      <c r="Q28" s="53">
        <v>626</v>
      </c>
      <c r="R28" s="53">
        <v>626</v>
      </c>
      <c r="S28" s="53">
        <v>0</v>
      </c>
      <c r="T28" s="54">
        <v>0</v>
      </c>
      <c r="U28" s="53">
        <v>716.22</v>
      </c>
      <c r="V28" s="53">
        <v>716.22</v>
      </c>
      <c r="W28" s="53">
        <v>716.22</v>
      </c>
      <c r="X28" s="53">
        <v>0</v>
      </c>
      <c r="Y28" s="54">
        <v>0</v>
      </c>
    </row>
    <row r="29" spans="1:25" x14ac:dyDescent="0.2">
      <c r="A29" s="50" t="s">
        <v>133</v>
      </c>
      <c r="B29" s="51" t="s">
        <v>65</v>
      </c>
      <c r="C29" s="51" t="s">
        <v>117</v>
      </c>
      <c r="D29" s="52">
        <v>27399</v>
      </c>
      <c r="E29" s="51" t="s">
        <v>113</v>
      </c>
      <c r="F29" s="53">
        <v>1528.71</v>
      </c>
      <c r="G29" s="53">
        <v>829.38</v>
      </c>
      <c r="H29" s="53">
        <v>829.38</v>
      </c>
      <c r="I29" s="53">
        <v>0</v>
      </c>
      <c r="J29" s="54">
        <v>0</v>
      </c>
      <c r="K29" s="53">
        <v>1552.12</v>
      </c>
      <c r="L29" s="53">
        <v>842.08</v>
      </c>
      <c r="M29" s="53">
        <v>842.08</v>
      </c>
      <c r="N29" s="53">
        <v>0</v>
      </c>
      <c r="O29" s="54">
        <v>0</v>
      </c>
      <c r="P29" s="53">
        <v>1606.58</v>
      </c>
      <c r="Q29" s="53">
        <v>871.63</v>
      </c>
      <c r="R29" s="53">
        <v>871.63</v>
      </c>
      <c r="S29" s="53">
        <v>0</v>
      </c>
      <c r="T29" s="54">
        <v>0</v>
      </c>
      <c r="U29" s="53">
        <v>1838.14</v>
      </c>
      <c r="V29" s="53">
        <v>997.26</v>
      </c>
      <c r="W29" s="53">
        <v>997.26</v>
      </c>
      <c r="X29" s="53">
        <v>0</v>
      </c>
      <c r="Y29" s="54">
        <v>0</v>
      </c>
    </row>
    <row r="30" spans="1:25" x14ac:dyDescent="0.2">
      <c r="A30" s="50" t="s">
        <v>134</v>
      </c>
      <c r="B30" s="51" t="s">
        <v>107</v>
      </c>
      <c r="C30" s="51"/>
      <c r="D30" s="52">
        <v>29502</v>
      </c>
      <c r="E30" s="51" t="s">
        <v>113</v>
      </c>
      <c r="F30" s="53"/>
      <c r="G30" s="53">
        <v>699.33</v>
      </c>
      <c r="H30" s="53">
        <v>699.33</v>
      </c>
      <c r="I30" s="53">
        <v>0</v>
      </c>
      <c r="J30" s="54"/>
      <c r="K30" s="53"/>
      <c r="L30" s="53">
        <v>710.04</v>
      </c>
      <c r="M30" s="53">
        <v>710.04</v>
      </c>
      <c r="N30" s="53">
        <v>0</v>
      </c>
      <c r="O30" s="54"/>
      <c r="P30" s="53"/>
      <c r="Q30" s="53">
        <v>734.95</v>
      </c>
      <c r="R30" s="53">
        <v>734.95</v>
      </c>
      <c r="S30" s="53">
        <v>0</v>
      </c>
      <c r="T30" s="54"/>
      <c r="U30" s="53"/>
      <c r="V30" s="53">
        <v>840.88</v>
      </c>
      <c r="W30" s="53">
        <v>840.88</v>
      </c>
      <c r="X30" s="53">
        <v>0</v>
      </c>
      <c r="Y30" s="54"/>
    </row>
    <row r="31" spans="1:25" x14ac:dyDescent="0.2">
      <c r="A31" s="50" t="s">
        <v>135</v>
      </c>
      <c r="B31" s="51" t="s">
        <v>65</v>
      </c>
      <c r="C31" s="51" t="s">
        <v>104</v>
      </c>
      <c r="D31" s="52">
        <v>24592</v>
      </c>
      <c r="E31" s="51" t="s">
        <v>111</v>
      </c>
      <c r="F31" s="53">
        <v>2689.01</v>
      </c>
      <c r="G31" s="53">
        <v>1055.24</v>
      </c>
      <c r="H31" s="53">
        <v>1055.24</v>
      </c>
      <c r="I31" s="53">
        <v>0</v>
      </c>
      <c r="J31" s="54">
        <v>0</v>
      </c>
      <c r="K31" s="53">
        <v>2730.19</v>
      </c>
      <c r="L31" s="53">
        <v>1071.4000000000001</v>
      </c>
      <c r="M31" s="53">
        <v>1071.4000000000001</v>
      </c>
      <c r="N31" s="53">
        <v>0</v>
      </c>
      <c r="O31" s="54">
        <v>0</v>
      </c>
      <c r="P31" s="53">
        <v>2826</v>
      </c>
      <c r="Q31" s="53">
        <v>1109</v>
      </c>
      <c r="R31" s="53">
        <v>1109</v>
      </c>
      <c r="S31" s="53">
        <v>0</v>
      </c>
      <c r="T31" s="54">
        <v>0</v>
      </c>
      <c r="U31" s="53">
        <v>3233.29</v>
      </c>
      <c r="V31" s="53">
        <v>1268.83</v>
      </c>
      <c r="W31" s="53">
        <v>1268.83</v>
      </c>
      <c r="X31" s="53">
        <v>0</v>
      </c>
      <c r="Y31" s="54">
        <v>0</v>
      </c>
    </row>
    <row r="32" spans="1:25" x14ac:dyDescent="0.2">
      <c r="A32" s="50" t="s">
        <v>136</v>
      </c>
      <c r="B32" s="51" t="s">
        <v>107</v>
      </c>
      <c r="C32" s="51"/>
      <c r="D32" s="52">
        <v>22616</v>
      </c>
      <c r="E32" s="51" t="s">
        <v>111</v>
      </c>
      <c r="F32" s="53"/>
      <c r="G32" s="53">
        <v>1055.24</v>
      </c>
      <c r="H32" s="53">
        <v>1055.24</v>
      </c>
      <c r="I32" s="53">
        <v>0</v>
      </c>
      <c r="J32" s="54"/>
      <c r="K32" s="53"/>
      <c r="L32" s="53">
        <v>1071.4000000000001</v>
      </c>
      <c r="M32" s="53">
        <v>1071.4000000000001</v>
      </c>
      <c r="N32" s="53">
        <v>0</v>
      </c>
      <c r="O32" s="54"/>
      <c r="P32" s="53"/>
      <c r="Q32" s="53">
        <v>1109</v>
      </c>
      <c r="R32" s="53">
        <v>1109</v>
      </c>
      <c r="S32" s="53">
        <v>0</v>
      </c>
      <c r="T32" s="54"/>
      <c r="U32" s="53"/>
      <c r="V32" s="53">
        <v>1268.83</v>
      </c>
      <c r="W32" s="53">
        <v>1268.83</v>
      </c>
      <c r="X32" s="53">
        <v>0</v>
      </c>
      <c r="Y32" s="54"/>
    </row>
    <row r="33" spans="1:25" x14ac:dyDescent="0.2">
      <c r="A33" s="50" t="s">
        <v>137</v>
      </c>
      <c r="B33" s="51" t="s">
        <v>109</v>
      </c>
      <c r="C33" s="51"/>
      <c r="D33" s="52">
        <v>37842</v>
      </c>
      <c r="E33" s="51" t="s">
        <v>111</v>
      </c>
      <c r="F33" s="53"/>
      <c r="G33" s="53">
        <v>578.53</v>
      </c>
      <c r="H33" s="53">
        <v>578.53</v>
      </c>
      <c r="I33" s="53">
        <v>0</v>
      </c>
      <c r="J33" s="54"/>
      <c r="K33" s="53"/>
      <c r="L33" s="53">
        <v>587.39</v>
      </c>
      <c r="M33" s="53">
        <v>587.39</v>
      </c>
      <c r="N33" s="53">
        <v>0</v>
      </c>
      <c r="O33" s="54"/>
      <c r="P33" s="53"/>
      <c r="Q33" s="53">
        <v>608</v>
      </c>
      <c r="R33" s="53">
        <v>608</v>
      </c>
      <c r="S33" s="53">
        <v>0</v>
      </c>
      <c r="T33" s="54"/>
      <c r="U33" s="53"/>
      <c r="V33" s="53">
        <v>695.63</v>
      </c>
      <c r="W33" s="53">
        <v>695.63</v>
      </c>
      <c r="X33" s="53">
        <v>0</v>
      </c>
      <c r="Y33" s="54"/>
    </row>
    <row r="34" spans="1:25" x14ac:dyDescent="0.2">
      <c r="A34" s="50" t="s">
        <v>138</v>
      </c>
      <c r="B34" s="51" t="s">
        <v>65</v>
      </c>
      <c r="C34" s="51" t="s">
        <v>65</v>
      </c>
      <c r="D34" s="52">
        <v>35401</v>
      </c>
      <c r="E34" s="51" t="s">
        <v>113</v>
      </c>
      <c r="F34" s="53">
        <v>590.1</v>
      </c>
      <c r="G34" s="53">
        <v>590.1</v>
      </c>
      <c r="H34" s="53">
        <v>590.1</v>
      </c>
      <c r="I34" s="53">
        <v>0</v>
      </c>
      <c r="J34" s="54">
        <v>0</v>
      </c>
      <c r="K34" s="53">
        <v>599.14</v>
      </c>
      <c r="L34" s="53">
        <v>599.14</v>
      </c>
      <c r="M34" s="53">
        <v>599.14</v>
      </c>
      <c r="N34" s="53">
        <v>0</v>
      </c>
      <c r="O34" s="54">
        <v>0</v>
      </c>
      <c r="P34" s="53">
        <v>620.16</v>
      </c>
      <c r="Q34" s="53">
        <v>620.16</v>
      </c>
      <c r="R34" s="53">
        <v>620.16</v>
      </c>
      <c r="S34" s="53">
        <v>0</v>
      </c>
      <c r="T34" s="54">
        <v>0</v>
      </c>
      <c r="U34" s="53">
        <v>709.54</v>
      </c>
      <c r="V34" s="53">
        <v>709.54</v>
      </c>
      <c r="W34" s="53">
        <v>709.54</v>
      </c>
      <c r="X34" s="53">
        <v>0</v>
      </c>
      <c r="Y34" s="54">
        <v>0</v>
      </c>
    </row>
    <row r="35" spans="1:25" x14ac:dyDescent="0.2">
      <c r="A35" s="50" t="s">
        <v>139</v>
      </c>
      <c r="B35" s="51" t="s">
        <v>65</v>
      </c>
      <c r="C35" s="51" t="s">
        <v>65</v>
      </c>
      <c r="D35" s="52">
        <v>35453</v>
      </c>
      <c r="E35" s="51" t="s">
        <v>113</v>
      </c>
      <c r="F35" s="53">
        <v>590.1</v>
      </c>
      <c r="G35" s="53">
        <v>590.1</v>
      </c>
      <c r="H35" s="53">
        <v>590.1</v>
      </c>
      <c r="I35" s="53">
        <v>0</v>
      </c>
      <c r="J35" s="54">
        <v>0</v>
      </c>
      <c r="K35" s="53">
        <v>599.14</v>
      </c>
      <c r="L35" s="53">
        <v>599.14</v>
      </c>
      <c r="M35" s="53">
        <v>599.14</v>
      </c>
      <c r="N35" s="53">
        <v>0</v>
      </c>
      <c r="O35" s="54">
        <v>0</v>
      </c>
      <c r="P35" s="53">
        <v>620.16</v>
      </c>
      <c r="Q35" s="53">
        <v>620.16</v>
      </c>
      <c r="R35" s="53">
        <v>620.16</v>
      </c>
      <c r="S35" s="53">
        <v>0</v>
      </c>
      <c r="T35" s="54">
        <v>0</v>
      </c>
      <c r="U35" s="53">
        <v>709.54</v>
      </c>
      <c r="V35" s="53">
        <v>709.54</v>
      </c>
      <c r="W35" s="53">
        <v>709.54</v>
      </c>
      <c r="X35" s="53">
        <v>0</v>
      </c>
      <c r="Y35" s="54">
        <v>0</v>
      </c>
    </row>
    <row r="36" spans="1:25" x14ac:dyDescent="0.2">
      <c r="A36" s="50" t="s">
        <v>140</v>
      </c>
      <c r="B36" s="51" t="s">
        <v>65</v>
      </c>
      <c r="C36" s="51" t="s">
        <v>65</v>
      </c>
      <c r="D36" s="52">
        <v>34864</v>
      </c>
      <c r="E36" s="51" t="s">
        <v>118</v>
      </c>
      <c r="F36" s="53">
        <v>595.66</v>
      </c>
      <c r="G36" s="53">
        <v>595.66</v>
      </c>
      <c r="H36" s="53">
        <v>595.66</v>
      </c>
      <c r="I36" s="53">
        <v>0</v>
      </c>
      <c r="J36" s="54">
        <v>0</v>
      </c>
      <c r="K36" s="53">
        <v>604.78</v>
      </c>
      <c r="L36" s="53">
        <v>604.78</v>
      </c>
      <c r="M36" s="53">
        <v>604.78</v>
      </c>
      <c r="N36" s="53">
        <v>0</v>
      </c>
      <c r="O36" s="54">
        <v>0</v>
      </c>
      <c r="P36" s="53">
        <v>626</v>
      </c>
      <c r="Q36" s="53">
        <v>626</v>
      </c>
      <c r="R36" s="53">
        <v>626</v>
      </c>
      <c r="S36" s="53">
        <v>0</v>
      </c>
      <c r="T36" s="54">
        <v>0</v>
      </c>
      <c r="U36" s="53">
        <v>716.22</v>
      </c>
      <c r="V36" s="53">
        <v>716.22</v>
      </c>
      <c r="W36" s="53">
        <v>716.22</v>
      </c>
      <c r="X36" s="53">
        <v>0</v>
      </c>
      <c r="Y36" s="54">
        <v>0</v>
      </c>
    </row>
    <row r="37" spans="1:25" x14ac:dyDescent="0.2">
      <c r="A37" s="50" t="s">
        <v>141</v>
      </c>
      <c r="B37" s="51" t="s">
        <v>65</v>
      </c>
      <c r="C37" s="51" t="s">
        <v>104</v>
      </c>
      <c r="D37" s="52">
        <v>26666</v>
      </c>
      <c r="E37" s="51" t="s">
        <v>118</v>
      </c>
      <c r="F37" s="53">
        <v>2645.04</v>
      </c>
      <c r="G37" s="53">
        <v>880.29</v>
      </c>
      <c r="H37" s="53">
        <v>880.29</v>
      </c>
      <c r="I37" s="53">
        <v>0</v>
      </c>
      <c r="J37" s="54">
        <v>0</v>
      </c>
      <c r="K37" s="53">
        <v>2685.55</v>
      </c>
      <c r="L37" s="53">
        <v>893.77</v>
      </c>
      <c r="M37" s="53">
        <v>893.77</v>
      </c>
      <c r="N37" s="53">
        <v>0</v>
      </c>
      <c r="O37" s="54">
        <v>0</v>
      </c>
      <c r="P37" s="53">
        <v>2779.79</v>
      </c>
      <c r="Q37" s="53">
        <v>925.14</v>
      </c>
      <c r="R37" s="53">
        <v>925.14</v>
      </c>
      <c r="S37" s="53">
        <v>0</v>
      </c>
      <c r="T37" s="54">
        <v>0</v>
      </c>
      <c r="U37" s="53">
        <v>3180.42</v>
      </c>
      <c r="V37" s="53">
        <v>1058.47</v>
      </c>
      <c r="W37" s="53">
        <v>1058.47</v>
      </c>
      <c r="X37" s="53">
        <v>0</v>
      </c>
      <c r="Y37" s="54">
        <v>0</v>
      </c>
    </row>
    <row r="38" spans="1:25" x14ac:dyDescent="0.2">
      <c r="A38" s="50" t="s">
        <v>142</v>
      </c>
      <c r="B38" s="51" t="s">
        <v>107</v>
      </c>
      <c r="C38" s="51"/>
      <c r="D38" s="52">
        <v>28717</v>
      </c>
      <c r="E38" s="51" t="s">
        <v>118</v>
      </c>
      <c r="F38" s="53"/>
      <c r="G38" s="53">
        <v>737.28</v>
      </c>
      <c r="H38" s="53">
        <v>737.28</v>
      </c>
      <c r="I38" s="53">
        <v>0</v>
      </c>
      <c r="J38" s="54"/>
      <c r="K38" s="53"/>
      <c r="L38" s="53">
        <v>748.57</v>
      </c>
      <c r="M38" s="53">
        <v>748.57</v>
      </c>
      <c r="N38" s="53">
        <v>0</v>
      </c>
      <c r="O38" s="54"/>
      <c r="P38" s="53"/>
      <c r="Q38" s="53">
        <v>774.84</v>
      </c>
      <c r="R38" s="53">
        <v>774.84</v>
      </c>
      <c r="S38" s="53">
        <v>0</v>
      </c>
      <c r="T38" s="54"/>
      <c r="U38" s="53"/>
      <c r="V38" s="53">
        <v>886.51</v>
      </c>
      <c r="W38" s="53">
        <v>886.51</v>
      </c>
      <c r="X38" s="53">
        <v>0</v>
      </c>
      <c r="Y38" s="54"/>
    </row>
    <row r="39" spans="1:25" x14ac:dyDescent="0.2">
      <c r="A39" s="50" t="s">
        <v>143</v>
      </c>
      <c r="B39" s="51" t="s">
        <v>109</v>
      </c>
      <c r="C39" s="51"/>
      <c r="D39" s="52">
        <v>37384</v>
      </c>
      <c r="E39" s="51" t="s">
        <v>118</v>
      </c>
      <c r="F39" s="53"/>
      <c r="G39" s="53">
        <v>578.53</v>
      </c>
      <c r="H39" s="53">
        <v>578.53</v>
      </c>
      <c r="I39" s="53">
        <v>0</v>
      </c>
      <c r="J39" s="54"/>
      <c r="K39" s="53"/>
      <c r="L39" s="53">
        <v>587.39</v>
      </c>
      <c r="M39" s="53">
        <v>587.39</v>
      </c>
      <c r="N39" s="53">
        <v>0</v>
      </c>
      <c r="O39" s="54"/>
      <c r="P39" s="53"/>
      <c r="Q39" s="53">
        <v>608</v>
      </c>
      <c r="R39" s="53">
        <v>608</v>
      </c>
      <c r="S39" s="53">
        <v>0</v>
      </c>
      <c r="T39" s="54"/>
      <c r="U39" s="53"/>
      <c r="V39" s="53">
        <v>695.63</v>
      </c>
      <c r="W39" s="53">
        <v>695.63</v>
      </c>
      <c r="X39" s="53">
        <v>0</v>
      </c>
      <c r="Y39" s="54"/>
    </row>
    <row r="40" spans="1:25" x14ac:dyDescent="0.2">
      <c r="A40" s="50" t="s">
        <v>144</v>
      </c>
      <c r="B40" s="51" t="s">
        <v>109</v>
      </c>
      <c r="C40" s="51"/>
      <c r="D40" s="52">
        <v>38688</v>
      </c>
      <c r="E40" s="51" t="s">
        <v>118</v>
      </c>
      <c r="F40" s="53"/>
      <c r="G40" s="53">
        <v>448.94</v>
      </c>
      <c r="H40" s="53">
        <v>448.94</v>
      </c>
      <c r="I40" s="53">
        <v>0</v>
      </c>
      <c r="J40" s="54"/>
      <c r="K40" s="53"/>
      <c r="L40" s="53">
        <v>455.82</v>
      </c>
      <c r="M40" s="53">
        <v>455.82</v>
      </c>
      <c r="N40" s="53">
        <v>0</v>
      </c>
      <c r="O40" s="54"/>
      <c r="P40" s="53"/>
      <c r="Q40" s="53">
        <v>471.81</v>
      </c>
      <c r="R40" s="53">
        <v>471.81</v>
      </c>
      <c r="S40" s="53">
        <v>0</v>
      </c>
      <c r="T40" s="54"/>
      <c r="U40" s="53"/>
      <c r="V40" s="53">
        <v>539.80999999999995</v>
      </c>
      <c r="W40" s="53">
        <v>539.80999999999995</v>
      </c>
      <c r="X40" s="53">
        <v>0</v>
      </c>
      <c r="Y40" s="54"/>
    </row>
    <row r="41" spans="1:25" x14ac:dyDescent="0.2">
      <c r="A41" s="50" t="s">
        <v>145</v>
      </c>
      <c r="B41" s="51" t="s">
        <v>65</v>
      </c>
      <c r="C41" s="51" t="s">
        <v>65</v>
      </c>
      <c r="D41" s="52">
        <v>36146</v>
      </c>
      <c r="E41" s="51" t="s">
        <v>111</v>
      </c>
      <c r="F41" s="53">
        <v>578.53</v>
      </c>
      <c r="G41" s="53">
        <v>578.53</v>
      </c>
      <c r="H41" s="53">
        <v>578.53</v>
      </c>
      <c r="I41" s="53">
        <v>0</v>
      </c>
      <c r="J41" s="54">
        <v>0</v>
      </c>
      <c r="K41" s="53">
        <v>587.39</v>
      </c>
      <c r="L41" s="53">
        <v>587.39</v>
      </c>
      <c r="M41" s="53">
        <v>587.39</v>
      </c>
      <c r="N41" s="53">
        <v>0</v>
      </c>
      <c r="O41" s="54">
        <v>0</v>
      </c>
      <c r="P41" s="53">
        <v>608</v>
      </c>
      <c r="Q41" s="53">
        <v>608</v>
      </c>
      <c r="R41" s="53">
        <v>608</v>
      </c>
      <c r="S41" s="53">
        <v>0</v>
      </c>
      <c r="T41" s="54">
        <v>0</v>
      </c>
      <c r="U41" s="53">
        <v>695.63</v>
      </c>
      <c r="V41" s="53">
        <v>695.63</v>
      </c>
      <c r="W41" s="53">
        <v>695.63</v>
      </c>
      <c r="X41" s="53">
        <v>0</v>
      </c>
      <c r="Y41" s="54">
        <v>0</v>
      </c>
    </row>
    <row r="42" spans="1:25" x14ac:dyDescent="0.2">
      <c r="A42" s="50" t="s">
        <v>146</v>
      </c>
      <c r="B42" s="51" t="s">
        <v>65</v>
      </c>
      <c r="C42" s="51" t="s">
        <v>65</v>
      </c>
      <c r="D42" s="52">
        <v>35249</v>
      </c>
      <c r="E42" s="51" t="s">
        <v>147</v>
      </c>
      <c r="F42" s="53">
        <v>590.1</v>
      </c>
      <c r="G42" s="53">
        <v>590.1</v>
      </c>
      <c r="H42" s="53">
        <v>590.1</v>
      </c>
      <c r="I42" s="53">
        <v>0</v>
      </c>
      <c r="J42" s="54">
        <v>0</v>
      </c>
      <c r="K42" s="53">
        <v>599.14</v>
      </c>
      <c r="L42" s="53">
        <v>599.14</v>
      </c>
      <c r="M42" s="53">
        <v>599.14</v>
      </c>
      <c r="N42" s="53">
        <v>0</v>
      </c>
      <c r="O42" s="54">
        <v>0</v>
      </c>
      <c r="P42" s="53">
        <v>620.16</v>
      </c>
      <c r="Q42" s="53">
        <v>620.16</v>
      </c>
      <c r="R42" s="53">
        <v>620.16</v>
      </c>
      <c r="S42" s="53">
        <v>0</v>
      </c>
      <c r="T42" s="54">
        <v>0</v>
      </c>
      <c r="U42" s="53">
        <v>709.54</v>
      </c>
      <c r="V42" s="53">
        <v>709.54</v>
      </c>
      <c r="W42" s="53">
        <v>709.54</v>
      </c>
      <c r="X42" s="53">
        <v>0</v>
      </c>
      <c r="Y42" s="54">
        <v>0</v>
      </c>
    </row>
    <row r="43" spans="1:25" ht="16.149999999999999" customHeight="1" x14ac:dyDescent="0.2">
      <c r="A43" s="226" t="s">
        <v>81</v>
      </c>
      <c r="B43" s="227"/>
      <c r="C43" s="227"/>
      <c r="D43" s="227"/>
      <c r="E43" s="227"/>
      <c r="F43" s="211" t="s">
        <v>161</v>
      </c>
      <c r="G43" s="212"/>
      <c r="H43" s="212"/>
      <c r="I43" s="212"/>
      <c r="J43" s="213"/>
      <c r="K43" s="211" t="s">
        <v>163</v>
      </c>
      <c r="L43" s="212"/>
      <c r="M43" s="212"/>
      <c r="N43" s="212"/>
      <c r="O43" s="213"/>
      <c r="P43" s="211" t="s">
        <v>165</v>
      </c>
      <c r="Q43" s="212"/>
      <c r="R43" s="212"/>
      <c r="S43" s="212"/>
      <c r="T43" s="213"/>
      <c r="U43" s="211" t="s">
        <v>168</v>
      </c>
      <c r="V43" s="212"/>
      <c r="W43" s="212"/>
      <c r="X43" s="212"/>
      <c r="Y43" s="213"/>
    </row>
    <row r="44" spans="1:25" ht="13.9" customHeight="1" x14ac:dyDescent="0.2">
      <c r="A44" s="228" t="s">
        <v>82</v>
      </c>
      <c r="B44" s="229"/>
      <c r="C44" s="229"/>
      <c r="D44" s="229"/>
      <c r="E44" s="229"/>
      <c r="F44" s="214">
        <v>7524.14</v>
      </c>
      <c r="G44" s="215"/>
      <c r="H44" s="215"/>
      <c r="I44" s="215"/>
      <c r="J44" s="216"/>
      <c r="K44" s="214">
        <v>7639.38</v>
      </c>
      <c r="L44" s="215"/>
      <c r="M44" s="215"/>
      <c r="N44" s="215"/>
      <c r="O44" s="216"/>
      <c r="P44" s="214">
        <v>7907.45</v>
      </c>
      <c r="Q44" s="215"/>
      <c r="R44" s="215"/>
      <c r="S44" s="215"/>
      <c r="T44" s="216"/>
      <c r="U44" s="214">
        <v>9047.09</v>
      </c>
      <c r="V44" s="215"/>
      <c r="W44" s="215"/>
      <c r="X44" s="215"/>
      <c r="Y44" s="216"/>
    </row>
    <row r="45" spans="1:25" ht="13.9" customHeight="1" x14ac:dyDescent="0.2">
      <c r="A45" s="230" t="s">
        <v>83</v>
      </c>
      <c r="B45" s="231"/>
      <c r="C45" s="231"/>
      <c r="D45" s="231"/>
      <c r="E45" s="231"/>
      <c r="F45" s="208">
        <f>F44*12</f>
        <v>90289.680000000008</v>
      </c>
      <c r="G45" s="209"/>
      <c r="H45" s="209"/>
      <c r="I45" s="209"/>
      <c r="J45" s="210"/>
      <c r="K45" s="208">
        <f>K44*12</f>
        <v>91672.56</v>
      </c>
      <c r="L45" s="209"/>
      <c r="M45" s="209"/>
      <c r="N45" s="209"/>
      <c r="O45" s="210"/>
      <c r="P45" s="208">
        <f>P44*12</f>
        <v>94889.4</v>
      </c>
      <c r="Q45" s="209"/>
      <c r="R45" s="209"/>
      <c r="S45" s="209"/>
      <c r="T45" s="210"/>
      <c r="U45" s="208">
        <f>U44*12</f>
        <v>108565.08</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100-000000000000}"/>
    <hyperlink ref="F46" r:id="rId2" xr:uid="{00000000-0004-0000-4100-000001000000}"/>
    <hyperlink ref="K7" r:id="rId3" xr:uid="{00000000-0004-0000-4100-000002000000}"/>
    <hyperlink ref="K46" r:id="rId4" xr:uid="{00000000-0004-0000-4100-000003000000}"/>
    <hyperlink ref="P7" r:id="rId5" xr:uid="{00000000-0004-0000-4100-000004000000}"/>
    <hyperlink ref="P46" r:id="rId6" xr:uid="{00000000-0004-0000-4100-000005000000}"/>
    <hyperlink ref="U7" r:id="rId7" xr:uid="{00000000-0004-0000-4100-000006000000}"/>
    <hyperlink ref="U46" r:id="rId8" xr:uid="{00000000-0004-0000-41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A3A9-4248-4170-83A5-6DCF010D40E2}">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172</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169</v>
      </c>
      <c r="G6" s="122"/>
      <c r="H6" s="122"/>
      <c r="I6" s="122"/>
      <c r="J6" s="124"/>
      <c r="K6" s="121" t="s">
        <v>171</v>
      </c>
      <c r="L6" s="122"/>
      <c r="M6" s="122"/>
      <c r="N6" s="122"/>
      <c r="O6" s="124"/>
      <c r="P6" s="121" t="s">
        <v>174</v>
      </c>
      <c r="Q6" s="122"/>
      <c r="R6" s="122"/>
      <c r="S6" s="122"/>
      <c r="T6" s="124"/>
      <c r="U6" s="121" t="s">
        <v>176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170</v>
      </c>
      <c r="G8" s="233"/>
      <c r="H8" s="233"/>
      <c r="I8" s="233"/>
      <c r="J8" s="234"/>
      <c r="K8" s="232" t="s">
        <v>173</v>
      </c>
      <c r="L8" s="233"/>
      <c r="M8" s="233"/>
      <c r="N8" s="233"/>
      <c r="O8" s="234"/>
      <c r="P8" s="232" t="s">
        <v>175</v>
      </c>
      <c r="Q8" s="233"/>
      <c r="R8" s="233"/>
      <c r="S8" s="233"/>
      <c r="T8" s="234"/>
      <c r="U8" s="232" t="s">
        <v>177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2962.47</v>
      </c>
      <c r="G10" s="53">
        <v>1353.32</v>
      </c>
      <c r="H10" s="53">
        <v>1353.32</v>
      </c>
      <c r="I10" s="53">
        <v>0</v>
      </c>
      <c r="J10" s="54">
        <v>0</v>
      </c>
      <c r="K10" s="53">
        <v>3155.17</v>
      </c>
      <c r="L10" s="53">
        <v>1441.35</v>
      </c>
      <c r="M10" s="53">
        <v>1441.35</v>
      </c>
      <c r="N10" s="53">
        <v>0</v>
      </c>
      <c r="O10" s="54">
        <v>0</v>
      </c>
      <c r="P10" s="53">
        <v>3186.21</v>
      </c>
      <c r="Q10" s="53">
        <v>1455.53</v>
      </c>
      <c r="R10" s="53">
        <v>1455.53</v>
      </c>
      <c r="S10" s="53">
        <v>0</v>
      </c>
      <c r="T10" s="54">
        <v>0</v>
      </c>
      <c r="U10" s="53">
        <v>3229.19</v>
      </c>
      <c r="V10" s="53">
        <v>1475.17</v>
      </c>
      <c r="W10" s="53">
        <v>1475.17</v>
      </c>
      <c r="X10" s="53">
        <v>0</v>
      </c>
      <c r="Y10" s="54">
        <v>0</v>
      </c>
    </row>
    <row r="11" spans="1:25" x14ac:dyDescent="0.2">
      <c r="A11" s="50" t="s">
        <v>106</v>
      </c>
      <c r="B11" s="51" t="s">
        <v>107</v>
      </c>
      <c r="C11" s="51"/>
      <c r="D11" s="52">
        <v>27837</v>
      </c>
      <c r="E11" s="51" t="s">
        <v>105</v>
      </c>
      <c r="F11" s="53"/>
      <c r="G11" s="53">
        <v>1033.3900000000001</v>
      </c>
      <c r="H11" s="53">
        <v>1033.3900000000001</v>
      </c>
      <c r="I11" s="53">
        <v>0</v>
      </c>
      <c r="J11" s="54"/>
      <c r="K11" s="53"/>
      <c r="L11" s="53">
        <v>1100.6099999999999</v>
      </c>
      <c r="M11" s="53">
        <v>1100.6099999999999</v>
      </c>
      <c r="N11" s="53">
        <v>0</v>
      </c>
      <c r="O11" s="54"/>
      <c r="P11" s="53"/>
      <c r="Q11" s="53">
        <v>1111.44</v>
      </c>
      <c r="R11" s="53">
        <v>1111.44</v>
      </c>
      <c r="S11" s="53">
        <v>0</v>
      </c>
      <c r="T11" s="54"/>
      <c r="U11" s="53"/>
      <c r="V11" s="53">
        <v>1126.43</v>
      </c>
      <c r="W11" s="53">
        <v>1126.43</v>
      </c>
      <c r="X11" s="53">
        <v>0</v>
      </c>
      <c r="Y11" s="54"/>
    </row>
    <row r="12" spans="1:25" x14ac:dyDescent="0.2">
      <c r="A12" s="50" t="s">
        <v>108</v>
      </c>
      <c r="B12" s="51" t="s">
        <v>109</v>
      </c>
      <c r="C12" s="51"/>
      <c r="D12" s="52">
        <v>38648</v>
      </c>
      <c r="E12" s="51" t="s">
        <v>105</v>
      </c>
      <c r="F12" s="53"/>
      <c r="G12" s="53">
        <v>575.76</v>
      </c>
      <c r="H12" s="53">
        <v>575.76</v>
      </c>
      <c r="I12" s="53">
        <v>0</v>
      </c>
      <c r="J12" s="54"/>
      <c r="K12" s="53"/>
      <c r="L12" s="53">
        <v>613.21</v>
      </c>
      <c r="M12" s="53">
        <v>613.21</v>
      </c>
      <c r="N12" s="53">
        <v>0</v>
      </c>
      <c r="O12" s="54"/>
      <c r="P12" s="53"/>
      <c r="Q12" s="53">
        <v>619.24</v>
      </c>
      <c r="R12" s="53">
        <v>619.24</v>
      </c>
      <c r="S12" s="53">
        <v>0</v>
      </c>
      <c r="T12" s="54"/>
      <c r="U12" s="53"/>
      <c r="V12" s="53">
        <v>627.59</v>
      </c>
      <c r="W12" s="53">
        <v>627.59</v>
      </c>
      <c r="X12" s="53">
        <v>0</v>
      </c>
      <c r="Y12" s="54"/>
    </row>
    <row r="13" spans="1:25" x14ac:dyDescent="0.2">
      <c r="A13" s="50" t="s">
        <v>110</v>
      </c>
      <c r="B13" s="51" t="s">
        <v>65</v>
      </c>
      <c r="C13" s="51" t="s">
        <v>65</v>
      </c>
      <c r="D13" s="52">
        <v>36345</v>
      </c>
      <c r="E13" s="51" t="s">
        <v>111</v>
      </c>
      <c r="F13" s="53">
        <v>741.95</v>
      </c>
      <c r="G13" s="53">
        <v>741.95</v>
      </c>
      <c r="H13" s="53">
        <v>741.95</v>
      </c>
      <c r="I13" s="53">
        <v>0</v>
      </c>
      <c r="J13" s="54">
        <v>0</v>
      </c>
      <c r="K13" s="53">
        <v>790.22</v>
      </c>
      <c r="L13" s="53">
        <v>790.22</v>
      </c>
      <c r="M13" s="53">
        <v>790.22</v>
      </c>
      <c r="N13" s="53">
        <v>0</v>
      </c>
      <c r="O13" s="54">
        <v>0</v>
      </c>
      <c r="P13" s="53">
        <v>797.99</v>
      </c>
      <c r="Q13" s="53">
        <v>797.99</v>
      </c>
      <c r="R13" s="53">
        <v>797.99</v>
      </c>
      <c r="S13" s="53">
        <v>0</v>
      </c>
      <c r="T13" s="54">
        <v>0</v>
      </c>
      <c r="U13" s="53">
        <v>808.75</v>
      </c>
      <c r="V13" s="53">
        <v>808.75</v>
      </c>
      <c r="W13" s="53">
        <v>808.75</v>
      </c>
      <c r="X13" s="53">
        <v>0</v>
      </c>
      <c r="Y13" s="54">
        <v>0</v>
      </c>
    </row>
    <row r="14" spans="1:25" x14ac:dyDescent="0.2">
      <c r="A14" s="50" t="s">
        <v>112</v>
      </c>
      <c r="B14" s="51" t="s">
        <v>65</v>
      </c>
      <c r="C14" s="51" t="s">
        <v>104</v>
      </c>
      <c r="D14" s="52">
        <v>24895</v>
      </c>
      <c r="E14" s="51" t="s">
        <v>113</v>
      </c>
      <c r="F14" s="53">
        <v>3238.48</v>
      </c>
      <c r="G14" s="53">
        <v>1309.4000000000001</v>
      </c>
      <c r="H14" s="53">
        <v>1309.4000000000001</v>
      </c>
      <c r="I14" s="53">
        <v>0</v>
      </c>
      <c r="J14" s="54">
        <v>0</v>
      </c>
      <c r="K14" s="53">
        <v>3449.13</v>
      </c>
      <c r="L14" s="53">
        <v>1394.57</v>
      </c>
      <c r="M14" s="53">
        <v>1394.57</v>
      </c>
      <c r="N14" s="53">
        <v>0</v>
      </c>
      <c r="O14" s="54">
        <v>0</v>
      </c>
      <c r="P14" s="53">
        <v>3483.06</v>
      </c>
      <c r="Q14" s="53">
        <v>1408.29</v>
      </c>
      <c r="R14" s="53">
        <v>1408.29</v>
      </c>
      <c r="S14" s="53">
        <v>0</v>
      </c>
      <c r="T14" s="54">
        <v>0</v>
      </c>
      <c r="U14" s="53">
        <v>3530.05</v>
      </c>
      <c r="V14" s="53">
        <v>1427.29</v>
      </c>
      <c r="W14" s="53">
        <v>1427.29</v>
      </c>
      <c r="X14" s="53">
        <v>0</v>
      </c>
      <c r="Y14" s="54">
        <v>0</v>
      </c>
    </row>
    <row r="15" spans="1:25" x14ac:dyDescent="0.2">
      <c r="A15" s="50" t="s">
        <v>114</v>
      </c>
      <c r="B15" s="51" t="s">
        <v>107</v>
      </c>
      <c r="C15" s="51"/>
      <c r="D15" s="52">
        <v>24269</v>
      </c>
      <c r="E15" s="51" t="s">
        <v>113</v>
      </c>
      <c r="F15" s="53"/>
      <c r="G15" s="53">
        <v>1353.32</v>
      </c>
      <c r="H15" s="53">
        <v>1353.32</v>
      </c>
      <c r="I15" s="53">
        <v>0</v>
      </c>
      <c r="J15" s="54"/>
      <c r="K15" s="53"/>
      <c r="L15" s="53">
        <v>1441.35</v>
      </c>
      <c r="M15" s="53">
        <v>1441.35</v>
      </c>
      <c r="N15" s="53">
        <v>0</v>
      </c>
      <c r="O15" s="54"/>
      <c r="P15" s="53"/>
      <c r="Q15" s="53">
        <v>1455.53</v>
      </c>
      <c r="R15" s="53">
        <v>1455.53</v>
      </c>
      <c r="S15" s="53">
        <v>0</v>
      </c>
      <c r="T15" s="54"/>
      <c r="U15" s="53"/>
      <c r="V15" s="53">
        <v>1475.17</v>
      </c>
      <c r="W15" s="53">
        <v>1475.17</v>
      </c>
      <c r="X15" s="53">
        <v>0</v>
      </c>
      <c r="Y15" s="54"/>
    </row>
    <row r="16" spans="1:25" x14ac:dyDescent="0.2">
      <c r="A16" s="50" t="s">
        <v>115</v>
      </c>
      <c r="B16" s="51" t="s">
        <v>109</v>
      </c>
      <c r="C16" s="51"/>
      <c r="D16" s="52">
        <v>38614</v>
      </c>
      <c r="E16" s="51" t="s">
        <v>113</v>
      </c>
      <c r="F16" s="53"/>
      <c r="G16" s="53">
        <v>575.76</v>
      </c>
      <c r="H16" s="53">
        <v>575.76</v>
      </c>
      <c r="I16" s="53">
        <v>0</v>
      </c>
      <c r="J16" s="54"/>
      <c r="K16" s="53"/>
      <c r="L16" s="53">
        <v>613.21</v>
      </c>
      <c r="M16" s="53">
        <v>613.21</v>
      </c>
      <c r="N16" s="53">
        <v>0</v>
      </c>
      <c r="O16" s="54"/>
      <c r="P16" s="53"/>
      <c r="Q16" s="53">
        <v>619.24</v>
      </c>
      <c r="R16" s="53">
        <v>619.24</v>
      </c>
      <c r="S16" s="53">
        <v>0</v>
      </c>
      <c r="T16" s="54"/>
      <c r="U16" s="53"/>
      <c r="V16" s="53">
        <v>627.59</v>
      </c>
      <c r="W16" s="53">
        <v>627.59</v>
      </c>
      <c r="X16" s="53">
        <v>0</v>
      </c>
      <c r="Y16" s="54"/>
    </row>
    <row r="17" spans="1:25" x14ac:dyDescent="0.2">
      <c r="A17" s="50" t="s">
        <v>116</v>
      </c>
      <c r="B17" s="51" t="s">
        <v>65</v>
      </c>
      <c r="C17" s="51" t="s">
        <v>117</v>
      </c>
      <c r="D17" s="52">
        <v>18453</v>
      </c>
      <c r="E17" s="51" t="s">
        <v>118</v>
      </c>
      <c r="F17" s="53">
        <v>2706.64</v>
      </c>
      <c r="G17" s="53">
        <v>1353.32</v>
      </c>
      <c r="H17" s="53">
        <v>1353.32</v>
      </c>
      <c r="I17" s="53">
        <v>0</v>
      </c>
      <c r="J17" s="54">
        <v>0</v>
      </c>
      <c r="K17" s="53">
        <v>2882.7</v>
      </c>
      <c r="L17" s="53">
        <v>1441.35</v>
      </c>
      <c r="M17" s="53">
        <v>1441.35</v>
      </c>
      <c r="N17" s="53">
        <v>0</v>
      </c>
      <c r="O17" s="54">
        <v>0</v>
      </c>
      <c r="P17" s="53">
        <v>2911.06</v>
      </c>
      <c r="Q17" s="53">
        <v>1455.53</v>
      </c>
      <c r="R17" s="53">
        <v>1455.53</v>
      </c>
      <c r="S17" s="53">
        <v>0</v>
      </c>
      <c r="T17" s="54">
        <v>0</v>
      </c>
      <c r="U17" s="53">
        <v>2950.34</v>
      </c>
      <c r="V17" s="53">
        <v>1475.17</v>
      </c>
      <c r="W17" s="53">
        <v>1475.17</v>
      </c>
      <c r="X17" s="53">
        <v>0</v>
      </c>
      <c r="Y17" s="54">
        <v>0</v>
      </c>
    </row>
    <row r="18" spans="1:25" x14ac:dyDescent="0.2">
      <c r="A18" s="50" t="s">
        <v>119</v>
      </c>
      <c r="B18" s="51" t="s">
        <v>107</v>
      </c>
      <c r="C18" s="51"/>
      <c r="D18" s="52">
        <v>19761</v>
      </c>
      <c r="E18" s="51" t="s">
        <v>118</v>
      </c>
      <c r="F18" s="53"/>
      <c r="G18" s="53">
        <v>1353.32</v>
      </c>
      <c r="H18" s="53">
        <v>1353.32</v>
      </c>
      <c r="I18" s="53">
        <v>0</v>
      </c>
      <c r="J18" s="54"/>
      <c r="K18" s="53"/>
      <c r="L18" s="53">
        <v>1441.35</v>
      </c>
      <c r="M18" s="53">
        <v>1441.35</v>
      </c>
      <c r="N18" s="53">
        <v>0</v>
      </c>
      <c r="O18" s="54"/>
      <c r="P18" s="53"/>
      <c r="Q18" s="53">
        <v>1455.53</v>
      </c>
      <c r="R18" s="53">
        <v>1455.53</v>
      </c>
      <c r="S18" s="53">
        <v>0</v>
      </c>
      <c r="T18" s="54"/>
      <c r="U18" s="53"/>
      <c r="V18" s="53">
        <v>1475.17</v>
      </c>
      <c r="W18" s="53">
        <v>1475.17</v>
      </c>
      <c r="X18" s="53">
        <v>0</v>
      </c>
      <c r="Y18" s="54"/>
    </row>
    <row r="19" spans="1:25" x14ac:dyDescent="0.2">
      <c r="A19" s="50" t="s">
        <v>120</v>
      </c>
      <c r="B19" s="51" t="s">
        <v>65</v>
      </c>
      <c r="C19" s="51" t="s">
        <v>65</v>
      </c>
      <c r="D19" s="52">
        <v>35733</v>
      </c>
      <c r="E19" s="51" t="s">
        <v>121</v>
      </c>
      <c r="F19" s="53">
        <v>741.95</v>
      </c>
      <c r="G19" s="53">
        <v>741.95</v>
      </c>
      <c r="H19" s="53">
        <v>741.95</v>
      </c>
      <c r="I19" s="53">
        <v>0</v>
      </c>
      <c r="J19" s="54">
        <v>0</v>
      </c>
      <c r="K19" s="53">
        <v>790.22</v>
      </c>
      <c r="L19" s="53">
        <v>790.22</v>
      </c>
      <c r="M19" s="53">
        <v>790.22</v>
      </c>
      <c r="N19" s="53">
        <v>0</v>
      </c>
      <c r="O19" s="54">
        <v>0</v>
      </c>
      <c r="P19" s="53">
        <v>797.99</v>
      </c>
      <c r="Q19" s="53">
        <v>797.99</v>
      </c>
      <c r="R19" s="53">
        <v>797.99</v>
      </c>
      <c r="S19" s="53">
        <v>0</v>
      </c>
      <c r="T19" s="54">
        <v>0</v>
      </c>
      <c r="U19" s="53">
        <v>808.75</v>
      </c>
      <c r="V19" s="53">
        <v>808.75</v>
      </c>
      <c r="W19" s="53">
        <v>808.75</v>
      </c>
      <c r="X19" s="53">
        <v>0</v>
      </c>
      <c r="Y19" s="54">
        <v>0</v>
      </c>
    </row>
    <row r="20" spans="1:25" x14ac:dyDescent="0.2">
      <c r="A20" s="50" t="s">
        <v>122</v>
      </c>
      <c r="B20" s="51" t="s">
        <v>65</v>
      </c>
      <c r="C20" s="51" t="s">
        <v>104</v>
      </c>
      <c r="D20" s="52">
        <v>24958</v>
      </c>
      <c r="E20" s="51" t="s">
        <v>123</v>
      </c>
      <c r="F20" s="53">
        <v>3715.11</v>
      </c>
      <c r="G20" s="53">
        <v>1309.4000000000001</v>
      </c>
      <c r="H20" s="53">
        <v>1309.4000000000001</v>
      </c>
      <c r="I20" s="53">
        <v>0</v>
      </c>
      <c r="J20" s="54">
        <v>0</v>
      </c>
      <c r="K20" s="53">
        <v>3956.76</v>
      </c>
      <c r="L20" s="53">
        <v>1394.57</v>
      </c>
      <c r="M20" s="53">
        <v>1394.57</v>
      </c>
      <c r="N20" s="53">
        <v>0</v>
      </c>
      <c r="O20" s="54">
        <v>0</v>
      </c>
      <c r="P20" s="53">
        <v>3995.69</v>
      </c>
      <c r="Q20" s="53">
        <v>1408.29</v>
      </c>
      <c r="R20" s="53">
        <v>1408.29</v>
      </c>
      <c r="S20" s="53">
        <v>0</v>
      </c>
      <c r="T20" s="54">
        <v>0</v>
      </c>
      <c r="U20" s="53">
        <v>4049.59</v>
      </c>
      <c r="V20" s="53">
        <v>1427.29</v>
      </c>
      <c r="W20" s="53">
        <v>1427.29</v>
      </c>
      <c r="X20" s="53">
        <v>0</v>
      </c>
      <c r="Y20" s="54">
        <v>0</v>
      </c>
    </row>
    <row r="21" spans="1:25" x14ac:dyDescent="0.2">
      <c r="A21" s="50" t="s">
        <v>124</v>
      </c>
      <c r="B21" s="51" t="s">
        <v>107</v>
      </c>
      <c r="C21" s="51"/>
      <c r="D21" s="52">
        <v>25342</v>
      </c>
      <c r="E21" s="51" t="s">
        <v>123</v>
      </c>
      <c r="F21" s="53"/>
      <c r="G21" s="53">
        <v>1271.4100000000001</v>
      </c>
      <c r="H21" s="53">
        <v>1271.4100000000001</v>
      </c>
      <c r="I21" s="53">
        <v>0</v>
      </c>
      <c r="J21" s="54"/>
      <c r="K21" s="53"/>
      <c r="L21" s="53">
        <v>1354.11</v>
      </c>
      <c r="M21" s="53">
        <v>1354.11</v>
      </c>
      <c r="N21" s="53">
        <v>0</v>
      </c>
      <c r="O21" s="54"/>
      <c r="P21" s="53"/>
      <c r="Q21" s="53">
        <v>1367.43</v>
      </c>
      <c r="R21" s="53">
        <v>1367.43</v>
      </c>
      <c r="S21" s="53">
        <v>0</v>
      </c>
      <c r="T21" s="54"/>
      <c r="U21" s="53"/>
      <c r="V21" s="53">
        <v>1385.88</v>
      </c>
      <c r="W21" s="53">
        <v>1385.88</v>
      </c>
      <c r="X21" s="53">
        <v>0</v>
      </c>
      <c r="Y21" s="54"/>
    </row>
    <row r="22" spans="1:25" x14ac:dyDescent="0.2">
      <c r="A22" s="50" t="s">
        <v>125</v>
      </c>
      <c r="B22" s="51" t="s">
        <v>109</v>
      </c>
      <c r="C22" s="51"/>
      <c r="D22" s="52">
        <v>38632</v>
      </c>
      <c r="E22" s="51" t="s">
        <v>123</v>
      </c>
      <c r="F22" s="53"/>
      <c r="G22" s="53">
        <v>575.76</v>
      </c>
      <c r="H22" s="53">
        <v>575.76</v>
      </c>
      <c r="I22" s="53">
        <v>0</v>
      </c>
      <c r="J22" s="54"/>
      <c r="K22" s="53"/>
      <c r="L22" s="53">
        <v>613.21</v>
      </c>
      <c r="M22" s="53">
        <v>613.21</v>
      </c>
      <c r="N22" s="53">
        <v>0</v>
      </c>
      <c r="O22" s="54"/>
      <c r="P22" s="53"/>
      <c r="Q22" s="53">
        <v>619.24</v>
      </c>
      <c r="R22" s="53">
        <v>619.24</v>
      </c>
      <c r="S22" s="53">
        <v>0</v>
      </c>
      <c r="T22" s="54"/>
      <c r="U22" s="53"/>
      <c r="V22" s="53">
        <v>627.59</v>
      </c>
      <c r="W22" s="53">
        <v>627.59</v>
      </c>
      <c r="X22" s="53">
        <v>0</v>
      </c>
      <c r="Y22" s="54"/>
    </row>
    <row r="23" spans="1:25" x14ac:dyDescent="0.2">
      <c r="A23" s="50" t="s">
        <v>126</v>
      </c>
      <c r="B23" s="51" t="s">
        <v>109</v>
      </c>
      <c r="C23" s="51"/>
      <c r="D23" s="52">
        <v>39092</v>
      </c>
      <c r="E23" s="51" t="s">
        <v>123</v>
      </c>
      <c r="F23" s="53"/>
      <c r="G23" s="53">
        <v>558.54</v>
      </c>
      <c r="H23" s="53">
        <v>558.54</v>
      </c>
      <c r="I23" s="53">
        <v>0</v>
      </c>
      <c r="J23" s="54"/>
      <c r="K23" s="53"/>
      <c r="L23" s="53">
        <v>594.87</v>
      </c>
      <c r="M23" s="53">
        <v>594.87</v>
      </c>
      <c r="N23" s="53">
        <v>0</v>
      </c>
      <c r="O23" s="54"/>
      <c r="P23" s="53"/>
      <c r="Q23" s="53">
        <v>600.73</v>
      </c>
      <c r="R23" s="53">
        <v>600.73</v>
      </c>
      <c r="S23" s="53">
        <v>0</v>
      </c>
      <c r="T23" s="54"/>
      <c r="U23" s="53"/>
      <c r="V23" s="53">
        <v>608.83000000000004</v>
      </c>
      <c r="W23" s="53">
        <v>608.83000000000004</v>
      </c>
      <c r="X23" s="53">
        <v>0</v>
      </c>
      <c r="Y23" s="54"/>
    </row>
    <row r="24" spans="1:25" x14ac:dyDescent="0.2">
      <c r="A24" s="50" t="s">
        <v>127</v>
      </c>
      <c r="B24" s="51" t="s">
        <v>65</v>
      </c>
      <c r="C24" s="51" t="s">
        <v>117</v>
      </c>
      <c r="D24" s="52">
        <v>21309</v>
      </c>
      <c r="E24" s="51" t="s">
        <v>96</v>
      </c>
      <c r="F24" s="53">
        <v>2706.64</v>
      </c>
      <c r="G24" s="53">
        <v>1353.32</v>
      </c>
      <c r="H24" s="53">
        <v>1353.32</v>
      </c>
      <c r="I24" s="53">
        <v>0</v>
      </c>
      <c r="J24" s="54">
        <v>0</v>
      </c>
      <c r="K24" s="53">
        <v>2882.7</v>
      </c>
      <c r="L24" s="53">
        <v>1441.35</v>
      </c>
      <c r="M24" s="53">
        <v>1441.35</v>
      </c>
      <c r="N24" s="53">
        <v>0</v>
      </c>
      <c r="O24" s="54">
        <v>0</v>
      </c>
      <c r="P24" s="53">
        <v>2911.06</v>
      </c>
      <c r="Q24" s="53">
        <v>1455.53</v>
      </c>
      <c r="R24" s="53">
        <v>1455.53</v>
      </c>
      <c r="S24" s="53">
        <v>0</v>
      </c>
      <c r="T24" s="54">
        <v>0</v>
      </c>
      <c r="U24" s="53">
        <v>2950.34</v>
      </c>
      <c r="V24" s="53">
        <v>1475.17</v>
      </c>
      <c r="W24" s="53">
        <v>1475.17</v>
      </c>
      <c r="X24" s="53">
        <v>0</v>
      </c>
      <c r="Y24" s="54">
        <v>0</v>
      </c>
    </row>
    <row r="25" spans="1:25" x14ac:dyDescent="0.2">
      <c r="A25" s="50" t="s">
        <v>128</v>
      </c>
      <c r="B25" s="51" t="s">
        <v>107</v>
      </c>
      <c r="C25" s="51"/>
      <c r="D25" s="52">
        <v>23570</v>
      </c>
      <c r="E25" s="51" t="s">
        <v>96</v>
      </c>
      <c r="F25" s="53"/>
      <c r="G25" s="53">
        <v>1353.32</v>
      </c>
      <c r="H25" s="53">
        <v>1353.32</v>
      </c>
      <c r="I25" s="53">
        <v>0</v>
      </c>
      <c r="J25" s="54"/>
      <c r="K25" s="53"/>
      <c r="L25" s="53">
        <v>1441.35</v>
      </c>
      <c r="M25" s="53">
        <v>1441.35</v>
      </c>
      <c r="N25" s="53">
        <v>0</v>
      </c>
      <c r="O25" s="54"/>
      <c r="P25" s="53"/>
      <c r="Q25" s="53">
        <v>1455.53</v>
      </c>
      <c r="R25" s="53">
        <v>1455.53</v>
      </c>
      <c r="S25" s="53">
        <v>0</v>
      </c>
      <c r="T25" s="54"/>
      <c r="U25" s="53"/>
      <c r="V25" s="53">
        <v>1475.17</v>
      </c>
      <c r="W25" s="53">
        <v>1475.17</v>
      </c>
      <c r="X25" s="53">
        <v>0</v>
      </c>
      <c r="Y25" s="54"/>
    </row>
    <row r="26" spans="1:25" x14ac:dyDescent="0.2">
      <c r="A26" s="50" t="s">
        <v>129</v>
      </c>
      <c r="B26" s="51" t="s">
        <v>65</v>
      </c>
      <c r="C26" s="51" t="s">
        <v>65</v>
      </c>
      <c r="D26" s="52">
        <v>24147</v>
      </c>
      <c r="E26" s="51" t="s">
        <v>113</v>
      </c>
      <c r="F26" s="53">
        <v>1353.32</v>
      </c>
      <c r="G26" s="53">
        <v>1353.32</v>
      </c>
      <c r="H26" s="53">
        <v>1353.32</v>
      </c>
      <c r="I26" s="53">
        <v>0</v>
      </c>
      <c r="J26" s="54">
        <v>0</v>
      </c>
      <c r="K26" s="53">
        <v>1441.35</v>
      </c>
      <c r="L26" s="53">
        <v>1441.35</v>
      </c>
      <c r="M26" s="53">
        <v>1441.35</v>
      </c>
      <c r="N26" s="53">
        <v>0</v>
      </c>
      <c r="O26" s="54">
        <v>0</v>
      </c>
      <c r="P26" s="53">
        <v>1455.53</v>
      </c>
      <c r="Q26" s="53">
        <v>1455.53</v>
      </c>
      <c r="R26" s="53">
        <v>1455.53</v>
      </c>
      <c r="S26" s="53">
        <v>0</v>
      </c>
      <c r="T26" s="54">
        <v>0</v>
      </c>
      <c r="U26" s="53">
        <v>1475.17</v>
      </c>
      <c r="V26" s="53">
        <v>1475.17</v>
      </c>
      <c r="W26" s="53">
        <v>1475.17</v>
      </c>
      <c r="X26" s="53">
        <v>0</v>
      </c>
      <c r="Y26" s="54">
        <v>0</v>
      </c>
    </row>
    <row r="27" spans="1:25" x14ac:dyDescent="0.2">
      <c r="A27" s="50" t="s">
        <v>130</v>
      </c>
      <c r="B27" s="51" t="s">
        <v>65</v>
      </c>
      <c r="C27" s="51" t="s">
        <v>65</v>
      </c>
      <c r="D27" s="52">
        <v>25210</v>
      </c>
      <c r="E27" s="51" t="s">
        <v>131</v>
      </c>
      <c r="F27" s="53">
        <v>1271.4100000000001</v>
      </c>
      <c r="G27" s="53">
        <v>1271.4100000000001</v>
      </c>
      <c r="H27" s="53">
        <v>1271.4100000000001</v>
      </c>
      <c r="I27" s="53">
        <v>0</v>
      </c>
      <c r="J27" s="54">
        <v>0</v>
      </c>
      <c r="K27" s="53">
        <v>1354.11</v>
      </c>
      <c r="L27" s="53">
        <v>1354.11</v>
      </c>
      <c r="M27" s="53">
        <v>1354.11</v>
      </c>
      <c r="N27" s="53">
        <v>0</v>
      </c>
      <c r="O27" s="54">
        <v>0</v>
      </c>
      <c r="P27" s="53">
        <v>1367.43</v>
      </c>
      <c r="Q27" s="53">
        <v>1367.43</v>
      </c>
      <c r="R27" s="53">
        <v>1367.43</v>
      </c>
      <c r="S27" s="53">
        <v>0</v>
      </c>
      <c r="T27" s="54">
        <v>0</v>
      </c>
      <c r="U27" s="53">
        <v>1385.88</v>
      </c>
      <c r="V27" s="53">
        <v>1385.88</v>
      </c>
      <c r="W27" s="53">
        <v>1385.88</v>
      </c>
      <c r="X27" s="53">
        <v>0</v>
      </c>
      <c r="Y27" s="54">
        <v>0</v>
      </c>
    </row>
    <row r="28" spans="1:25" x14ac:dyDescent="0.2">
      <c r="A28" s="50" t="s">
        <v>132</v>
      </c>
      <c r="B28" s="51" t="s">
        <v>65</v>
      </c>
      <c r="C28" s="51" t="s">
        <v>65</v>
      </c>
      <c r="D28" s="52">
        <v>35103</v>
      </c>
      <c r="E28" s="51" t="s">
        <v>113</v>
      </c>
      <c r="F28" s="53">
        <v>763.92</v>
      </c>
      <c r="G28" s="53">
        <v>763.92</v>
      </c>
      <c r="H28" s="53">
        <v>763.92</v>
      </c>
      <c r="I28" s="53">
        <v>0</v>
      </c>
      <c r="J28" s="54">
        <v>0</v>
      </c>
      <c r="K28" s="53">
        <v>813.61</v>
      </c>
      <c r="L28" s="53">
        <v>813.61</v>
      </c>
      <c r="M28" s="53">
        <v>813.61</v>
      </c>
      <c r="N28" s="53">
        <v>0</v>
      </c>
      <c r="O28" s="54">
        <v>0</v>
      </c>
      <c r="P28" s="53">
        <v>821.61</v>
      </c>
      <c r="Q28" s="53">
        <v>821.61</v>
      </c>
      <c r="R28" s="53">
        <v>821.61</v>
      </c>
      <c r="S28" s="53">
        <v>0</v>
      </c>
      <c r="T28" s="54">
        <v>0</v>
      </c>
      <c r="U28" s="53">
        <v>832.69</v>
      </c>
      <c r="V28" s="53">
        <v>832.69</v>
      </c>
      <c r="W28" s="53">
        <v>832.69</v>
      </c>
      <c r="X28" s="53">
        <v>0</v>
      </c>
      <c r="Y28" s="54">
        <v>0</v>
      </c>
    </row>
    <row r="29" spans="1:25" x14ac:dyDescent="0.2">
      <c r="A29" s="50" t="s">
        <v>133</v>
      </c>
      <c r="B29" s="51" t="s">
        <v>65</v>
      </c>
      <c r="C29" s="51" t="s">
        <v>117</v>
      </c>
      <c r="D29" s="52">
        <v>27399</v>
      </c>
      <c r="E29" s="51" t="s">
        <v>113</v>
      </c>
      <c r="F29" s="53">
        <v>1960.54</v>
      </c>
      <c r="G29" s="53">
        <v>1063.67</v>
      </c>
      <c r="H29" s="53">
        <v>1063.67</v>
      </c>
      <c r="I29" s="53">
        <v>0</v>
      </c>
      <c r="J29" s="54">
        <v>0</v>
      </c>
      <c r="K29" s="53">
        <v>2088.06</v>
      </c>
      <c r="L29" s="53">
        <v>1132.8499999999999</v>
      </c>
      <c r="M29" s="53">
        <v>1132.8499999999999</v>
      </c>
      <c r="N29" s="53">
        <v>0</v>
      </c>
      <c r="O29" s="54">
        <v>0</v>
      </c>
      <c r="P29" s="53">
        <v>2108.61</v>
      </c>
      <c r="Q29" s="53">
        <v>1144</v>
      </c>
      <c r="R29" s="53">
        <v>1144</v>
      </c>
      <c r="S29" s="53">
        <v>0</v>
      </c>
      <c r="T29" s="54">
        <v>0</v>
      </c>
      <c r="U29" s="53">
        <v>2137.0500000000002</v>
      </c>
      <c r="V29" s="53">
        <v>1159.43</v>
      </c>
      <c r="W29" s="53">
        <v>1159.43</v>
      </c>
      <c r="X29" s="53">
        <v>0</v>
      </c>
      <c r="Y29" s="54">
        <v>0</v>
      </c>
    </row>
    <row r="30" spans="1:25" x14ac:dyDescent="0.2">
      <c r="A30" s="50" t="s">
        <v>134</v>
      </c>
      <c r="B30" s="51" t="s">
        <v>107</v>
      </c>
      <c r="C30" s="51"/>
      <c r="D30" s="52">
        <v>29502</v>
      </c>
      <c r="E30" s="51" t="s">
        <v>113</v>
      </c>
      <c r="F30" s="53"/>
      <c r="G30" s="53">
        <v>896.87</v>
      </c>
      <c r="H30" s="53">
        <v>896.87</v>
      </c>
      <c r="I30" s="53">
        <v>0</v>
      </c>
      <c r="J30" s="54"/>
      <c r="K30" s="53"/>
      <c r="L30" s="53">
        <v>955.21</v>
      </c>
      <c r="M30" s="53">
        <v>955.21</v>
      </c>
      <c r="N30" s="53">
        <v>0</v>
      </c>
      <c r="O30" s="54"/>
      <c r="P30" s="53"/>
      <c r="Q30" s="53">
        <v>964.61</v>
      </c>
      <c r="R30" s="53">
        <v>964.61</v>
      </c>
      <c r="S30" s="53">
        <v>0</v>
      </c>
      <c r="T30" s="54"/>
      <c r="U30" s="53"/>
      <c r="V30" s="53">
        <v>977.62</v>
      </c>
      <c r="W30" s="53">
        <v>977.62</v>
      </c>
      <c r="X30" s="53">
        <v>0</v>
      </c>
      <c r="Y30" s="54"/>
    </row>
    <row r="31" spans="1:25" x14ac:dyDescent="0.2">
      <c r="A31" s="50" t="s">
        <v>135</v>
      </c>
      <c r="B31" s="51" t="s">
        <v>65</v>
      </c>
      <c r="C31" s="51" t="s">
        <v>104</v>
      </c>
      <c r="D31" s="52">
        <v>24592</v>
      </c>
      <c r="E31" s="51" t="s">
        <v>111</v>
      </c>
      <c r="F31" s="53">
        <v>3448.59</v>
      </c>
      <c r="G31" s="53">
        <v>1353.32</v>
      </c>
      <c r="H31" s="53">
        <v>1353.32</v>
      </c>
      <c r="I31" s="53">
        <v>0</v>
      </c>
      <c r="J31" s="54">
        <v>0</v>
      </c>
      <c r="K31" s="53">
        <v>3672.92</v>
      </c>
      <c r="L31" s="53">
        <v>1441.35</v>
      </c>
      <c r="M31" s="53">
        <v>1441.35</v>
      </c>
      <c r="N31" s="53">
        <v>0</v>
      </c>
      <c r="O31" s="54">
        <v>0</v>
      </c>
      <c r="P31" s="53">
        <v>3709.05</v>
      </c>
      <c r="Q31" s="53">
        <v>1455.53</v>
      </c>
      <c r="R31" s="53">
        <v>1455.53</v>
      </c>
      <c r="S31" s="53">
        <v>0</v>
      </c>
      <c r="T31" s="54">
        <v>0</v>
      </c>
      <c r="U31" s="53">
        <v>3759.09</v>
      </c>
      <c r="V31" s="53">
        <v>1475.17</v>
      </c>
      <c r="W31" s="53">
        <v>1475.17</v>
      </c>
      <c r="X31" s="53">
        <v>0</v>
      </c>
      <c r="Y31" s="54">
        <v>0</v>
      </c>
    </row>
    <row r="32" spans="1:25" x14ac:dyDescent="0.2">
      <c r="A32" s="50" t="s">
        <v>136</v>
      </c>
      <c r="B32" s="51" t="s">
        <v>107</v>
      </c>
      <c r="C32" s="51"/>
      <c r="D32" s="52">
        <v>22616</v>
      </c>
      <c r="E32" s="51" t="s">
        <v>111</v>
      </c>
      <c r="F32" s="53"/>
      <c r="G32" s="53">
        <v>1353.32</v>
      </c>
      <c r="H32" s="53">
        <v>1353.32</v>
      </c>
      <c r="I32" s="53">
        <v>0</v>
      </c>
      <c r="J32" s="54"/>
      <c r="K32" s="53"/>
      <c r="L32" s="53">
        <v>1441.35</v>
      </c>
      <c r="M32" s="53">
        <v>1441.35</v>
      </c>
      <c r="N32" s="53">
        <v>0</v>
      </c>
      <c r="O32" s="54"/>
      <c r="P32" s="53"/>
      <c r="Q32" s="53">
        <v>1455.53</v>
      </c>
      <c r="R32" s="53">
        <v>1455.53</v>
      </c>
      <c r="S32" s="53">
        <v>0</v>
      </c>
      <c r="T32" s="54"/>
      <c r="U32" s="53"/>
      <c r="V32" s="53">
        <v>1475.17</v>
      </c>
      <c r="W32" s="53">
        <v>1475.17</v>
      </c>
      <c r="X32" s="53">
        <v>0</v>
      </c>
      <c r="Y32" s="54"/>
    </row>
    <row r="33" spans="1:25" x14ac:dyDescent="0.2">
      <c r="A33" s="50" t="s">
        <v>137</v>
      </c>
      <c r="B33" s="51" t="s">
        <v>109</v>
      </c>
      <c r="C33" s="51"/>
      <c r="D33" s="52">
        <v>37842</v>
      </c>
      <c r="E33" s="51" t="s">
        <v>111</v>
      </c>
      <c r="F33" s="53"/>
      <c r="G33" s="53">
        <v>741.95</v>
      </c>
      <c r="H33" s="53">
        <v>741.95</v>
      </c>
      <c r="I33" s="53">
        <v>0</v>
      </c>
      <c r="J33" s="54"/>
      <c r="K33" s="53"/>
      <c r="L33" s="53">
        <v>790.22</v>
      </c>
      <c r="M33" s="53">
        <v>790.22</v>
      </c>
      <c r="N33" s="53">
        <v>0</v>
      </c>
      <c r="O33" s="54"/>
      <c r="P33" s="53"/>
      <c r="Q33" s="53">
        <v>797.99</v>
      </c>
      <c r="R33" s="53">
        <v>797.99</v>
      </c>
      <c r="S33" s="53">
        <v>0</v>
      </c>
      <c r="T33" s="54"/>
      <c r="U33" s="53"/>
      <c r="V33" s="53">
        <v>808.75</v>
      </c>
      <c r="W33" s="53">
        <v>808.75</v>
      </c>
      <c r="X33" s="53">
        <v>0</v>
      </c>
      <c r="Y33" s="54"/>
    </row>
    <row r="34" spans="1:25" x14ac:dyDescent="0.2">
      <c r="A34" s="50" t="s">
        <v>138</v>
      </c>
      <c r="B34" s="51" t="s">
        <v>65</v>
      </c>
      <c r="C34" s="51" t="s">
        <v>65</v>
      </c>
      <c r="D34" s="52">
        <v>35401</v>
      </c>
      <c r="E34" s="51" t="s">
        <v>113</v>
      </c>
      <c r="F34" s="53">
        <v>756.79</v>
      </c>
      <c r="G34" s="53">
        <v>756.79</v>
      </c>
      <c r="H34" s="53">
        <v>756.79</v>
      </c>
      <c r="I34" s="53">
        <v>0</v>
      </c>
      <c r="J34" s="54">
        <v>0</v>
      </c>
      <c r="K34" s="53">
        <v>806.02</v>
      </c>
      <c r="L34" s="53">
        <v>806.02</v>
      </c>
      <c r="M34" s="53">
        <v>806.02</v>
      </c>
      <c r="N34" s="53">
        <v>0</v>
      </c>
      <c r="O34" s="54">
        <v>0</v>
      </c>
      <c r="P34" s="53">
        <v>813.95</v>
      </c>
      <c r="Q34" s="53">
        <v>813.95</v>
      </c>
      <c r="R34" s="53">
        <v>813.95</v>
      </c>
      <c r="S34" s="53">
        <v>0</v>
      </c>
      <c r="T34" s="54">
        <v>0</v>
      </c>
      <c r="U34" s="53">
        <v>824.93</v>
      </c>
      <c r="V34" s="53">
        <v>824.93</v>
      </c>
      <c r="W34" s="53">
        <v>824.93</v>
      </c>
      <c r="X34" s="53">
        <v>0</v>
      </c>
      <c r="Y34" s="54">
        <v>0</v>
      </c>
    </row>
    <row r="35" spans="1:25" x14ac:dyDescent="0.2">
      <c r="A35" s="50" t="s">
        <v>139</v>
      </c>
      <c r="B35" s="51" t="s">
        <v>65</v>
      </c>
      <c r="C35" s="51" t="s">
        <v>65</v>
      </c>
      <c r="D35" s="52">
        <v>35453</v>
      </c>
      <c r="E35" s="51" t="s">
        <v>113</v>
      </c>
      <c r="F35" s="53">
        <v>756.79</v>
      </c>
      <c r="G35" s="53">
        <v>756.79</v>
      </c>
      <c r="H35" s="53">
        <v>756.79</v>
      </c>
      <c r="I35" s="53">
        <v>0</v>
      </c>
      <c r="J35" s="54">
        <v>0</v>
      </c>
      <c r="K35" s="53">
        <v>806.02</v>
      </c>
      <c r="L35" s="53">
        <v>806.02</v>
      </c>
      <c r="M35" s="53">
        <v>806.02</v>
      </c>
      <c r="N35" s="53">
        <v>0</v>
      </c>
      <c r="O35" s="54">
        <v>0</v>
      </c>
      <c r="P35" s="53">
        <v>813.95</v>
      </c>
      <c r="Q35" s="53">
        <v>813.95</v>
      </c>
      <c r="R35" s="53">
        <v>813.95</v>
      </c>
      <c r="S35" s="53">
        <v>0</v>
      </c>
      <c r="T35" s="54">
        <v>0</v>
      </c>
      <c r="U35" s="53">
        <v>824.93</v>
      </c>
      <c r="V35" s="53">
        <v>824.93</v>
      </c>
      <c r="W35" s="53">
        <v>824.93</v>
      </c>
      <c r="X35" s="53">
        <v>0</v>
      </c>
      <c r="Y35" s="54">
        <v>0</v>
      </c>
    </row>
    <row r="36" spans="1:25" x14ac:dyDescent="0.2">
      <c r="A36" s="50" t="s">
        <v>140</v>
      </c>
      <c r="B36" s="51" t="s">
        <v>65</v>
      </c>
      <c r="C36" s="51" t="s">
        <v>65</v>
      </c>
      <c r="D36" s="52">
        <v>34864</v>
      </c>
      <c r="E36" s="51" t="s">
        <v>118</v>
      </c>
      <c r="F36" s="53">
        <v>763.92</v>
      </c>
      <c r="G36" s="53">
        <v>763.92</v>
      </c>
      <c r="H36" s="53">
        <v>763.92</v>
      </c>
      <c r="I36" s="53">
        <v>0</v>
      </c>
      <c r="J36" s="54">
        <v>0</v>
      </c>
      <c r="K36" s="53">
        <v>813.61</v>
      </c>
      <c r="L36" s="53">
        <v>813.61</v>
      </c>
      <c r="M36" s="53">
        <v>813.61</v>
      </c>
      <c r="N36" s="53">
        <v>0</v>
      </c>
      <c r="O36" s="54">
        <v>0</v>
      </c>
      <c r="P36" s="53">
        <v>821.61</v>
      </c>
      <c r="Q36" s="53">
        <v>821.61</v>
      </c>
      <c r="R36" s="53">
        <v>821.61</v>
      </c>
      <c r="S36" s="53">
        <v>0</v>
      </c>
      <c r="T36" s="54">
        <v>0</v>
      </c>
      <c r="U36" s="53">
        <v>832.69</v>
      </c>
      <c r="V36" s="53">
        <v>832.69</v>
      </c>
      <c r="W36" s="53">
        <v>832.69</v>
      </c>
      <c r="X36" s="53">
        <v>0</v>
      </c>
      <c r="Y36" s="54">
        <v>0</v>
      </c>
    </row>
    <row r="37" spans="1:25" x14ac:dyDescent="0.2">
      <c r="A37" s="50" t="s">
        <v>141</v>
      </c>
      <c r="B37" s="51" t="s">
        <v>65</v>
      </c>
      <c r="C37" s="51" t="s">
        <v>104</v>
      </c>
      <c r="D37" s="52">
        <v>26666</v>
      </c>
      <c r="E37" s="51" t="s">
        <v>118</v>
      </c>
      <c r="F37" s="53">
        <v>3392.22</v>
      </c>
      <c r="G37" s="53">
        <v>1128.96</v>
      </c>
      <c r="H37" s="53">
        <v>1128.96</v>
      </c>
      <c r="I37" s="53">
        <v>0</v>
      </c>
      <c r="J37" s="54">
        <v>0</v>
      </c>
      <c r="K37" s="53">
        <v>3612.87</v>
      </c>
      <c r="L37" s="53">
        <v>1202.3900000000001</v>
      </c>
      <c r="M37" s="53">
        <v>1202.3900000000001</v>
      </c>
      <c r="N37" s="53">
        <v>0</v>
      </c>
      <c r="O37" s="54">
        <v>0</v>
      </c>
      <c r="P37" s="53">
        <v>3648.41</v>
      </c>
      <c r="Q37" s="53">
        <v>1214.22</v>
      </c>
      <c r="R37" s="53">
        <v>1214.22</v>
      </c>
      <c r="S37" s="53">
        <v>0</v>
      </c>
      <c r="T37" s="54">
        <v>0</v>
      </c>
      <c r="U37" s="53">
        <v>3697.62</v>
      </c>
      <c r="V37" s="53">
        <v>1230.5999999999999</v>
      </c>
      <c r="W37" s="53">
        <v>1230.5999999999999</v>
      </c>
      <c r="X37" s="53">
        <v>0</v>
      </c>
      <c r="Y37" s="54">
        <v>0</v>
      </c>
    </row>
    <row r="38" spans="1:25" x14ac:dyDescent="0.2">
      <c r="A38" s="50" t="s">
        <v>142</v>
      </c>
      <c r="B38" s="51" t="s">
        <v>107</v>
      </c>
      <c r="C38" s="51"/>
      <c r="D38" s="52">
        <v>28717</v>
      </c>
      <c r="E38" s="51" t="s">
        <v>118</v>
      </c>
      <c r="F38" s="53"/>
      <c r="G38" s="53">
        <v>945.55</v>
      </c>
      <c r="H38" s="53">
        <v>945.55</v>
      </c>
      <c r="I38" s="53">
        <v>0</v>
      </c>
      <c r="J38" s="54"/>
      <c r="K38" s="53"/>
      <c r="L38" s="53">
        <v>1007.05</v>
      </c>
      <c r="M38" s="53">
        <v>1007.05</v>
      </c>
      <c r="N38" s="53">
        <v>0</v>
      </c>
      <c r="O38" s="54"/>
      <c r="P38" s="53"/>
      <c r="Q38" s="53">
        <v>1016.96</v>
      </c>
      <c r="R38" s="53">
        <v>1016.96</v>
      </c>
      <c r="S38" s="53">
        <v>0</v>
      </c>
      <c r="T38" s="54"/>
      <c r="U38" s="53"/>
      <c r="V38" s="53">
        <v>1030.68</v>
      </c>
      <c r="W38" s="53">
        <v>1030.68</v>
      </c>
      <c r="X38" s="53">
        <v>0</v>
      </c>
      <c r="Y38" s="54"/>
    </row>
    <row r="39" spans="1:25" x14ac:dyDescent="0.2">
      <c r="A39" s="50" t="s">
        <v>143</v>
      </c>
      <c r="B39" s="51" t="s">
        <v>109</v>
      </c>
      <c r="C39" s="51"/>
      <c r="D39" s="52">
        <v>37384</v>
      </c>
      <c r="E39" s="51" t="s">
        <v>118</v>
      </c>
      <c r="F39" s="53"/>
      <c r="G39" s="53">
        <v>741.95</v>
      </c>
      <c r="H39" s="53">
        <v>741.95</v>
      </c>
      <c r="I39" s="53">
        <v>0</v>
      </c>
      <c r="J39" s="54"/>
      <c r="K39" s="53"/>
      <c r="L39" s="53">
        <v>790.22</v>
      </c>
      <c r="M39" s="53">
        <v>790.22</v>
      </c>
      <c r="N39" s="53">
        <v>0</v>
      </c>
      <c r="O39" s="54"/>
      <c r="P39" s="53"/>
      <c r="Q39" s="53">
        <v>797.99</v>
      </c>
      <c r="R39" s="53">
        <v>797.99</v>
      </c>
      <c r="S39" s="53">
        <v>0</v>
      </c>
      <c r="T39" s="54"/>
      <c r="U39" s="53"/>
      <c r="V39" s="53">
        <v>808.75</v>
      </c>
      <c r="W39" s="53">
        <v>808.75</v>
      </c>
      <c r="X39" s="53">
        <v>0</v>
      </c>
      <c r="Y39" s="54"/>
    </row>
    <row r="40" spans="1:25" x14ac:dyDescent="0.2">
      <c r="A40" s="50" t="s">
        <v>144</v>
      </c>
      <c r="B40" s="51" t="s">
        <v>109</v>
      </c>
      <c r="C40" s="51"/>
      <c r="D40" s="52">
        <v>38688</v>
      </c>
      <c r="E40" s="51" t="s">
        <v>118</v>
      </c>
      <c r="F40" s="53"/>
      <c r="G40" s="53">
        <v>575.76</v>
      </c>
      <c r="H40" s="53">
        <v>575.76</v>
      </c>
      <c r="I40" s="53">
        <v>0</v>
      </c>
      <c r="J40" s="54"/>
      <c r="K40" s="53"/>
      <c r="L40" s="53">
        <v>613.21</v>
      </c>
      <c r="M40" s="53">
        <v>613.21</v>
      </c>
      <c r="N40" s="53">
        <v>0</v>
      </c>
      <c r="O40" s="54"/>
      <c r="P40" s="53"/>
      <c r="Q40" s="53">
        <v>619.24</v>
      </c>
      <c r="R40" s="53">
        <v>619.24</v>
      </c>
      <c r="S40" s="53">
        <v>0</v>
      </c>
      <c r="T40" s="54"/>
      <c r="U40" s="53"/>
      <c r="V40" s="53">
        <v>627.59</v>
      </c>
      <c r="W40" s="53">
        <v>627.59</v>
      </c>
      <c r="X40" s="53">
        <v>0</v>
      </c>
      <c r="Y40" s="54"/>
    </row>
    <row r="41" spans="1:25" x14ac:dyDescent="0.2">
      <c r="A41" s="50" t="s">
        <v>145</v>
      </c>
      <c r="B41" s="51" t="s">
        <v>65</v>
      </c>
      <c r="C41" s="51" t="s">
        <v>65</v>
      </c>
      <c r="D41" s="52">
        <v>36146</v>
      </c>
      <c r="E41" s="51" t="s">
        <v>111</v>
      </c>
      <c r="F41" s="53">
        <v>741.95</v>
      </c>
      <c r="G41" s="53">
        <v>741.95</v>
      </c>
      <c r="H41" s="53">
        <v>741.95</v>
      </c>
      <c r="I41" s="53">
        <v>0</v>
      </c>
      <c r="J41" s="54">
        <v>0</v>
      </c>
      <c r="K41" s="53">
        <v>790.22</v>
      </c>
      <c r="L41" s="53">
        <v>790.22</v>
      </c>
      <c r="M41" s="53">
        <v>790.22</v>
      </c>
      <c r="N41" s="53">
        <v>0</v>
      </c>
      <c r="O41" s="54">
        <v>0</v>
      </c>
      <c r="P41" s="53">
        <v>797.99</v>
      </c>
      <c r="Q41" s="53">
        <v>797.99</v>
      </c>
      <c r="R41" s="53">
        <v>797.99</v>
      </c>
      <c r="S41" s="53">
        <v>0</v>
      </c>
      <c r="T41" s="54">
        <v>0</v>
      </c>
      <c r="U41" s="53">
        <v>808.75</v>
      </c>
      <c r="V41" s="53">
        <v>808.75</v>
      </c>
      <c r="W41" s="53">
        <v>808.75</v>
      </c>
      <c r="X41" s="53">
        <v>0</v>
      </c>
      <c r="Y41" s="54">
        <v>0</v>
      </c>
    </row>
    <row r="42" spans="1:25" x14ac:dyDescent="0.2">
      <c r="A42" s="50" t="s">
        <v>146</v>
      </c>
      <c r="B42" s="51" t="s">
        <v>65</v>
      </c>
      <c r="C42" s="51" t="s">
        <v>65</v>
      </c>
      <c r="D42" s="52">
        <v>35249</v>
      </c>
      <c r="E42" s="51" t="s">
        <v>147</v>
      </c>
      <c r="F42" s="53">
        <v>756.79</v>
      </c>
      <c r="G42" s="53">
        <v>756.79</v>
      </c>
      <c r="H42" s="53">
        <v>756.79</v>
      </c>
      <c r="I42" s="53">
        <v>0</v>
      </c>
      <c r="J42" s="54">
        <v>0</v>
      </c>
      <c r="K42" s="53">
        <v>806.02</v>
      </c>
      <c r="L42" s="53">
        <v>806.02</v>
      </c>
      <c r="M42" s="53">
        <v>806.02</v>
      </c>
      <c r="N42" s="53">
        <v>0</v>
      </c>
      <c r="O42" s="54">
        <v>0</v>
      </c>
      <c r="P42" s="53">
        <v>813.95</v>
      </c>
      <c r="Q42" s="53">
        <v>813.95</v>
      </c>
      <c r="R42" s="53">
        <v>813.95</v>
      </c>
      <c r="S42" s="53">
        <v>0</v>
      </c>
      <c r="T42" s="54">
        <v>0</v>
      </c>
      <c r="U42" s="53">
        <v>824.93</v>
      </c>
      <c r="V42" s="53">
        <v>824.93</v>
      </c>
      <c r="W42" s="53">
        <v>824.93</v>
      </c>
      <c r="X42" s="53">
        <v>0</v>
      </c>
      <c r="Y42" s="54">
        <v>0</v>
      </c>
    </row>
    <row r="43" spans="1:25" ht="16.149999999999999" customHeight="1" x14ac:dyDescent="0.2">
      <c r="A43" s="226" t="s">
        <v>81</v>
      </c>
      <c r="B43" s="227"/>
      <c r="C43" s="227"/>
      <c r="D43" s="227"/>
      <c r="E43" s="227"/>
      <c r="F43" s="211" t="s">
        <v>170</v>
      </c>
      <c r="G43" s="212"/>
      <c r="H43" s="212"/>
      <c r="I43" s="212"/>
      <c r="J43" s="213"/>
      <c r="K43" s="211" t="s">
        <v>173</v>
      </c>
      <c r="L43" s="212"/>
      <c r="M43" s="212"/>
      <c r="N43" s="212"/>
      <c r="O43" s="213"/>
      <c r="P43" s="211" t="s">
        <v>175</v>
      </c>
      <c r="Q43" s="212"/>
      <c r="R43" s="212"/>
      <c r="S43" s="212"/>
      <c r="T43" s="213"/>
      <c r="U43" s="211" t="s">
        <v>177</v>
      </c>
      <c r="V43" s="212"/>
      <c r="W43" s="212"/>
      <c r="X43" s="212"/>
      <c r="Y43" s="213"/>
    </row>
    <row r="44" spans="1:25" ht="13.9" customHeight="1" x14ac:dyDescent="0.2">
      <c r="A44" s="228" t="s">
        <v>82</v>
      </c>
      <c r="B44" s="229"/>
      <c r="C44" s="229"/>
      <c r="D44" s="229"/>
      <c r="E44" s="229"/>
      <c r="F44" s="214">
        <v>9649.5400000000009</v>
      </c>
      <c r="G44" s="215"/>
      <c r="H44" s="215"/>
      <c r="I44" s="215"/>
      <c r="J44" s="216"/>
      <c r="K44" s="214">
        <v>10277.219999999999</v>
      </c>
      <c r="L44" s="215"/>
      <c r="M44" s="215"/>
      <c r="N44" s="215"/>
      <c r="O44" s="216"/>
      <c r="P44" s="214">
        <v>10378.32</v>
      </c>
      <c r="Q44" s="215"/>
      <c r="R44" s="215"/>
      <c r="S44" s="215"/>
      <c r="T44" s="216"/>
      <c r="U44" s="214">
        <v>10518.33</v>
      </c>
      <c r="V44" s="215"/>
      <c r="W44" s="215"/>
      <c r="X44" s="215"/>
      <c r="Y44" s="216"/>
    </row>
    <row r="45" spans="1:25" ht="13.9" customHeight="1" x14ac:dyDescent="0.2">
      <c r="A45" s="230" t="s">
        <v>83</v>
      </c>
      <c r="B45" s="231"/>
      <c r="C45" s="231"/>
      <c r="D45" s="231"/>
      <c r="E45" s="231"/>
      <c r="F45" s="208">
        <f>F44*12</f>
        <v>115794.48000000001</v>
      </c>
      <c r="G45" s="209"/>
      <c r="H45" s="209"/>
      <c r="I45" s="209"/>
      <c r="J45" s="210"/>
      <c r="K45" s="208">
        <f>K44*12</f>
        <v>123326.63999999998</v>
      </c>
      <c r="L45" s="209"/>
      <c r="M45" s="209"/>
      <c r="N45" s="209"/>
      <c r="O45" s="210"/>
      <c r="P45" s="208">
        <f>P44*12</f>
        <v>124539.84</v>
      </c>
      <c r="Q45" s="209"/>
      <c r="R45" s="209"/>
      <c r="S45" s="209"/>
      <c r="T45" s="210"/>
      <c r="U45" s="208">
        <f>U44*12</f>
        <v>126219.95999999999</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200-000000000000}"/>
    <hyperlink ref="F46" r:id="rId2" xr:uid="{00000000-0004-0000-4200-000001000000}"/>
    <hyperlink ref="K7" r:id="rId3" xr:uid="{00000000-0004-0000-4200-000002000000}"/>
    <hyperlink ref="K46" r:id="rId4" xr:uid="{00000000-0004-0000-4200-000003000000}"/>
    <hyperlink ref="P7" r:id="rId5" xr:uid="{00000000-0004-0000-4200-000004000000}"/>
    <hyperlink ref="P46" r:id="rId6" xr:uid="{00000000-0004-0000-4200-000005000000}"/>
    <hyperlink ref="U7" r:id="rId7" xr:uid="{00000000-0004-0000-4200-000006000000}"/>
    <hyperlink ref="U46" r:id="rId8" xr:uid="{00000000-0004-0000-42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8331-89EF-487E-B9C4-7F45F2008A5C}">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167</v>
      </c>
      <c r="Q5" s="118"/>
      <c r="R5" s="118"/>
      <c r="S5" s="118"/>
      <c r="T5" s="120"/>
      <c r="U5" s="117" t="s">
        <v>167</v>
      </c>
      <c r="V5" s="118"/>
      <c r="W5" s="118"/>
      <c r="X5" s="118"/>
      <c r="Y5" s="120"/>
    </row>
    <row r="6" spans="1:25" ht="28.5" x14ac:dyDescent="0.2">
      <c r="A6" s="247"/>
      <c r="B6" s="248"/>
      <c r="C6" s="248"/>
      <c r="D6" s="248"/>
      <c r="E6" s="248"/>
      <c r="F6" s="121" t="s">
        <v>178</v>
      </c>
      <c r="G6" s="122"/>
      <c r="H6" s="122"/>
      <c r="I6" s="122"/>
      <c r="J6" s="124"/>
      <c r="K6" s="121" t="s">
        <v>180</v>
      </c>
      <c r="L6" s="122"/>
      <c r="M6" s="122"/>
      <c r="N6" s="122"/>
      <c r="O6" s="124"/>
      <c r="P6" s="121" t="s">
        <v>182</v>
      </c>
      <c r="Q6" s="122"/>
      <c r="R6" s="122"/>
      <c r="S6" s="122"/>
      <c r="T6" s="124"/>
      <c r="U6" s="121" t="s">
        <v>184</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179</v>
      </c>
      <c r="G8" s="233"/>
      <c r="H8" s="233"/>
      <c r="I8" s="233"/>
      <c r="J8" s="234"/>
      <c r="K8" s="232" t="s">
        <v>181</v>
      </c>
      <c r="L8" s="233"/>
      <c r="M8" s="233"/>
      <c r="N8" s="233"/>
      <c r="O8" s="234"/>
      <c r="P8" s="232" t="s">
        <v>183</v>
      </c>
      <c r="Q8" s="233"/>
      <c r="R8" s="233"/>
      <c r="S8" s="233"/>
      <c r="T8" s="234"/>
      <c r="U8" s="232" t="s">
        <v>185</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3259.71</v>
      </c>
      <c r="G10" s="53">
        <v>1489.11</v>
      </c>
      <c r="H10" s="53">
        <v>1489.11</v>
      </c>
      <c r="I10" s="53">
        <v>0</v>
      </c>
      <c r="J10" s="54">
        <v>0</v>
      </c>
      <c r="K10" s="53">
        <v>3395.47</v>
      </c>
      <c r="L10" s="53">
        <v>1551.13</v>
      </c>
      <c r="M10" s="53">
        <v>1551.13</v>
      </c>
      <c r="N10" s="53">
        <v>0</v>
      </c>
      <c r="O10" s="54">
        <v>0</v>
      </c>
      <c r="P10" s="53">
        <v>3487.17</v>
      </c>
      <c r="Q10" s="53">
        <v>1593.02</v>
      </c>
      <c r="R10" s="53">
        <v>1593.02</v>
      </c>
      <c r="S10" s="53">
        <v>0</v>
      </c>
      <c r="T10" s="54">
        <v>0</v>
      </c>
      <c r="U10" s="53">
        <v>3488.29</v>
      </c>
      <c r="V10" s="53">
        <v>1593.53</v>
      </c>
      <c r="W10" s="53">
        <v>1593.53</v>
      </c>
      <c r="X10" s="53">
        <v>0</v>
      </c>
      <c r="Y10" s="54">
        <v>0</v>
      </c>
    </row>
    <row r="11" spans="1:25" x14ac:dyDescent="0.2">
      <c r="A11" s="50" t="s">
        <v>106</v>
      </c>
      <c r="B11" s="51" t="s">
        <v>107</v>
      </c>
      <c r="C11" s="51"/>
      <c r="D11" s="52">
        <v>27837</v>
      </c>
      <c r="E11" s="51" t="s">
        <v>105</v>
      </c>
      <c r="F11" s="53"/>
      <c r="G11" s="53">
        <v>1137.08</v>
      </c>
      <c r="H11" s="53">
        <v>1137.08</v>
      </c>
      <c r="I11" s="53">
        <v>0</v>
      </c>
      <c r="J11" s="54"/>
      <c r="K11" s="53"/>
      <c r="L11" s="53">
        <v>1184.43</v>
      </c>
      <c r="M11" s="53">
        <v>1184.43</v>
      </c>
      <c r="N11" s="53">
        <v>0</v>
      </c>
      <c r="O11" s="54"/>
      <c r="P11" s="53"/>
      <c r="Q11" s="53">
        <v>1216.42</v>
      </c>
      <c r="R11" s="53">
        <v>1216.42</v>
      </c>
      <c r="S11" s="53">
        <v>0</v>
      </c>
      <c r="T11" s="54"/>
      <c r="U11" s="53"/>
      <c r="V11" s="53">
        <v>1216.81</v>
      </c>
      <c r="W11" s="53">
        <v>1216.81</v>
      </c>
      <c r="X11" s="53">
        <v>0</v>
      </c>
      <c r="Y11" s="54"/>
    </row>
    <row r="12" spans="1:25" x14ac:dyDescent="0.2">
      <c r="A12" s="50" t="s">
        <v>108</v>
      </c>
      <c r="B12" s="51" t="s">
        <v>109</v>
      </c>
      <c r="C12" s="51"/>
      <c r="D12" s="52">
        <v>38648</v>
      </c>
      <c r="E12" s="51" t="s">
        <v>105</v>
      </c>
      <c r="F12" s="53"/>
      <c r="G12" s="53">
        <v>633.52</v>
      </c>
      <c r="H12" s="53">
        <v>633.52</v>
      </c>
      <c r="I12" s="53">
        <v>0</v>
      </c>
      <c r="J12" s="54"/>
      <c r="K12" s="53"/>
      <c r="L12" s="53">
        <v>659.91</v>
      </c>
      <c r="M12" s="53">
        <v>659.91</v>
      </c>
      <c r="N12" s="53">
        <v>0</v>
      </c>
      <c r="O12" s="54"/>
      <c r="P12" s="53"/>
      <c r="Q12" s="53">
        <v>677.73</v>
      </c>
      <c r="R12" s="53">
        <v>677.73</v>
      </c>
      <c r="S12" s="53">
        <v>0</v>
      </c>
      <c r="T12" s="54"/>
      <c r="U12" s="53"/>
      <c r="V12" s="53">
        <v>677.95</v>
      </c>
      <c r="W12" s="53">
        <v>677.95</v>
      </c>
      <c r="X12" s="53">
        <v>0</v>
      </c>
      <c r="Y12" s="54"/>
    </row>
    <row r="13" spans="1:25" x14ac:dyDescent="0.2">
      <c r="A13" s="50" t="s">
        <v>110</v>
      </c>
      <c r="B13" s="51" t="s">
        <v>65</v>
      </c>
      <c r="C13" s="51" t="s">
        <v>65</v>
      </c>
      <c r="D13" s="52">
        <v>36345</v>
      </c>
      <c r="E13" s="51" t="s">
        <v>111</v>
      </c>
      <c r="F13" s="53">
        <v>816.4</v>
      </c>
      <c r="G13" s="53">
        <v>816.4</v>
      </c>
      <c r="H13" s="53">
        <v>816.4</v>
      </c>
      <c r="I13" s="53">
        <v>0</v>
      </c>
      <c r="J13" s="54">
        <v>0</v>
      </c>
      <c r="K13" s="53">
        <v>850.4</v>
      </c>
      <c r="L13" s="53">
        <v>850.4</v>
      </c>
      <c r="M13" s="53">
        <v>850.4</v>
      </c>
      <c r="N13" s="53">
        <v>0</v>
      </c>
      <c r="O13" s="54">
        <v>0</v>
      </c>
      <c r="P13" s="53">
        <v>873.37</v>
      </c>
      <c r="Q13" s="53">
        <v>873.37</v>
      </c>
      <c r="R13" s="53">
        <v>873.37</v>
      </c>
      <c r="S13" s="53">
        <v>0</v>
      </c>
      <c r="T13" s="54">
        <v>0</v>
      </c>
      <c r="U13" s="53">
        <v>873.65</v>
      </c>
      <c r="V13" s="53">
        <v>873.65</v>
      </c>
      <c r="W13" s="53">
        <v>873.65</v>
      </c>
      <c r="X13" s="53">
        <v>0</v>
      </c>
      <c r="Y13" s="54">
        <v>0</v>
      </c>
    </row>
    <row r="14" spans="1:25" x14ac:dyDescent="0.2">
      <c r="A14" s="50" t="s">
        <v>112</v>
      </c>
      <c r="B14" s="51" t="s">
        <v>65</v>
      </c>
      <c r="C14" s="51" t="s">
        <v>104</v>
      </c>
      <c r="D14" s="52">
        <v>24895</v>
      </c>
      <c r="E14" s="51" t="s">
        <v>113</v>
      </c>
      <c r="F14" s="53">
        <v>3563.41</v>
      </c>
      <c r="G14" s="53">
        <v>1440.78</v>
      </c>
      <c r="H14" s="53">
        <v>1440.78</v>
      </c>
      <c r="I14" s="53">
        <v>0</v>
      </c>
      <c r="J14" s="54">
        <v>0</v>
      </c>
      <c r="K14" s="53">
        <v>3711.82</v>
      </c>
      <c r="L14" s="53">
        <v>1500.78</v>
      </c>
      <c r="M14" s="53">
        <v>1500.78</v>
      </c>
      <c r="N14" s="53">
        <v>0</v>
      </c>
      <c r="O14" s="54">
        <v>0</v>
      </c>
      <c r="P14" s="53">
        <v>3812.07</v>
      </c>
      <c r="Q14" s="53">
        <v>1541.32</v>
      </c>
      <c r="R14" s="53">
        <v>1541.32</v>
      </c>
      <c r="S14" s="53">
        <v>0</v>
      </c>
      <c r="T14" s="54">
        <v>0</v>
      </c>
      <c r="U14" s="53">
        <v>3813.29</v>
      </c>
      <c r="V14" s="53">
        <v>1541.81</v>
      </c>
      <c r="W14" s="53">
        <v>1541.81</v>
      </c>
      <c r="X14" s="53">
        <v>0</v>
      </c>
      <c r="Y14" s="54">
        <v>0</v>
      </c>
    </row>
    <row r="15" spans="1:25" x14ac:dyDescent="0.2">
      <c r="A15" s="50" t="s">
        <v>114</v>
      </c>
      <c r="B15" s="51" t="s">
        <v>107</v>
      </c>
      <c r="C15" s="51"/>
      <c r="D15" s="52">
        <v>24269</v>
      </c>
      <c r="E15" s="51" t="s">
        <v>113</v>
      </c>
      <c r="F15" s="53"/>
      <c r="G15" s="53">
        <v>1489.11</v>
      </c>
      <c r="H15" s="53">
        <v>1489.11</v>
      </c>
      <c r="I15" s="53">
        <v>0</v>
      </c>
      <c r="J15" s="54"/>
      <c r="K15" s="53"/>
      <c r="L15" s="53">
        <v>1551.13</v>
      </c>
      <c r="M15" s="53">
        <v>1551.13</v>
      </c>
      <c r="N15" s="53">
        <v>0</v>
      </c>
      <c r="O15" s="54"/>
      <c r="P15" s="53"/>
      <c r="Q15" s="53">
        <v>1593.02</v>
      </c>
      <c r="R15" s="53">
        <v>1593.02</v>
      </c>
      <c r="S15" s="53">
        <v>0</v>
      </c>
      <c r="T15" s="54"/>
      <c r="U15" s="53"/>
      <c r="V15" s="53">
        <v>1593.53</v>
      </c>
      <c r="W15" s="53">
        <v>1593.53</v>
      </c>
      <c r="X15" s="53">
        <v>0</v>
      </c>
      <c r="Y15" s="54"/>
    </row>
    <row r="16" spans="1:25" x14ac:dyDescent="0.2">
      <c r="A16" s="50" t="s">
        <v>115</v>
      </c>
      <c r="B16" s="51" t="s">
        <v>109</v>
      </c>
      <c r="C16" s="51"/>
      <c r="D16" s="52">
        <v>38614</v>
      </c>
      <c r="E16" s="51" t="s">
        <v>113</v>
      </c>
      <c r="F16" s="53"/>
      <c r="G16" s="53">
        <v>633.52</v>
      </c>
      <c r="H16" s="53">
        <v>633.52</v>
      </c>
      <c r="I16" s="53">
        <v>0</v>
      </c>
      <c r="J16" s="54"/>
      <c r="K16" s="53"/>
      <c r="L16" s="53">
        <v>659.91</v>
      </c>
      <c r="M16" s="53">
        <v>659.91</v>
      </c>
      <c r="N16" s="53">
        <v>0</v>
      </c>
      <c r="O16" s="54"/>
      <c r="P16" s="53"/>
      <c r="Q16" s="53">
        <v>677.73</v>
      </c>
      <c r="R16" s="53">
        <v>677.73</v>
      </c>
      <c r="S16" s="53">
        <v>0</v>
      </c>
      <c r="T16" s="54"/>
      <c r="U16" s="53"/>
      <c r="V16" s="53">
        <v>677.95</v>
      </c>
      <c r="W16" s="53">
        <v>677.95</v>
      </c>
      <c r="X16" s="53">
        <v>0</v>
      </c>
      <c r="Y16" s="54"/>
    </row>
    <row r="17" spans="1:25" x14ac:dyDescent="0.2">
      <c r="A17" s="50" t="s">
        <v>116</v>
      </c>
      <c r="B17" s="51" t="s">
        <v>65</v>
      </c>
      <c r="C17" s="51" t="s">
        <v>117</v>
      </c>
      <c r="D17" s="52">
        <v>18453</v>
      </c>
      <c r="E17" s="51" t="s">
        <v>118</v>
      </c>
      <c r="F17" s="53">
        <v>2978.22</v>
      </c>
      <c r="G17" s="53">
        <v>1489.11</v>
      </c>
      <c r="H17" s="53">
        <v>1489.11</v>
      </c>
      <c r="I17" s="53">
        <v>0</v>
      </c>
      <c r="J17" s="54">
        <v>0</v>
      </c>
      <c r="K17" s="53">
        <v>3102.26</v>
      </c>
      <c r="L17" s="53">
        <v>1551.13</v>
      </c>
      <c r="M17" s="53">
        <v>1551.13</v>
      </c>
      <c r="N17" s="53">
        <v>0</v>
      </c>
      <c r="O17" s="54">
        <v>0</v>
      </c>
      <c r="P17" s="53">
        <v>3186.04</v>
      </c>
      <c r="Q17" s="53">
        <v>1593.02</v>
      </c>
      <c r="R17" s="53">
        <v>1593.02</v>
      </c>
      <c r="S17" s="53">
        <v>0</v>
      </c>
      <c r="T17" s="54">
        <v>0</v>
      </c>
      <c r="U17" s="53">
        <v>3187.06</v>
      </c>
      <c r="V17" s="53">
        <v>1593.53</v>
      </c>
      <c r="W17" s="53">
        <v>1593.53</v>
      </c>
      <c r="X17" s="53">
        <v>0</v>
      </c>
      <c r="Y17" s="54">
        <v>0</v>
      </c>
    </row>
    <row r="18" spans="1:25" x14ac:dyDescent="0.2">
      <c r="A18" s="50" t="s">
        <v>119</v>
      </c>
      <c r="B18" s="51" t="s">
        <v>107</v>
      </c>
      <c r="C18" s="51"/>
      <c r="D18" s="52">
        <v>19761</v>
      </c>
      <c r="E18" s="51" t="s">
        <v>118</v>
      </c>
      <c r="F18" s="53"/>
      <c r="G18" s="53">
        <v>1489.11</v>
      </c>
      <c r="H18" s="53">
        <v>1489.11</v>
      </c>
      <c r="I18" s="53">
        <v>0</v>
      </c>
      <c r="J18" s="54"/>
      <c r="K18" s="53"/>
      <c r="L18" s="53">
        <v>1551.13</v>
      </c>
      <c r="M18" s="53">
        <v>1551.13</v>
      </c>
      <c r="N18" s="53">
        <v>0</v>
      </c>
      <c r="O18" s="54"/>
      <c r="P18" s="53"/>
      <c r="Q18" s="53">
        <v>1593.02</v>
      </c>
      <c r="R18" s="53">
        <v>1593.02</v>
      </c>
      <c r="S18" s="53">
        <v>0</v>
      </c>
      <c r="T18" s="54"/>
      <c r="U18" s="53"/>
      <c r="V18" s="53">
        <v>1593.53</v>
      </c>
      <c r="W18" s="53">
        <v>1593.53</v>
      </c>
      <c r="X18" s="53">
        <v>0</v>
      </c>
      <c r="Y18" s="54"/>
    </row>
    <row r="19" spans="1:25" x14ac:dyDescent="0.2">
      <c r="A19" s="50" t="s">
        <v>120</v>
      </c>
      <c r="B19" s="51" t="s">
        <v>65</v>
      </c>
      <c r="C19" s="51" t="s">
        <v>65</v>
      </c>
      <c r="D19" s="52">
        <v>35733</v>
      </c>
      <c r="E19" s="51" t="s">
        <v>121</v>
      </c>
      <c r="F19" s="53">
        <v>816.4</v>
      </c>
      <c r="G19" s="53">
        <v>816.4</v>
      </c>
      <c r="H19" s="53">
        <v>816.4</v>
      </c>
      <c r="I19" s="53">
        <v>0</v>
      </c>
      <c r="J19" s="54">
        <v>0</v>
      </c>
      <c r="K19" s="53">
        <v>850.4</v>
      </c>
      <c r="L19" s="53">
        <v>850.4</v>
      </c>
      <c r="M19" s="53">
        <v>850.4</v>
      </c>
      <c r="N19" s="53">
        <v>0</v>
      </c>
      <c r="O19" s="54">
        <v>0</v>
      </c>
      <c r="P19" s="53">
        <v>873.37</v>
      </c>
      <c r="Q19" s="53">
        <v>873.37</v>
      </c>
      <c r="R19" s="53">
        <v>873.37</v>
      </c>
      <c r="S19" s="53">
        <v>0</v>
      </c>
      <c r="T19" s="54">
        <v>0</v>
      </c>
      <c r="U19" s="53">
        <v>873.65</v>
      </c>
      <c r="V19" s="53">
        <v>873.65</v>
      </c>
      <c r="W19" s="53">
        <v>873.65</v>
      </c>
      <c r="X19" s="53">
        <v>0</v>
      </c>
      <c r="Y19" s="54">
        <v>0</v>
      </c>
    </row>
    <row r="20" spans="1:25" x14ac:dyDescent="0.2">
      <c r="A20" s="50" t="s">
        <v>122</v>
      </c>
      <c r="B20" s="51" t="s">
        <v>65</v>
      </c>
      <c r="C20" s="51" t="s">
        <v>104</v>
      </c>
      <c r="D20" s="52">
        <v>24958</v>
      </c>
      <c r="E20" s="51" t="s">
        <v>123</v>
      </c>
      <c r="F20" s="53">
        <v>4087.86</v>
      </c>
      <c r="G20" s="53">
        <v>1440.78</v>
      </c>
      <c r="H20" s="53">
        <v>1440.78</v>
      </c>
      <c r="I20" s="53">
        <v>0</v>
      </c>
      <c r="J20" s="54">
        <v>0</v>
      </c>
      <c r="K20" s="53">
        <v>4258.1099999999997</v>
      </c>
      <c r="L20" s="53">
        <v>1500.78</v>
      </c>
      <c r="M20" s="53">
        <v>1500.78</v>
      </c>
      <c r="N20" s="53">
        <v>0</v>
      </c>
      <c r="O20" s="54">
        <v>0</v>
      </c>
      <c r="P20" s="53">
        <v>4373.12</v>
      </c>
      <c r="Q20" s="53">
        <v>1541.32</v>
      </c>
      <c r="R20" s="53">
        <v>1541.32</v>
      </c>
      <c r="S20" s="53">
        <v>0</v>
      </c>
      <c r="T20" s="54">
        <v>0</v>
      </c>
      <c r="U20" s="53">
        <v>4374.5200000000004</v>
      </c>
      <c r="V20" s="53">
        <v>1541.81</v>
      </c>
      <c r="W20" s="53">
        <v>1541.81</v>
      </c>
      <c r="X20" s="53">
        <v>0</v>
      </c>
      <c r="Y20" s="54">
        <v>0</v>
      </c>
    </row>
    <row r="21" spans="1:25" x14ac:dyDescent="0.2">
      <c r="A21" s="50" t="s">
        <v>124</v>
      </c>
      <c r="B21" s="51" t="s">
        <v>107</v>
      </c>
      <c r="C21" s="51"/>
      <c r="D21" s="52">
        <v>25342</v>
      </c>
      <c r="E21" s="51" t="s">
        <v>123</v>
      </c>
      <c r="F21" s="53"/>
      <c r="G21" s="53">
        <v>1398.98</v>
      </c>
      <c r="H21" s="53">
        <v>1398.98</v>
      </c>
      <c r="I21" s="53">
        <v>0</v>
      </c>
      <c r="J21" s="54"/>
      <c r="K21" s="53"/>
      <c r="L21" s="53">
        <v>1457.24</v>
      </c>
      <c r="M21" s="53">
        <v>1457.24</v>
      </c>
      <c r="N21" s="53">
        <v>0</v>
      </c>
      <c r="O21" s="54"/>
      <c r="P21" s="53"/>
      <c r="Q21" s="53">
        <v>1496.6</v>
      </c>
      <c r="R21" s="53">
        <v>1496.6</v>
      </c>
      <c r="S21" s="53">
        <v>0</v>
      </c>
      <c r="T21" s="54"/>
      <c r="U21" s="53"/>
      <c r="V21" s="53">
        <v>1497.08</v>
      </c>
      <c r="W21" s="53">
        <v>1497.08</v>
      </c>
      <c r="X21" s="53">
        <v>0</v>
      </c>
      <c r="Y21" s="54"/>
    </row>
    <row r="22" spans="1:25" x14ac:dyDescent="0.2">
      <c r="A22" s="50" t="s">
        <v>125</v>
      </c>
      <c r="B22" s="51" t="s">
        <v>109</v>
      </c>
      <c r="C22" s="51"/>
      <c r="D22" s="52">
        <v>38632</v>
      </c>
      <c r="E22" s="51" t="s">
        <v>123</v>
      </c>
      <c r="F22" s="53"/>
      <c r="G22" s="53">
        <v>633.52</v>
      </c>
      <c r="H22" s="53">
        <v>633.52</v>
      </c>
      <c r="I22" s="53">
        <v>0</v>
      </c>
      <c r="J22" s="54"/>
      <c r="K22" s="53"/>
      <c r="L22" s="53">
        <v>659.91</v>
      </c>
      <c r="M22" s="53">
        <v>659.91</v>
      </c>
      <c r="N22" s="53">
        <v>0</v>
      </c>
      <c r="O22" s="54"/>
      <c r="P22" s="53"/>
      <c r="Q22" s="53">
        <v>677.73</v>
      </c>
      <c r="R22" s="53">
        <v>677.73</v>
      </c>
      <c r="S22" s="53">
        <v>0</v>
      </c>
      <c r="T22" s="54"/>
      <c r="U22" s="53"/>
      <c r="V22" s="53">
        <v>677.95</v>
      </c>
      <c r="W22" s="53">
        <v>677.95</v>
      </c>
      <c r="X22" s="53">
        <v>0</v>
      </c>
      <c r="Y22" s="54"/>
    </row>
    <row r="23" spans="1:25" x14ac:dyDescent="0.2">
      <c r="A23" s="50" t="s">
        <v>126</v>
      </c>
      <c r="B23" s="51" t="s">
        <v>109</v>
      </c>
      <c r="C23" s="51"/>
      <c r="D23" s="52">
        <v>39092</v>
      </c>
      <c r="E23" s="51" t="s">
        <v>123</v>
      </c>
      <c r="F23" s="53"/>
      <c r="G23" s="53">
        <v>614.58000000000004</v>
      </c>
      <c r="H23" s="53">
        <v>614.58000000000004</v>
      </c>
      <c r="I23" s="53">
        <v>0</v>
      </c>
      <c r="J23" s="54"/>
      <c r="K23" s="53"/>
      <c r="L23" s="53">
        <v>640.17999999999995</v>
      </c>
      <c r="M23" s="53">
        <v>640.17999999999995</v>
      </c>
      <c r="N23" s="53">
        <v>0</v>
      </c>
      <c r="O23" s="54"/>
      <c r="P23" s="53"/>
      <c r="Q23" s="53">
        <v>657.47</v>
      </c>
      <c r="R23" s="53">
        <v>657.47</v>
      </c>
      <c r="S23" s="53">
        <v>0</v>
      </c>
      <c r="T23" s="54"/>
      <c r="U23" s="53"/>
      <c r="V23" s="53">
        <v>657.68</v>
      </c>
      <c r="W23" s="53">
        <v>657.68</v>
      </c>
      <c r="X23" s="53">
        <v>0</v>
      </c>
      <c r="Y23" s="54"/>
    </row>
    <row r="24" spans="1:25" x14ac:dyDescent="0.2">
      <c r="A24" s="50" t="s">
        <v>127</v>
      </c>
      <c r="B24" s="51" t="s">
        <v>65</v>
      </c>
      <c r="C24" s="51" t="s">
        <v>117</v>
      </c>
      <c r="D24" s="52">
        <v>21309</v>
      </c>
      <c r="E24" s="51" t="s">
        <v>96</v>
      </c>
      <c r="F24" s="53">
        <v>2978.22</v>
      </c>
      <c r="G24" s="53">
        <v>1489.11</v>
      </c>
      <c r="H24" s="53">
        <v>1489.11</v>
      </c>
      <c r="I24" s="53">
        <v>0</v>
      </c>
      <c r="J24" s="54">
        <v>0</v>
      </c>
      <c r="K24" s="53">
        <v>3102.26</v>
      </c>
      <c r="L24" s="53">
        <v>1551.13</v>
      </c>
      <c r="M24" s="53">
        <v>1551.13</v>
      </c>
      <c r="N24" s="53">
        <v>0</v>
      </c>
      <c r="O24" s="54">
        <v>0</v>
      </c>
      <c r="P24" s="53">
        <v>3186.04</v>
      </c>
      <c r="Q24" s="53">
        <v>1593.02</v>
      </c>
      <c r="R24" s="53">
        <v>1593.02</v>
      </c>
      <c r="S24" s="53">
        <v>0</v>
      </c>
      <c r="T24" s="54">
        <v>0</v>
      </c>
      <c r="U24" s="53">
        <v>3187.06</v>
      </c>
      <c r="V24" s="53">
        <v>1593.53</v>
      </c>
      <c r="W24" s="53">
        <v>1593.53</v>
      </c>
      <c r="X24" s="53">
        <v>0</v>
      </c>
      <c r="Y24" s="54">
        <v>0</v>
      </c>
    </row>
    <row r="25" spans="1:25" x14ac:dyDescent="0.2">
      <c r="A25" s="50" t="s">
        <v>128</v>
      </c>
      <c r="B25" s="51" t="s">
        <v>107</v>
      </c>
      <c r="C25" s="51"/>
      <c r="D25" s="52">
        <v>23570</v>
      </c>
      <c r="E25" s="51" t="s">
        <v>96</v>
      </c>
      <c r="F25" s="53"/>
      <c r="G25" s="53">
        <v>1489.11</v>
      </c>
      <c r="H25" s="53">
        <v>1489.11</v>
      </c>
      <c r="I25" s="53">
        <v>0</v>
      </c>
      <c r="J25" s="54"/>
      <c r="K25" s="53"/>
      <c r="L25" s="53">
        <v>1551.13</v>
      </c>
      <c r="M25" s="53">
        <v>1551.13</v>
      </c>
      <c r="N25" s="53">
        <v>0</v>
      </c>
      <c r="O25" s="54"/>
      <c r="P25" s="53"/>
      <c r="Q25" s="53">
        <v>1593.02</v>
      </c>
      <c r="R25" s="53">
        <v>1593.02</v>
      </c>
      <c r="S25" s="53">
        <v>0</v>
      </c>
      <c r="T25" s="54"/>
      <c r="U25" s="53"/>
      <c r="V25" s="53">
        <v>1593.53</v>
      </c>
      <c r="W25" s="53">
        <v>1593.53</v>
      </c>
      <c r="X25" s="53">
        <v>0</v>
      </c>
      <c r="Y25" s="54"/>
    </row>
    <row r="26" spans="1:25" x14ac:dyDescent="0.2">
      <c r="A26" s="50" t="s">
        <v>129</v>
      </c>
      <c r="B26" s="51" t="s">
        <v>65</v>
      </c>
      <c r="C26" s="51" t="s">
        <v>65</v>
      </c>
      <c r="D26" s="52">
        <v>24147</v>
      </c>
      <c r="E26" s="51" t="s">
        <v>113</v>
      </c>
      <c r="F26" s="53">
        <v>1489.11</v>
      </c>
      <c r="G26" s="53">
        <v>1489.11</v>
      </c>
      <c r="H26" s="53">
        <v>1489.11</v>
      </c>
      <c r="I26" s="53">
        <v>0</v>
      </c>
      <c r="J26" s="54">
        <v>0</v>
      </c>
      <c r="K26" s="53">
        <v>1551.13</v>
      </c>
      <c r="L26" s="53">
        <v>1551.13</v>
      </c>
      <c r="M26" s="53">
        <v>1551.13</v>
      </c>
      <c r="N26" s="53">
        <v>0</v>
      </c>
      <c r="O26" s="54">
        <v>0</v>
      </c>
      <c r="P26" s="53">
        <v>1593.02</v>
      </c>
      <c r="Q26" s="53">
        <v>1593.02</v>
      </c>
      <c r="R26" s="53">
        <v>1593.02</v>
      </c>
      <c r="S26" s="53">
        <v>0</v>
      </c>
      <c r="T26" s="54">
        <v>0</v>
      </c>
      <c r="U26" s="53">
        <v>1593.53</v>
      </c>
      <c r="V26" s="53">
        <v>1593.53</v>
      </c>
      <c r="W26" s="53">
        <v>1593.53</v>
      </c>
      <c r="X26" s="53">
        <v>0</v>
      </c>
      <c r="Y26" s="54">
        <v>0</v>
      </c>
    </row>
    <row r="27" spans="1:25" x14ac:dyDescent="0.2">
      <c r="A27" s="50" t="s">
        <v>130</v>
      </c>
      <c r="B27" s="51" t="s">
        <v>65</v>
      </c>
      <c r="C27" s="51" t="s">
        <v>65</v>
      </c>
      <c r="D27" s="52">
        <v>25210</v>
      </c>
      <c r="E27" s="51" t="s">
        <v>131</v>
      </c>
      <c r="F27" s="53">
        <v>1398.98</v>
      </c>
      <c r="G27" s="53">
        <v>1398.98</v>
      </c>
      <c r="H27" s="53">
        <v>1398.98</v>
      </c>
      <c r="I27" s="53">
        <v>0</v>
      </c>
      <c r="J27" s="54">
        <v>0</v>
      </c>
      <c r="K27" s="53">
        <v>1457.24</v>
      </c>
      <c r="L27" s="53">
        <v>1457.24</v>
      </c>
      <c r="M27" s="53">
        <v>1457.24</v>
      </c>
      <c r="N27" s="53">
        <v>0</v>
      </c>
      <c r="O27" s="54">
        <v>0</v>
      </c>
      <c r="P27" s="53">
        <v>1496.6</v>
      </c>
      <c r="Q27" s="53">
        <v>1496.6</v>
      </c>
      <c r="R27" s="53">
        <v>1496.6</v>
      </c>
      <c r="S27" s="53">
        <v>0</v>
      </c>
      <c r="T27" s="54">
        <v>0</v>
      </c>
      <c r="U27" s="53">
        <v>1497.08</v>
      </c>
      <c r="V27" s="53">
        <v>1497.08</v>
      </c>
      <c r="W27" s="53">
        <v>1497.08</v>
      </c>
      <c r="X27" s="53">
        <v>0</v>
      </c>
      <c r="Y27" s="54">
        <v>0</v>
      </c>
    </row>
    <row r="28" spans="1:25" x14ac:dyDescent="0.2">
      <c r="A28" s="50" t="s">
        <v>132</v>
      </c>
      <c r="B28" s="51" t="s">
        <v>65</v>
      </c>
      <c r="C28" s="51" t="s">
        <v>65</v>
      </c>
      <c r="D28" s="52">
        <v>35103</v>
      </c>
      <c r="E28" s="51" t="s">
        <v>113</v>
      </c>
      <c r="F28" s="53">
        <v>840.56</v>
      </c>
      <c r="G28" s="53">
        <v>840.56</v>
      </c>
      <c r="H28" s="53">
        <v>840.56</v>
      </c>
      <c r="I28" s="53">
        <v>0</v>
      </c>
      <c r="J28" s="54">
        <v>0</v>
      </c>
      <c r="K28" s="53">
        <v>875.57</v>
      </c>
      <c r="L28" s="53">
        <v>875.57</v>
      </c>
      <c r="M28" s="53">
        <v>875.57</v>
      </c>
      <c r="N28" s="53">
        <v>0</v>
      </c>
      <c r="O28" s="54">
        <v>0</v>
      </c>
      <c r="P28" s="53">
        <v>899.22</v>
      </c>
      <c r="Q28" s="53">
        <v>899.22</v>
      </c>
      <c r="R28" s="53">
        <v>899.22</v>
      </c>
      <c r="S28" s="53">
        <v>0</v>
      </c>
      <c r="T28" s="54">
        <v>0</v>
      </c>
      <c r="U28" s="53">
        <v>899.51</v>
      </c>
      <c r="V28" s="53">
        <v>899.51</v>
      </c>
      <c r="W28" s="53">
        <v>899.51</v>
      </c>
      <c r="X28" s="53">
        <v>0</v>
      </c>
      <c r="Y28" s="54">
        <v>0</v>
      </c>
    </row>
    <row r="29" spans="1:25" x14ac:dyDescent="0.2">
      <c r="A29" s="50" t="s">
        <v>133</v>
      </c>
      <c r="B29" s="51" t="s">
        <v>65</v>
      </c>
      <c r="C29" s="51" t="s">
        <v>117</v>
      </c>
      <c r="D29" s="52">
        <v>27399</v>
      </c>
      <c r="E29" s="51" t="s">
        <v>113</v>
      </c>
      <c r="F29" s="53">
        <v>2157.25</v>
      </c>
      <c r="G29" s="53">
        <v>1170.3900000000001</v>
      </c>
      <c r="H29" s="53">
        <v>1170.3900000000001</v>
      </c>
      <c r="I29" s="53">
        <v>0</v>
      </c>
      <c r="J29" s="54">
        <v>0</v>
      </c>
      <c r="K29" s="53">
        <v>2247.09</v>
      </c>
      <c r="L29" s="53">
        <v>1219.1300000000001</v>
      </c>
      <c r="M29" s="53">
        <v>1219.1300000000001</v>
      </c>
      <c r="N29" s="53">
        <v>0</v>
      </c>
      <c r="O29" s="54">
        <v>0</v>
      </c>
      <c r="P29" s="53">
        <v>2307.79</v>
      </c>
      <c r="Q29" s="53">
        <v>1252.06</v>
      </c>
      <c r="R29" s="53">
        <v>1252.06</v>
      </c>
      <c r="S29" s="53">
        <v>0</v>
      </c>
      <c r="T29" s="54">
        <v>0</v>
      </c>
      <c r="U29" s="53">
        <v>2308.52</v>
      </c>
      <c r="V29" s="53">
        <v>1252.46</v>
      </c>
      <c r="W29" s="53">
        <v>1252.46</v>
      </c>
      <c r="X29" s="53">
        <v>0</v>
      </c>
      <c r="Y29" s="54">
        <v>0</v>
      </c>
    </row>
    <row r="30" spans="1:25" x14ac:dyDescent="0.2">
      <c r="A30" s="50" t="s">
        <v>134</v>
      </c>
      <c r="B30" s="51" t="s">
        <v>107</v>
      </c>
      <c r="C30" s="51"/>
      <c r="D30" s="52">
        <v>29502</v>
      </c>
      <c r="E30" s="51" t="s">
        <v>113</v>
      </c>
      <c r="F30" s="53"/>
      <c r="G30" s="53">
        <v>986.86</v>
      </c>
      <c r="H30" s="53">
        <v>986.86</v>
      </c>
      <c r="I30" s="53">
        <v>0</v>
      </c>
      <c r="J30" s="54"/>
      <c r="K30" s="53"/>
      <c r="L30" s="53">
        <v>1027.96</v>
      </c>
      <c r="M30" s="53">
        <v>1027.96</v>
      </c>
      <c r="N30" s="53">
        <v>0</v>
      </c>
      <c r="O30" s="54"/>
      <c r="P30" s="53"/>
      <c r="Q30" s="53">
        <v>1055.73</v>
      </c>
      <c r="R30" s="53">
        <v>1055.73</v>
      </c>
      <c r="S30" s="53">
        <v>0</v>
      </c>
      <c r="T30" s="54"/>
      <c r="U30" s="53"/>
      <c r="V30" s="53">
        <v>1056.06</v>
      </c>
      <c r="W30" s="53">
        <v>1056.06</v>
      </c>
      <c r="X30" s="53">
        <v>0</v>
      </c>
      <c r="Y30" s="54"/>
    </row>
    <row r="31" spans="1:25" x14ac:dyDescent="0.2">
      <c r="A31" s="50" t="s">
        <v>135</v>
      </c>
      <c r="B31" s="51" t="s">
        <v>65</v>
      </c>
      <c r="C31" s="51" t="s">
        <v>104</v>
      </c>
      <c r="D31" s="52">
        <v>24592</v>
      </c>
      <c r="E31" s="51" t="s">
        <v>111</v>
      </c>
      <c r="F31" s="53">
        <v>3794.62</v>
      </c>
      <c r="G31" s="53">
        <v>1489.11</v>
      </c>
      <c r="H31" s="53">
        <v>1489.11</v>
      </c>
      <c r="I31" s="53">
        <v>0</v>
      </c>
      <c r="J31" s="54">
        <v>0</v>
      </c>
      <c r="K31" s="53">
        <v>3952.66</v>
      </c>
      <c r="L31" s="53">
        <v>1551.13</v>
      </c>
      <c r="M31" s="53">
        <v>1551.13</v>
      </c>
      <c r="N31" s="53">
        <v>0</v>
      </c>
      <c r="O31" s="54">
        <v>0</v>
      </c>
      <c r="P31" s="53">
        <v>4059.41</v>
      </c>
      <c r="Q31" s="53">
        <v>1593.02</v>
      </c>
      <c r="R31" s="53">
        <v>1593.02</v>
      </c>
      <c r="S31" s="53">
        <v>0</v>
      </c>
      <c r="T31" s="54">
        <v>0</v>
      </c>
      <c r="U31" s="53">
        <v>4060.71</v>
      </c>
      <c r="V31" s="53">
        <v>1593.53</v>
      </c>
      <c r="W31" s="53">
        <v>1593.53</v>
      </c>
      <c r="X31" s="53">
        <v>0</v>
      </c>
      <c r="Y31" s="54">
        <v>0</v>
      </c>
    </row>
    <row r="32" spans="1:25" x14ac:dyDescent="0.2">
      <c r="A32" s="50" t="s">
        <v>136</v>
      </c>
      <c r="B32" s="51" t="s">
        <v>107</v>
      </c>
      <c r="C32" s="51"/>
      <c r="D32" s="52">
        <v>22616</v>
      </c>
      <c r="E32" s="51" t="s">
        <v>111</v>
      </c>
      <c r="F32" s="53"/>
      <c r="G32" s="53">
        <v>1489.11</v>
      </c>
      <c r="H32" s="53">
        <v>1489.11</v>
      </c>
      <c r="I32" s="53">
        <v>0</v>
      </c>
      <c r="J32" s="54"/>
      <c r="K32" s="53"/>
      <c r="L32" s="53">
        <v>1551.13</v>
      </c>
      <c r="M32" s="53">
        <v>1551.13</v>
      </c>
      <c r="N32" s="53">
        <v>0</v>
      </c>
      <c r="O32" s="54"/>
      <c r="P32" s="53"/>
      <c r="Q32" s="53">
        <v>1593.02</v>
      </c>
      <c r="R32" s="53">
        <v>1593.02</v>
      </c>
      <c r="S32" s="53">
        <v>0</v>
      </c>
      <c r="T32" s="54"/>
      <c r="U32" s="53"/>
      <c r="V32" s="53">
        <v>1593.53</v>
      </c>
      <c r="W32" s="53">
        <v>1593.53</v>
      </c>
      <c r="X32" s="53">
        <v>0</v>
      </c>
      <c r="Y32" s="54"/>
    </row>
    <row r="33" spans="1:25" x14ac:dyDescent="0.2">
      <c r="A33" s="50" t="s">
        <v>137</v>
      </c>
      <c r="B33" s="51" t="s">
        <v>109</v>
      </c>
      <c r="C33" s="51"/>
      <c r="D33" s="52">
        <v>37842</v>
      </c>
      <c r="E33" s="51" t="s">
        <v>111</v>
      </c>
      <c r="F33" s="53"/>
      <c r="G33" s="53">
        <v>816.4</v>
      </c>
      <c r="H33" s="53">
        <v>816.4</v>
      </c>
      <c r="I33" s="53">
        <v>0</v>
      </c>
      <c r="J33" s="54"/>
      <c r="K33" s="53"/>
      <c r="L33" s="53">
        <v>850.4</v>
      </c>
      <c r="M33" s="53">
        <v>850.4</v>
      </c>
      <c r="N33" s="53">
        <v>0</v>
      </c>
      <c r="O33" s="54"/>
      <c r="P33" s="53"/>
      <c r="Q33" s="53">
        <v>873.37</v>
      </c>
      <c r="R33" s="53">
        <v>873.37</v>
      </c>
      <c r="S33" s="53">
        <v>0</v>
      </c>
      <c r="T33" s="54"/>
      <c r="U33" s="53"/>
      <c r="V33" s="53">
        <v>873.65</v>
      </c>
      <c r="W33" s="53">
        <v>873.65</v>
      </c>
      <c r="X33" s="53">
        <v>0</v>
      </c>
      <c r="Y33" s="54"/>
    </row>
    <row r="34" spans="1:25" x14ac:dyDescent="0.2">
      <c r="A34" s="50" t="s">
        <v>138</v>
      </c>
      <c r="B34" s="51" t="s">
        <v>65</v>
      </c>
      <c r="C34" s="51" t="s">
        <v>65</v>
      </c>
      <c r="D34" s="52">
        <v>35401</v>
      </c>
      <c r="E34" s="51" t="s">
        <v>113</v>
      </c>
      <c r="F34" s="53">
        <v>832.72</v>
      </c>
      <c r="G34" s="53">
        <v>832.72</v>
      </c>
      <c r="H34" s="53">
        <v>832.72</v>
      </c>
      <c r="I34" s="53">
        <v>0</v>
      </c>
      <c r="J34" s="54">
        <v>0</v>
      </c>
      <c r="K34" s="53">
        <v>867.41</v>
      </c>
      <c r="L34" s="53">
        <v>867.41</v>
      </c>
      <c r="M34" s="53">
        <v>867.41</v>
      </c>
      <c r="N34" s="53">
        <v>0</v>
      </c>
      <c r="O34" s="54">
        <v>0</v>
      </c>
      <c r="P34" s="53">
        <v>890.83</v>
      </c>
      <c r="Q34" s="53">
        <v>890.83</v>
      </c>
      <c r="R34" s="53">
        <v>890.83</v>
      </c>
      <c r="S34" s="53">
        <v>0</v>
      </c>
      <c r="T34" s="54">
        <v>0</v>
      </c>
      <c r="U34" s="53">
        <v>891.12</v>
      </c>
      <c r="V34" s="53">
        <v>891.12</v>
      </c>
      <c r="W34" s="53">
        <v>891.12</v>
      </c>
      <c r="X34" s="53">
        <v>0</v>
      </c>
      <c r="Y34" s="54">
        <v>0</v>
      </c>
    </row>
    <row r="35" spans="1:25" x14ac:dyDescent="0.2">
      <c r="A35" s="50" t="s">
        <v>139</v>
      </c>
      <c r="B35" s="51" t="s">
        <v>65</v>
      </c>
      <c r="C35" s="51" t="s">
        <v>65</v>
      </c>
      <c r="D35" s="52">
        <v>35453</v>
      </c>
      <c r="E35" s="51" t="s">
        <v>113</v>
      </c>
      <c r="F35" s="53">
        <v>832.72</v>
      </c>
      <c r="G35" s="53">
        <v>832.72</v>
      </c>
      <c r="H35" s="53">
        <v>832.72</v>
      </c>
      <c r="I35" s="53">
        <v>0</v>
      </c>
      <c r="J35" s="54">
        <v>0</v>
      </c>
      <c r="K35" s="53">
        <v>867.41</v>
      </c>
      <c r="L35" s="53">
        <v>867.41</v>
      </c>
      <c r="M35" s="53">
        <v>867.41</v>
      </c>
      <c r="N35" s="53">
        <v>0</v>
      </c>
      <c r="O35" s="54">
        <v>0</v>
      </c>
      <c r="P35" s="53">
        <v>890.83</v>
      </c>
      <c r="Q35" s="53">
        <v>890.83</v>
      </c>
      <c r="R35" s="53">
        <v>890.83</v>
      </c>
      <c r="S35" s="53">
        <v>0</v>
      </c>
      <c r="T35" s="54">
        <v>0</v>
      </c>
      <c r="U35" s="53">
        <v>891.12</v>
      </c>
      <c r="V35" s="53">
        <v>891.12</v>
      </c>
      <c r="W35" s="53">
        <v>891.12</v>
      </c>
      <c r="X35" s="53">
        <v>0</v>
      </c>
      <c r="Y35" s="54">
        <v>0</v>
      </c>
    </row>
    <row r="36" spans="1:25" x14ac:dyDescent="0.2">
      <c r="A36" s="50" t="s">
        <v>140</v>
      </c>
      <c r="B36" s="51" t="s">
        <v>65</v>
      </c>
      <c r="C36" s="51" t="s">
        <v>65</v>
      </c>
      <c r="D36" s="52">
        <v>34864</v>
      </c>
      <c r="E36" s="51" t="s">
        <v>118</v>
      </c>
      <c r="F36" s="53">
        <v>840.56</v>
      </c>
      <c r="G36" s="53">
        <v>840.56</v>
      </c>
      <c r="H36" s="53">
        <v>840.56</v>
      </c>
      <c r="I36" s="53">
        <v>0</v>
      </c>
      <c r="J36" s="54">
        <v>0</v>
      </c>
      <c r="K36" s="53">
        <v>875.57</v>
      </c>
      <c r="L36" s="53">
        <v>875.57</v>
      </c>
      <c r="M36" s="53">
        <v>875.57</v>
      </c>
      <c r="N36" s="53">
        <v>0</v>
      </c>
      <c r="O36" s="54">
        <v>0</v>
      </c>
      <c r="P36" s="53">
        <v>899.22</v>
      </c>
      <c r="Q36" s="53">
        <v>899.22</v>
      </c>
      <c r="R36" s="53">
        <v>899.22</v>
      </c>
      <c r="S36" s="53">
        <v>0</v>
      </c>
      <c r="T36" s="54">
        <v>0</v>
      </c>
      <c r="U36" s="53">
        <v>899.51</v>
      </c>
      <c r="V36" s="53">
        <v>899.51</v>
      </c>
      <c r="W36" s="53">
        <v>899.51</v>
      </c>
      <c r="X36" s="53">
        <v>0</v>
      </c>
      <c r="Y36" s="54">
        <v>0</v>
      </c>
    </row>
    <row r="37" spans="1:25" x14ac:dyDescent="0.2">
      <c r="A37" s="50" t="s">
        <v>141</v>
      </c>
      <c r="B37" s="51" t="s">
        <v>65</v>
      </c>
      <c r="C37" s="51" t="s">
        <v>104</v>
      </c>
      <c r="D37" s="52">
        <v>26666</v>
      </c>
      <c r="E37" s="51" t="s">
        <v>118</v>
      </c>
      <c r="F37" s="53">
        <v>3732.57</v>
      </c>
      <c r="G37" s="53">
        <v>1242.23</v>
      </c>
      <c r="H37" s="53">
        <v>1242.23</v>
      </c>
      <c r="I37" s="53">
        <v>0</v>
      </c>
      <c r="J37" s="54">
        <v>0</v>
      </c>
      <c r="K37" s="53">
        <v>3888.03</v>
      </c>
      <c r="L37" s="53">
        <v>1293.97</v>
      </c>
      <c r="M37" s="53">
        <v>1293.97</v>
      </c>
      <c r="N37" s="53">
        <v>0</v>
      </c>
      <c r="O37" s="54">
        <v>0</v>
      </c>
      <c r="P37" s="53">
        <v>3993.03</v>
      </c>
      <c r="Q37" s="53">
        <v>1328.91</v>
      </c>
      <c r="R37" s="53">
        <v>1328.91</v>
      </c>
      <c r="S37" s="53">
        <v>0</v>
      </c>
      <c r="T37" s="54">
        <v>0</v>
      </c>
      <c r="U37" s="53">
        <v>3994.31</v>
      </c>
      <c r="V37" s="53">
        <v>1329.34</v>
      </c>
      <c r="W37" s="53">
        <v>1329.34</v>
      </c>
      <c r="X37" s="53">
        <v>0</v>
      </c>
      <c r="Y37" s="54">
        <v>0</v>
      </c>
    </row>
    <row r="38" spans="1:25" x14ac:dyDescent="0.2">
      <c r="A38" s="50" t="s">
        <v>142</v>
      </c>
      <c r="B38" s="51" t="s">
        <v>107</v>
      </c>
      <c r="C38" s="51"/>
      <c r="D38" s="52">
        <v>28717</v>
      </c>
      <c r="E38" s="51" t="s">
        <v>118</v>
      </c>
      <c r="F38" s="53"/>
      <c r="G38" s="53">
        <v>1040.42</v>
      </c>
      <c r="H38" s="53">
        <v>1040.42</v>
      </c>
      <c r="I38" s="53">
        <v>0</v>
      </c>
      <c r="J38" s="54"/>
      <c r="K38" s="53"/>
      <c r="L38" s="53">
        <v>1083.75</v>
      </c>
      <c r="M38" s="53">
        <v>1083.75</v>
      </c>
      <c r="N38" s="53">
        <v>0</v>
      </c>
      <c r="O38" s="54"/>
      <c r="P38" s="53"/>
      <c r="Q38" s="53">
        <v>1113.02</v>
      </c>
      <c r="R38" s="53">
        <v>1113.02</v>
      </c>
      <c r="S38" s="53">
        <v>0</v>
      </c>
      <c r="T38" s="54"/>
      <c r="U38" s="53"/>
      <c r="V38" s="53">
        <v>1113.3699999999999</v>
      </c>
      <c r="W38" s="53">
        <v>1113.3699999999999</v>
      </c>
      <c r="X38" s="53">
        <v>0</v>
      </c>
      <c r="Y38" s="54"/>
    </row>
    <row r="39" spans="1:25" x14ac:dyDescent="0.2">
      <c r="A39" s="50" t="s">
        <v>143</v>
      </c>
      <c r="B39" s="51" t="s">
        <v>109</v>
      </c>
      <c r="C39" s="51"/>
      <c r="D39" s="52">
        <v>37384</v>
      </c>
      <c r="E39" s="51" t="s">
        <v>118</v>
      </c>
      <c r="F39" s="53"/>
      <c r="G39" s="53">
        <v>816.4</v>
      </c>
      <c r="H39" s="53">
        <v>816.4</v>
      </c>
      <c r="I39" s="53">
        <v>0</v>
      </c>
      <c r="J39" s="54"/>
      <c r="K39" s="53"/>
      <c r="L39" s="53">
        <v>850.4</v>
      </c>
      <c r="M39" s="53">
        <v>850.4</v>
      </c>
      <c r="N39" s="53">
        <v>0</v>
      </c>
      <c r="O39" s="54"/>
      <c r="P39" s="53"/>
      <c r="Q39" s="53">
        <v>873.37</v>
      </c>
      <c r="R39" s="53">
        <v>873.37</v>
      </c>
      <c r="S39" s="53">
        <v>0</v>
      </c>
      <c r="T39" s="54"/>
      <c r="U39" s="53"/>
      <c r="V39" s="53">
        <v>873.65</v>
      </c>
      <c r="W39" s="53">
        <v>873.65</v>
      </c>
      <c r="X39" s="53">
        <v>0</v>
      </c>
      <c r="Y39" s="54"/>
    </row>
    <row r="40" spans="1:25" x14ac:dyDescent="0.2">
      <c r="A40" s="50" t="s">
        <v>144</v>
      </c>
      <c r="B40" s="51" t="s">
        <v>109</v>
      </c>
      <c r="C40" s="51"/>
      <c r="D40" s="52">
        <v>38688</v>
      </c>
      <c r="E40" s="51" t="s">
        <v>118</v>
      </c>
      <c r="F40" s="53"/>
      <c r="G40" s="53">
        <v>633.52</v>
      </c>
      <c r="H40" s="53">
        <v>633.52</v>
      </c>
      <c r="I40" s="53">
        <v>0</v>
      </c>
      <c r="J40" s="54"/>
      <c r="K40" s="53"/>
      <c r="L40" s="53">
        <v>659.91</v>
      </c>
      <c r="M40" s="53">
        <v>659.91</v>
      </c>
      <c r="N40" s="53">
        <v>0</v>
      </c>
      <c r="O40" s="54"/>
      <c r="P40" s="53"/>
      <c r="Q40" s="53">
        <v>677.73</v>
      </c>
      <c r="R40" s="53">
        <v>677.73</v>
      </c>
      <c r="S40" s="53">
        <v>0</v>
      </c>
      <c r="T40" s="54"/>
      <c r="U40" s="53"/>
      <c r="V40" s="53">
        <v>677.95</v>
      </c>
      <c r="W40" s="53">
        <v>677.95</v>
      </c>
      <c r="X40" s="53">
        <v>0</v>
      </c>
      <c r="Y40" s="54"/>
    </row>
    <row r="41" spans="1:25" x14ac:dyDescent="0.2">
      <c r="A41" s="50" t="s">
        <v>145</v>
      </c>
      <c r="B41" s="51" t="s">
        <v>65</v>
      </c>
      <c r="C41" s="51" t="s">
        <v>65</v>
      </c>
      <c r="D41" s="52">
        <v>36146</v>
      </c>
      <c r="E41" s="51" t="s">
        <v>111</v>
      </c>
      <c r="F41" s="53">
        <v>816.4</v>
      </c>
      <c r="G41" s="53">
        <v>816.4</v>
      </c>
      <c r="H41" s="53">
        <v>816.4</v>
      </c>
      <c r="I41" s="53">
        <v>0</v>
      </c>
      <c r="J41" s="54">
        <v>0</v>
      </c>
      <c r="K41" s="53">
        <v>850.4</v>
      </c>
      <c r="L41" s="53">
        <v>850.4</v>
      </c>
      <c r="M41" s="53">
        <v>850.4</v>
      </c>
      <c r="N41" s="53">
        <v>0</v>
      </c>
      <c r="O41" s="54">
        <v>0</v>
      </c>
      <c r="P41" s="53">
        <v>873.37</v>
      </c>
      <c r="Q41" s="53">
        <v>873.37</v>
      </c>
      <c r="R41" s="53">
        <v>873.37</v>
      </c>
      <c r="S41" s="53">
        <v>0</v>
      </c>
      <c r="T41" s="54">
        <v>0</v>
      </c>
      <c r="U41" s="53">
        <v>873.65</v>
      </c>
      <c r="V41" s="53">
        <v>873.65</v>
      </c>
      <c r="W41" s="53">
        <v>873.65</v>
      </c>
      <c r="X41" s="53">
        <v>0</v>
      </c>
      <c r="Y41" s="54">
        <v>0</v>
      </c>
    </row>
    <row r="42" spans="1:25" x14ac:dyDescent="0.2">
      <c r="A42" s="50" t="s">
        <v>146</v>
      </c>
      <c r="B42" s="51" t="s">
        <v>65</v>
      </c>
      <c r="C42" s="51" t="s">
        <v>65</v>
      </c>
      <c r="D42" s="52">
        <v>35249</v>
      </c>
      <c r="E42" s="51" t="s">
        <v>147</v>
      </c>
      <c r="F42" s="53">
        <v>832.72</v>
      </c>
      <c r="G42" s="53">
        <v>832.72</v>
      </c>
      <c r="H42" s="53">
        <v>832.72</v>
      </c>
      <c r="I42" s="53">
        <v>0</v>
      </c>
      <c r="J42" s="54">
        <v>0</v>
      </c>
      <c r="K42" s="53">
        <v>867.41</v>
      </c>
      <c r="L42" s="53">
        <v>867.41</v>
      </c>
      <c r="M42" s="53">
        <v>867.41</v>
      </c>
      <c r="N42" s="53">
        <v>0</v>
      </c>
      <c r="O42" s="54">
        <v>0</v>
      </c>
      <c r="P42" s="53">
        <v>890.83</v>
      </c>
      <c r="Q42" s="53">
        <v>890.83</v>
      </c>
      <c r="R42" s="53">
        <v>890.83</v>
      </c>
      <c r="S42" s="53">
        <v>0</v>
      </c>
      <c r="T42" s="54">
        <v>0</v>
      </c>
      <c r="U42" s="53">
        <v>891.12</v>
      </c>
      <c r="V42" s="53">
        <v>891.12</v>
      </c>
      <c r="W42" s="53">
        <v>891.12</v>
      </c>
      <c r="X42" s="53">
        <v>0</v>
      </c>
      <c r="Y42" s="54">
        <v>0</v>
      </c>
    </row>
    <row r="43" spans="1:25" ht="16.149999999999999" customHeight="1" x14ac:dyDescent="0.2">
      <c r="A43" s="226" t="s">
        <v>81</v>
      </c>
      <c r="B43" s="227"/>
      <c r="C43" s="227"/>
      <c r="D43" s="227"/>
      <c r="E43" s="227"/>
      <c r="F43" s="211" t="s">
        <v>179</v>
      </c>
      <c r="G43" s="212"/>
      <c r="H43" s="212"/>
      <c r="I43" s="212"/>
      <c r="J43" s="213"/>
      <c r="K43" s="211" t="s">
        <v>181</v>
      </c>
      <c r="L43" s="212"/>
      <c r="M43" s="212"/>
      <c r="N43" s="212"/>
      <c r="O43" s="213"/>
      <c r="P43" s="211" t="s">
        <v>183</v>
      </c>
      <c r="Q43" s="212"/>
      <c r="R43" s="212"/>
      <c r="S43" s="212"/>
      <c r="T43" s="213"/>
      <c r="U43" s="211" t="s">
        <v>185</v>
      </c>
      <c r="V43" s="212"/>
      <c r="W43" s="212"/>
      <c r="X43" s="212"/>
      <c r="Y43" s="213"/>
    </row>
    <row r="44" spans="1:25" ht="13.9" customHeight="1" x14ac:dyDescent="0.2">
      <c r="A44" s="228" t="s">
        <v>82</v>
      </c>
      <c r="B44" s="229"/>
      <c r="C44" s="229"/>
      <c r="D44" s="229"/>
      <c r="E44" s="229"/>
      <c r="F44" s="214">
        <v>10617.74</v>
      </c>
      <c r="G44" s="215"/>
      <c r="H44" s="215"/>
      <c r="I44" s="215"/>
      <c r="J44" s="216"/>
      <c r="K44" s="214">
        <v>11059.95</v>
      </c>
      <c r="L44" s="215"/>
      <c r="M44" s="215"/>
      <c r="N44" s="215"/>
      <c r="O44" s="216"/>
      <c r="P44" s="214">
        <v>11358.65</v>
      </c>
      <c r="Q44" s="215"/>
      <c r="R44" s="215"/>
      <c r="S44" s="215"/>
      <c r="T44" s="216"/>
      <c r="U44" s="214">
        <v>11362.29</v>
      </c>
      <c r="V44" s="215"/>
      <c r="W44" s="215"/>
      <c r="X44" s="215"/>
      <c r="Y44" s="216"/>
    </row>
    <row r="45" spans="1:25" ht="13.9" customHeight="1" x14ac:dyDescent="0.2">
      <c r="A45" s="230" t="s">
        <v>83</v>
      </c>
      <c r="B45" s="231"/>
      <c r="C45" s="231"/>
      <c r="D45" s="231"/>
      <c r="E45" s="231"/>
      <c r="F45" s="208">
        <f>F44*12</f>
        <v>127412.88</v>
      </c>
      <c r="G45" s="209"/>
      <c r="H45" s="209"/>
      <c r="I45" s="209"/>
      <c r="J45" s="210"/>
      <c r="K45" s="208">
        <f>K44*12</f>
        <v>132719.40000000002</v>
      </c>
      <c r="L45" s="209"/>
      <c r="M45" s="209"/>
      <c r="N45" s="209"/>
      <c r="O45" s="210"/>
      <c r="P45" s="208">
        <f>P44*12</f>
        <v>136303.79999999999</v>
      </c>
      <c r="Q45" s="209"/>
      <c r="R45" s="209"/>
      <c r="S45" s="209"/>
      <c r="T45" s="210"/>
      <c r="U45" s="208">
        <f>U44*12</f>
        <v>136347.48000000001</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300-000000000000}"/>
    <hyperlink ref="F46" r:id="rId2" xr:uid="{00000000-0004-0000-4300-000001000000}"/>
    <hyperlink ref="K7" r:id="rId3" xr:uid="{00000000-0004-0000-4300-000002000000}"/>
    <hyperlink ref="K46" r:id="rId4" xr:uid="{00000000-0004-0000-4300-000003000000}"/>
    <hyperlink ref="P7" r:id="rId5" xr:uid="{00000000-0004-0000-4300-000004000000}"/>
    <hyperlink ref="P46" r:id="rId6" xr:uid="{00000000-0004-0000-4300-000005000000}"/>
    <hyperlink ref="U7" r:id="rId7" xr:uid="{00000000-0004-0000-4300-000006000000}"/>
    <hyperlink ref="U46" r:id="rId8" xr:uid="{00000000-0004-0000-43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4D63-8406-4B01-BBFB-F9B4FE7454F9}">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186</v>
      </c>
      <c r="G6" s="122"/>
      <c r="H6" s="122"/>
      <c r="I6" s="122"/>
      <c r="J6" s="124"/>
      <c r="K6" s="121" t="s">
        <v>188</v>
      </c>
      <c r="L6" s="122"/>
      <c r="M6" s="122"/>
      <c r="N6" s="122"/>
      <c r="O6" s="124"/>
      <c r="P6" s="121" t="s">
        <v>190</v>
      </c>
      <c r="Q6" s="122"/>
      <c r="R6" s="122"/>
      <c r="S6" s="122"/>
      <c r="T6" s="124"/>
      <c r="U6" s="121" t="s">
        <v>192</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187</v>
      </c>
      <c r="G8" s="233"/>
      <c r="H8" s="233"/>
      <c r="I8" s="233"/>
      <c r="J8" s="234"/>
      <c r="K8" s="232" t="s">
        <v>189</v>
      </c>
      <c r="L8" s="233"/>
      <c r="M8" s="233"/>
      <c r="N8" s="233"/>
      <c r="O8" s="234"/>
      <c r="P8" s="232" t="s">
        <v>191</v>
      </c>
      <c r="Q8" s="233"/>
      <c r="R8" s="233"/>
      <c r="S8" s="233"/>
      <c r="T8" s="234"/>
      <c r="U8" s="232" t="s">
        <v>193</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3509.64</v>
      </c>
      <c r="G10" s="53">
        <v>1603.28</v>
      </c>
      <c r="H10" s="53">
        <v>1603.28</v>
      </c>
      <c r="I10" s="53">
        <v>0</v>
      </c>
      <c r="J10" s="54">
        <v>0</v>
      </c>
      <c r="K10" s="53">
        <v>3518.44</v>
      </c>
      <c r="L10" s="53">
        <v>1607.3</v>
      </c>
      <c r="M10" s="53">
        <v>1607.3</v>
      </c>
      <c r="N10" s="53">
        <v>0</v>
      </c>
      <c r="O10" s="54">
        <v>0</v>
      </c>
      <c r="P10" s="53">
        <v>3699.77</v>
      </c>
      <c r="Q10" s="53">
        <v>1690.14</v>
      </c>
      <c r="R10" s="53">
        <v>1690.14</v>
      </c>
      <c r="S10" s="53">
        <v>0</v>
      </c>
      <c r="T10" s="54">
        <v>0</v>
      </c>
      <c r="U10" s="53">
        <v>3726.02</v>
      </c>
      <c r="V10" s="53">
        <v>1702.13</v>
      </c>
      <c r="W10" s="53">
        <v>1702.13</v>
      </c>
      <c r="X10" s="53">
        <v>0</v>
      </c>
      <c r="Y10" s="54">
        <v>0</v>
      </c>
    </row>
    <row r="11" spans="1:25" x14ac:dyDescent="0.2">
      <c r="A11" s="50" t="s">
        <v>106</v>
      </c>
      <c r="B11" s="51" t="s">
        <v>107</v>
      </c>
      <c r="C11" s="51"/>
      <c r="D11" s="52">
        <v>27837</v>
      </c>
      <c r="E11" s="51" t="s">
        <v>105</v>
      </c>
      <c r="F11" s="53"/>
      <c r="G11" s="53">
        <v>1224.26</v>
      </c>
      <c r="H11" s="53">
        <v>1224.26</v>
      </c>
      <c r="I11" s="53">
        <v>0</v>
      </c>
      <c r="J11" s="54"/>
      <c r="K11" s="53"/>
      <c r="L11" s="53">
        <v>1227.33</v>
      </c>
      <c r="M11" s="53">
        <v>1227.33</v>
      </c>
      <c r="N11" s="53">
        <v>0</v>
      </c>
      <c r="O11" s="54"/>
      <c r="P11" s="53"/>
      <c r="Q11" s="53">
        <v>1290.58</v>
      </c>
      <c r="R11" s="53">
        <v>1290.58</v>
      </c>
      <c r="S11" s="53">
        <v>0</v>
      </c>
      <c r="T11" s="54"/>
      <c r="U11" s="53"/>
      <c r="V11" s="53">
        <v>1299.74</v>
      </c>
      <c r="W11" s="53">
        <v>1299.74</v>
      </c>
      <c r="X11" s="53">
        <v>0</v>
      </c>
      <c r="Y11" s="54"/>
    </row>
    <row r="12" spans="1:25" x14ac:dyDescent="0.2">
      <c r="A12" s="50" t="s">
        <v>108</v>
      </c>
      <c r="B12" s="51" t="s">
        <v>109</v>
      </c>
      <c r="C12" s="51"/>
      <c r="D12" s="52">
        <v>38648</v>
      </c>
      <c r="E12" s="51" t="s">
        <v>105</v>
      </c>
      <c r="F12" s="53"/>
      <c r="G12" s="53">
        <v>682.1</v>
      </c>
      <c r="H12" s="53">
        <v>682.1</v>
      </c>
      <c r="I12" s="53">
        <v>0</v>
      </c>
      <c r="J12" s="54"/>
      <c r="K12" s="53"/>
      <c r="L12" s="53">
        <v>683.81</v>
      </c>
      <c r="M12" s="53">
        <v>683.81</v>
      </c>
      <c r="N12" s="53">
        <v>0</v>
      </c>
      <c r="O12" s="54"/>
      <c r="P12" s="53"/>
      <c r="Q12" s="53">
        <v>719.05</v>
      </c>
      <c r="R12" s="53">
        <v>719.05</v>
      </c>
      <c r="S12" s="53">
        <v>0</v>
      </c>
      <c r="T12" s="54"/>
      <c r="U12" s="53"/>
      <c r="V12" s="53">
        <v>724.15</v>
      </c>
      <c r="W12" s="53">
        <v>724.15</v>
      </c>
      <c r="X12" s="53">
        <v>0</v>
      </c>
      <c r="Y12" s="54"/>
    </row>
    <row r="13" spans="1:25" x14ac:dyDescent="0.2">
      <c r="A13" s="50" t="s">
        <v>110</v>
      </c>
      <c r="B13" s="51" t="s">
        <v>65</v>
      </c>
      <c r="C13" s="51" t="s">
        <v>65</v>
      </c>
      <c r="D13" s="52">
        <v>36345</v>
      </c>
      <c r="E13" s="51" t="s">
        <v>111</v>
      </c>
      <c r="F13" s="53">
        <v>878.99</v>
      </c>
      <c r="G13" s="53">
        <v>878.99</v>
      </c>
      <c r="H13" s="53">
        <v>878.99</v>
      </c>
      <c r="I13" s="53">
        <v>0</v>
      </c>
      <c r="J13" s="54">
        <v>0</v>
      </c>
      <c r="K13" s="53">
        <v>881.19</v>
      </c>
      <c r="L13" s="53">
        <v>881.19</v>
      </c>
      <c r="M13" s="53">
        <v>881.19</v>
      </c>
      <c r="N13" s="53">
        <v>0</v>
      </c>
      <c r="O13" s="54">
        <v>0</v>
      </c>
      <c r="P13" s="53">
        <v>926.61</v>
      </c>
      <c r="Q13" s="53">
        <v>926.61</v>
      </c>
      <c r="R13" s="53">
        <v>926.61</v>
      </c>
      <c r="S13" s="53">
        <v>0</v>
      </c>
      <c r="T13" s="54">
        <v>0</v>
      </c>
      <c r="U13" s="53">
        <v>933.18</v>
      </c>
      <c r="V13" s="53">
        <v>933.18</v>
      </c>
      <c r="W13" s="53">
        <v>933.18</v>
      </c>
      <c r="X13" s="53">
        <v>0</v>
      </c>
      <c r="Y13" s="54">
        <v>0</v>
      </c>
    </row>
    <row r="14" spans="1:25" x14ac:dyDescent="0.2">
      <c r="A14" s="50" t="s">
        <v>112</v>
      </c>
      <c r="B14" s="51" t="s">
        <v>65</v>
      </c>
      <c r="C14" s="51" t="s">
        <v>104</v>
      </c>
      <c r="D14" s="52">
        <v>24895</v>
      </c>
      <c r="E14" s="51" t="s">
        <v>113</v>
      </c>
      <c r="F14" s="53">
        <v>3836.63</v>
      </c>
      <c r="G14" s="53">
        <v>1551.25</v>
      </c>
      <c r="H14" s="53">
        <v>1551.25</v>
      </c>
      <c r="I14" s="53">
        <v>0</v>
      </c>
      <c r="J14" s="54">
        <v>0</v>
      </c>
      <c r="K14" s="53">
        <v>3846.24</v>
      </c>
      <c r="L14" s="53">
        <v>1555.13</v>
      </c>
      <c r="M14" s="53">
        <v>1555.13</v>
      </c>
      <c r="N14" s="53">
        <v>0</v>
      </c>
      <c r="O14" s="54">
        <v>0</v>
      </c>
      <c r="P14" s="53">
        <v>4044.47</v>
      </c>
      <c r="Q14" s="53">
        <v>1635.28</v>
      </c>
      <c r="R14" s="53">
        <v>1635.28</v>
      </c>
      <c r="S14" s="53">
        <v>0</v>
      </c>
      <c r="T14" s="54">
        <v>0</v>
      </c>
      <c r="U14" s="53">
        <v>4073.16</v>
      </c>
      <c r="V14" s="53">
        <v>1646.88</v>
      </c>
      <c r="W14" s="53">
        <v>1646.88</v>
      </c>
      <c r="X14" s="53">
        <v>0</v>
      </c>
      <c r="Y14" s="54">
        <v>0</v>
      </c>
    </row>
    <row r="15" spans="1:25" x14ac:dyDescent="0.2">
      <c r="A15" s="50" t="s">
        <v>114</v>
      </c>
      <c r="B15" s="51" t="s">
        <v>107</v>
      </c>
      <c r="C15" s="51"/>
      <c r="D15" s="52">
        <v>24269</v>
      </c>
      <c r="E15" s="51" t="s">
        <v>113</v>
      </c>
      <c r="F15" s="53"/>
      <c r="G15" s="53">
        <v>1603.28</v>
      </c>
      <c r="H15" s="53">
        <v>1603.28</v>
      </c>
      <c r="I15" s="53">
        <v>0</v>
      </c>
      <c r="J15" s="54"/>
      <c r="K15" s="53"/>
      <c r="L15" s="53">
        <v>1607.3</v>
      </c>
      <c r="M15" s="53">
        <v>1607.3</v>
      </c>
      <c r="N15" s="53">
        <v>0</v>
      </c>
      <c r="O15" s="54"/>
      <c r="P15" s="53"/>
      <c r="Q15" s="53">
        <v>1690.14</v>
      </c>
      <c r="R15" s="53">
        <v>1690.14</v>
      </c>
      <c r="S15" s="53">
        <v>0</v>
      </c>
      <c r="T15" s="54"/>
      <c r="U15" s="53"/>
      <c r="V15" s="53">
        <v>1702.13</v>
      </c>
      <c r="W15" s="53">
        <v>1702.13</v>
      </c>
      <c r="X15" s="53">
        <v>0</v>
      </c>
      <c r="Y15" s="54"/>
    </row>
    <row r="16" spans="1:25" x14ac:dyDescent="0.2">
      <c r="A16" s="50" t="s">
        <v>115</v>
      </c>
      <c r="B16" s="51" t="s">
        <v>109</v>
      </c>
      <c r="C16" s="51"/>
      <c r="D16" s="52">
        <v>38614</v>
      </c>
      <c r="E16" s="51" t="s">
        <v>113</v>
      </c>
      <c r="F16" s="53"/>
      <c r="G16" s="53">
        <v>682.1</v>
      </c>
      <c r="H16" s="53">
        <v>682.1</v>
      </c>
      <c r="I16" s="53">
        <v>0</v>
      </c>
      <c r="J16" s="54"/>
      <c r="K16" s="53"/>
      <c r="L16" s="53">
        <v>683.81</v>
      </c>
      <c r="M16" s="53">
        <v>683.81</v>
      </c>
      <c r="N16" s="53">
        <v>0</v>
      </c>
      <c r="O16" s="54"/>
      <c r="P16" s="53"/>
      <c r="Q16" s="53">
        <v>719.05</v>
      </c>
      <c r="R16" s="53">
        <v>719.05</v>
      </c>
      <c r="S16" s="53">
        <v>0</v>
      </c>
      <c r="T16" s="54"/>
      <c r="U16" s="53"/>
      <c r="V16" s="53">
        <v>724.15</v>
      </c>
      <c r="W16" s="53">
        <v>724.15</v>
      </c>
      <c r="X16" s="53">
        <v>0</v>
      </c>
      <c r="Y16" s="54"/>
    </row>
    <row r="17" spans="1:25" x14ac:dyDescent="0.2">
      <c r="A17" s="50" t="s">
        <v>116</v>
      </c>
      <c r="B17" s="51" t="s">
        <v>65</v>
      </c>
      <c r="C17" s="51" t="s">
        <v>117</v>
      </c>
      <c r="D17" s="52">
        <v>18453</v>
      </c>
      <c r="E17" s="51" t="s">
        <v>118</v>
      </c>
      <c r="F17" s="53">
        <v>3206.56</v>
      </c>
      <c r="G17" s="53">
        <v>1603.28</v>
      </c>
      <c r="H17" s="53">
        <v>1603.28</v>
      </c>
      <c r="I17" s="53">
        <v>0</v>
      </c>
      <c r="J17" s="54">
        <v>0</v>
      </c>
      <c r="K17" s="53">
        <v>3214.6</v>
      </c>
      <c r="L17" s="53">
        <v>1607.3</v>
      </c>
      <c r="M17" s="53">
        <v>1607.3</v>
      </c>
      <c r="N17" s="53">
        <v>0</v>
      </c>
      <c r="O17" s="54">
        <v>0</v>
      </c>
      <c r="P17" s="53">
        <v>3380.28</v>
      </c>
      <c r="Q17" s="53">
        <v>1690.14</v>
      </c>
      <c r="R17" s="53">
        <v>1690.14</v>
      </c>
      <c r="S17" s="53">
        <v>0</v>
      </c>
      <c r="T17" s="54">
        <v>0</v>
      </c>
      <c r="U17" s="53">
        <v>3404.26</v>
      </c>
      <c r="V17" s="53">
        <v>1702.13</v>
      </c>
      <c r="W17" s="53">
        <v>1702.13</v>
      </c>
      <c r="X17" s="53">
        <v>0</v>
      </c>
      <c r="Y17" s="54">
        <v>0</v>
      </c>
    </row>
    <row r="18" spans="1:25" x14ac:dyDescent="0.2">
      <c r="A18" s="50" t="s">
        <v>119</v>
      </c>
      <c r="B18" s="51" t="s">
        <v>107</v>
      </c>
      <c r="C18" s="51"/>
      <c r="D18" s="52">
        <v>19761</v>
      </c>
      <c r="E18" s="51" t="s">
        <v>118</v>
      </c>
      <c r="F18" s="53"/>
      <c r="G18" s="53">
        <v>1603.28</v>
      </c>
      <c r="H18" s="53">
        <v>1603.28</v>
      </c>
      <c r="I18" s="53">
        <v>0</v>
      </c>
      <c r="J18" s="54"/>
      <c r="K18" s="53"/>
      <c r="L18" s="53">
        <v>1607.3</v>
      </c>
      <c r="M18" s="53">
        <v>1607.3</v>
      </c>
      <c r="N18" s="53">
        <v>0</v>
      </c>
      <c r="O18" s="54"/>
      <c r="P18" s="53"/>
      <c r="Q18" s="53">
        <v>1690.14</v>
      </c>
      <c r="R18" s="53">
        <v>1690.14</v>
      </c>
      <c r="S18" s="53">
        <v>0</v>
      </c>
      <c r="T18" s="54"/>
      <c r="U18" s="53"/>
      <c r="V18" s="53">
        <v>1702.13</v>
      </c>
      <c r="W18" s="53">
        <v>1702.13</v>
      </c>
      <c r="X18" s="53">
        <v>0</v>
      </c>
      <c r="Y18" s="54"/>
    </row>
    <row r="19" spans="1:25" x14ac:dyDescent="0.2">
      <c r="A19" s="50" t="s">
        <v>120</v>
      </c>
      <c r="B19" s="51" t="s">
        <v>65</v>
      </c>
      <c r="C19" s="51" t="s">
        <v>65</v>
      </c>
      <c r="D19" s="52">
        <v>35733</v>
      </c>
      <c r="E19" s="51" t="s">
        <v>121</v>
      </c>
      <c r="F19" s="53">
        <v>878.99</v>
      </c>
      <c r="G19" s="53">
        <v>878.99</v>
      </c>
      <c r="H19" s="53">
        <v>878.99</v>
      </c>
      <c r="I19" s="53">
        <v>0</v>
      </c>
      <c r="J19" s="54">
        <v>0</v>
      </c>
      <c r="K19" s="53">
        <v>881.19</v>
      </c>
      <c r="L19" s="53">
        <v>881.19</v>
      </c>
      <c r="M19" s="53">
        <v>881.19</v>
      </c>
      <c r="N19" s="53">
        <v>0</v>
      </c>
      <c r="O19" s="54">
        <v>0</v>
      </c>
      <c r="P19" s="53">
        <v>926.61</v>
      </c>
      <c r="Q19" s="53">
        <v>926.61</v>
      </c>
      <c r="R19" s="53">
        <v>926.61</v>
      </c>
      <c r="S19" s="53">
        <v>0</v>
      </c>
      <c r="T19" s="54">
        <v>0</v>
      </c>
      <c r="U19" s="53">
        <v>933.18</v>
      </c>
      <c r="V19" s="53">
        <v>933.18</v>
      </c>
      <c r="W19" s="53">
        <v>933.18</v>
      </c>
      <c r="X19" s="53">
        <v>0</v>
      </c>
      <c r="Y19" s="54">
        <v>0</v>
      </c>
    </row>
    <row r="20" spans="1:25" x14ac:dyDescent="0.2">
      <c r="A20" s="50" t="s">
        <v>122</v>
      </c>
      <c r="B20" s="51" t="s">
        <v>65</v>
      </c>
      <c r="C20" s="51" t="s">
        <v>104</v>
      </c>
      <c r="D20" s="52">
        <v>24958</v>
      </c>
      <c r="E20" s="51" t="s">
        <v>123</v>
      </c>
      <c r="F20" s="53">
        <v>4401.3</v>
      </c>
      <c r="G20" s="53">
        <v>1551.25</v>
      </c>
      <c r="H20" s="53">
        <v>1551.25</v>
      </c>
      <c r="I20" s="53">
        <v>0</v>
      </c>
      <c r="J20" s="54">
        <v>0</v>
      </c>
      <c r="K20" s="53">
        <v>4412.3100000000004</v>
      </c>
      <c r="L20" s="53">
        <v>1555.13</v>
      </c>
      <c r="M20" s="53">
        <v>1555.13</v>
      </c>
      <c r="N20" s="53">
        <v>0</v>
      </c>
      <c r="O20" s="54">
        <v>0</v>
      </c>
      <c r="P20" s="53">
        <v>4639.72</v>
      </c>
      <c r="Q20" s="53">
        <v>1635.28</v>
      </c>
      <c r="R20" s="53">
        <v>1635.28</v>
      </c>
      <c r="S20" s="53">
        <v>0</v>
      </c>
      <c r="T20" s="54">
        <v>0</v>
      </c>
      <c r="U20" s="53">
        <v>4672.63</v>
      </c>
      <c r="V20" s="53">
        <v>1646.88</v>
      </c>
      <c r="W20" s="53">
        <v>1646.88</v>
      </c>
      <c r="X20" s="53">
        <v>0</v>
      </c>
      <c r="Y20" s="54">
        <v>0</v>
      </c>
    </row>
    <row r="21" spans="1:25" x14ac:dyDescent="0.2">
      <c r="A21" s="50" t="s">
        <v>124</v>
      </c>
      <c r="B21" s="51" t="s">
        <v>107</v>
      </c>
      <c r="C21" s="51"/>
      <c r="D21" s="52">
        <v>25342</v>
      </c>
      <c r="E21" s="51" t="s">
        <v>123</v>
      </c>
      <c r="F21" s="53"/>
      <c r="G21" s="53">
        <v>1506.24</v>
      </c>
      <c r="H21" s="53">
        <v>1506.24</v>
      </c>
      <c r="I21" s="53">
        <v>0</v>
      </c>
      <c r="J21" s="54"/>
      <c r="K21" s="53"/>
      <c r="L21" s="53">
        <v>1510.01</v>
      </c>
      <c r="M21" s="53">
        <v>1510.01</v>
      </c>
      <c r="N21" s="53">
        <v>0</v>
      </c>
      <c r="O21" s="54"/>
      <c r="P21" s="53"/>
      <c r="Q21" s="53">
        <v>1587.84</v>
      </c>
      <c r="R21" s="53">
        <v>1587.84</v>
      </c>
      <c r="S21" s="53">
        <v>0</v>
      </c>
      <c r="T21" s="54"/>
      <c r="U21" s="53"/>
      <c r="V21" s="53">
        <v>1599.1</v>
      </c>
      <c r="W21" s="53">
        <v>1599.1</v>
      </c>
      <c r="X21" s="53">
        <v>0</v>
      </c>
      <c r="Y21" s="54"/>
    </row>
    <row r="22" spans="1:25" x14ac:dyDescent="0.2">
      <c r="A22" s="50" t="s">
        <v>125</v>
      </c>
      <c r="B22" s="51" t="s">
        <v>109</v>
      </c>
      <c r="C22" s="51"/>
      <c r="D22" s="52">
        <v>38632</v>
      </c>
      <c r="E22" s="51" t="s">
        <v>123</v>
      </c>
      <c r="F22" s="53"/>
      <c r="G22" s="53">
        <v>682.1</v>
      </c>
      <c r="H22" s="53">
        <v>682.1</v>
      </c>
      <c r="I22" s="53">
        <v>0</v>
      </c>
      <c r="J22" s="54"/>
      <c r="K22" s="53"/>
      <c r="L22" s="53">
        <v>683.81</v>
      </c>
      <c r="M22" s="53">
        <v>683.81</v>
      </c>
      <c r="N22" s="53">
        <v>0</v>
      </c>
      <c r="O22" s="54"/>
      <c r="P22" s="53"/>
      <c r="Q22" s="53">
        <v>719.05</v>
      </c>
      <c r="R22" s="53">
        <v>719.05</v>
      </c>
      <c r="S22" s="53">
        <v>0</v>
      </c>
      <c r="T22" s="54"/>
      <c r="U22" s="53"/>
      <c r="V22" s="53">
        <v>724.15</v>
      </c>
      <c r="W22" s="53">
        <v>724.15</v>
      </c>
      <c r="X22" s="53">
        <v>0</v>
      </c>
      <c r="Y22" s="54"/>
    </row>
    <row r="23" spans="1:25" x14ac:dyDescent="0.2">
      <c r="A23" s="50" t="s">
        <v>126</v>
      </c>
      <c r="B23" s="51" t="s">
        <v>109</v>
      </c>
      <c r="C23" s="51"/>
      <c r="D23" s="52">
        <v>39092</v>
      </c>
      <c r="E23" s="51" t="s">
        <v>123</v>
      </c>
      <c r="F23" s="53"/>
      <c r="G23" s="53">
        <v>661.71</v>
      </c>
      <c r="H23" s="53">
        <v>661.71</v>
      </c>
      <c r="I23" s="53">
        <v>0</v>
      </c>
      <c r="J23" s="54"/>
      <c r="K23" s="53"/>
      <c r="L23" s="53">
        <v>663.36</v>
      </c>
      <c r="M23" s="53">
        <v>663.36</v>
      </c>
      <c r="N23" s="53">
        <v>0</v>
      </c>
      <c r="O23" s="54"/>
      <c r="P23" s="53"/>
      <c r="Q23" s="53">
        <v>697.55</v>
      </c>
      <c r="R23" s="53">
        <v>697.55</v>
      </c>
      <c r="S23" s="53">
        <v>0</v>
      </c>
      <c r="T23" s="54"/>
      <c r="U23" s="53"/>
      <c r="V23" s="53">
        <v>702.5</v>
      </c>
      <c r="W23" s="53">
        <v>702.5</v>
      </c>
      <c r="X23" s="53">
        <v>0</v>
      </c>
      <c r="Y23" s="54"/>
    </row>
    <row r="24" spans="1:25" x14ac:dyDescent="0.2">
      <c r="A24" s="50" t="s">
        <v>127</v>
      </c>
      <c r="B24" s="51" t="s">
        <v>65</v>
      </c>
      <c r="C24" s="51" t="s">
        <v>117</v>
      </c>
      <c r="D24" s="52">
        <v>21309</v>
      </c>
      <c r="E24" s="51" t="s">
        <v>96</v>
      </c>
      <c r="F24" s="53">
        <v>3206.56</v>
      </c>
      <c r="G24" s="53">
        <v>1603.28</v>
      </c>
      <c r="H24" s="53">
        <v>1603.28</v>
      </c>
      <c r="I24" s="53">
        <v>0</v>
      </c>
      <c r="J24" s="54">
        <v>0</v>
      </c>
      <c r="K24" s="53">
        <v>3214.6</v>
      </c>
      <c r="L24" s="53">
        <v>1607.3</v>
      </c>
      <c r="M24" s="53">
        <v>1607.3</v>
      </c>
      <c r="N24" s="53">
        <v>0</v>
      </c>
      <c r="O24" s="54">
        <v>0</v>
      </c>
      <c r="P24" s="53">
        <v>3380.28</v>
      </c>
      <c r="Q24" s="53">
        <v>1690.14</v>
      </c>
      <c r="R24" s="53">
        <v>1690.14</v>
      </c>
      <c r="S24" s="53">
        <v>0</v>
      </c>
      <c r="T24" s="54">
        <v>0</v>
      </c>
      <c r="U24" s="53">
        <v>3404.26</v>
      </c>
      <c r="V24" s="53">
        <v>1702.13</v>
      </c>
      <c r="W24" s="53">
        <v>1702.13</v>
      </c>
      <c r="X24" s="53">
        <v>0</v>
      </c>
      <c r="Y24" s="54">
        <v>0</v>
      </c>
    </row>
    <row r="25" spans="1:25" x14ac:dyDescent="0.2">
      <c r="A25" s="50" t="s">
        <v>128</v>
      </c>
      <c r="B25" s="51" t="s">
        <v>107</v>
      </c>
      <c r="C25" s="51"/>
      <c r="D25" s="52">
        <v>23570</v>
      </c>
      <c r="E25" s="51" t="s">
        <v>96</v>
      </c>
      <c r="F25" s="53"/>
      <c r="G25" s="53">
        <v>1603.28</v>
      </c>
      <c r="H25" s="53">
        <v>1603.28</v>
      </c>
      <c r="I25" s="53">
        <v>0</v>
      </c>
      <c r="J25" s="54"/>
      <c r="K25" s="53"/>
      <c r="L25" s="53">
        <v>1607.3</v>
      </c>
      <c r="M25" s="53">
        <v>1607.3</v>
      </c>
      <c r="N25" s="53">
        <v>0</v>
      </c>
      <c r="O25" s="54"/>
      <c r="P25" s="53"/>
      <c r="Q25" s="53">
        <v>1690.14</v>
      </c>
      <c r="R25" s="53">
        <v>1690.14</v>
      </c>
      <c r="S25" s="53">
        <v>0</v>
      </c>
      <c r="T25" s="54"/>
      <c r="U25" s="53"/>
      <c r="V25" s="53">
        <v>1702.13</v>
      </c>
      <c r="W25" s="53">
        <v>1702.13</v>
      </c>
      <c r="X25" s="53">
        <v>0</v>
      </c>
      <c r="Y25" s="54"/>
    </row>
    <row r="26" spans="1:25" x14ac:dyDescent="0.2">
      <c r="A26" s="50" t="s">
        <v>129</v>
      </c>
      <c r="B26" s="51" t="s">
        <v>65</v>
      </c>
      <c r="C26" s="51" t="s">
        <v>65</v>
      </c>
      <c r="D26" s="52">
        <v>24147</v>
      </c>
      <c r="E26" s="51" t="s">
        <v>113</v>
      </c>
      <c r="F26" s="53">
        <v>1603.28</v>
      </c>
      <c r="G26" s="53">
        <v>1603.28</v>
      </c>
      <c r="H26" s="53">
        <v>1603.28</v>
      </c>
      <c r="I26" s="53">
        <v>0</v>
      </c>
      <c r="J26" s="54">
        <v>0</v>
      </c>
      <c r="K26" s="53">
        <v>1607.3</v>
      </c>
      <c r="L26" s="53">
        <v>1607.3</v>
      </c>
      <c r="M26" s="53">
        <v>1607.3</v>
      </c>
      <c r="N26" s="53">
        <v>0</v>
      </c>
      <c r="O26" s="54">
        <v>0</v>
      </c>
      <c r="P26" s="53">
        <v>1690.14</v>
      </c>
      <c r="Q26" s="53">
        <v>1690.14</v>
      </c>
      <c r="R26" s="53">
        <v>1690.14</v>
      </c>
      <c r="S26" s="53">
        <v>0</v>
      </c>
      <c r="T26" s="54">
        <v>0</v>
      </c>
      <c r="U26" s="53">
        <v>1702.13</v>
      </c>
      <c r="V26" s="53">
        <v>1702.13</v>
      </c>
      <c r="W26" s="53">
        <v>1702.13</v>
      </c>
      <c r="X26" s="53">
        <v>0</v>
      </c>
      <c r="Y26" s="54">
        <v>0</v>
      </c>
    </row>
    <row r="27" spans="1:25" x14ac:dyDescent="0.2">
      <c r="A27" s="50" t="s">
        <v>130</v>
      </c>
      <c r="B27" s="51" t="s">
        <v>65</v>
      </c>
      <c r="C27" s="51" t="s">
        <v>65</v>
      </c>
      <c r="D27" s="52">
        <v>25210</v>
      </c>
      <c r="E27" s="51" t="s">
        <v>131</v>
      </c>
      <c r="F27" s="53">
        <v>1506.24</v>
      </c>
      <c r="G27" s="53">
        <v>1506.24</v>
      </c>
      <c r="H27" s="53">
        <v>1506.24</v>
      </c>
      <c r="I27" s="53">
        <v>0</v>
      </c>
      <c r="J27" s="54">
        <v>0</v>
      </c>
      <c r="K27" s="53">
        <v>1510.01</v>
      </c>
      <c r="L27" s="53">
        <v>1510.01</v>
      </c>
      <c r="M27" s="53">
        <v>1510.01</v>
      </c>
      <c r="N27" s="53">
        <v>0</v>
      </c>
      <c r="O27" s="54">
        <v>0</v>
      </c>
      <c r="P27" s="53">
        <v>1587.84</v>
      </c>
      <c r="Q27" s="53">
        <v>1587.84</v>
      </c>
      <c r="R27" s="53">
        <v>1587.84</v>
      </c>
      <c r="S27" s="53">
        <v>0</v>
      </c>
      <c r="T27" s="54">
        <v>0</v>
      </c>
      <c r="U27" s="53">
        <v>1599.1</v>
      </c>
      <c r="V27" s="53">
        <v>1599.1</v>
      </c>
      <c r="W27" s="53">
        <v>1599.1</v>
      </c>
      <c r="X27" s="53">
        <v>0</v>
      </c>
      <c r="Y27" s="54">
        <v>0</v>
      </c>
    </row>
    <row r="28" spans="1:25" x14ac:dyDescent="0.2">
      <c r="A28" s="50" t="s">
        <v>132</v>
      </c>
      <c r="B28" s="51" t="s">
        <v>65</v>
      </c>
      <c r="C28" s="51" t="s">
        <v>65</v>
      </c>
      <c r="D28" s="52">
        <v>35103</v>
      </c>
      <c r="E28" s="51" t="s">
        <v>113</v>
      </c>
      <c r="F28" s="53">
        <v>905.01</v>
      </c>
      <c r="G28" s="53">
        <v>905.01</v>
      </c>
      <c r="H28" s="53">
        <v>905.01</v>
      </c>
      <c r="I28" s="53">
        <v>0</v>
      </c>
      <c r="J28" s="54">
        <v>0</v>
      </c>
      <c r="K28" s="53">
        <v>907.28</v>
      </c>
      <c r="L28" s="53">
        <v>907.28</v>
      </c>
      <c r="M28" s="53">
        <v>907.28</v>
      </c>
      <c r="N28" s="53">
        <v>0</v>
      </c>
      <c r="O28" s="54">
        <v>0</v>
      </c>
      <c r="P28" s="53">
        <v>954.04</v>
      </c>
      <c r="Q28" s="53">
        <v>954.04</v>
      </c>
      <c r="R28" s="53">
        <v>954.04</v>
      </c>
      <c r="S28" s="53">
        <v>0</v>
      </c>
      <c r="T28" s="54">
        <v>0</v>
      </c>
      <c r="U28" s="53">
        <v>960.81</v>
      </c>
      <c r="V28" s="53">
        <v>960.81</v>
      </c>
      <c r="W28" s="53">
        <v>960.81</v>
      </c>
      <c r="X28" s="53">
        <v>0</v>
      </c>
      <c r="Y28" s="54">
        <v>0</v>
      </c>
    </row>
    <row r="29" spans="1:25" x14ac:dyDescent="0.2">
      <c r="A29" s="50" t="s">
        <v>133</v>
      </c>
      <c r="B29" s="51" t="s">
        <v>65</v>
      </c>
      <c r="C29" s="51" t="s">
        <v>117</v>
      </c>
      <c r="D29" s="52">
        <v>27399</v>
      </c>
      <c r="E29" s="51" t="s">
        <v>113</v>
      </c>
      <c r="F29" s="53">
        <v>2322.65</v>
      </c>
      <c r="G29" s="53">
        <v>1260.1199999999999</v>
      </c>
      <c r="H29" s="53">
        <v>1260.1199999999999</v>
      </c>
      <c r="I29" s="53">
        <v>0</v>
      </c>
      <c r="J29" s="54">
        <v>0</v>
      </c>
      <c r="K29" s="53">
        <v>2328.4699999999998</v>
      </c>
      <c r="L29" s="53">
        <v>1263.28</v>
      </c>
      <c r="M29" s="53">
        <v>1263.28</v>
      </c>
      <c r="N29" s="53">
        <v>0</v>
      </c>
      <c r="O29" s="54">
        <v>0</v>
      </c>
      <c r="P29" s="53">
        <v>2448.48</v>
      </c>
      <c r="Q29" s="53">
        <v>1328.39</v>
      </c>
      <c r="R29" s="53">
        <v>1328.39</v>
      </c>
      <c r="S29" s="53">
        <v>0</v>
      </c>
      <c r="T29" s="54">
        <v>0</v>
      </c>
      <c r="U29" s="53">
        <v>2465.84</v>
      </c>
      <c r="V29" s="53">
        <v>1337.81</v>
      </c>
      <c r="W29" s="53">
        <v>1337.81</v>
      </c>
      <c r="X29" s="53">
        <v>0</v>
      </c>
      <c r="Y29" s="54">
        <v>0</v>
      </c>
    </row>
    <row r="30" spans="1:25" x14ac:dyDescent="0.2">
      <c r="A30" s="50" t="s">
        <v>134</v>
      </c>
      <c r="B30" s="51" t="s">
        <v>107</v>
      </c>
      <c r="C30" s="51"/>
      <c r="D30" s="52">
        <v>29502</v>
      </c>
      <c r="E30" s="51" t="s">
        <v>113</v>
      </c>
      <c r="F30" s="53"/>
      <c r="G30" s="53">
        <v>1062.53</v>
      </c>
      <c r="H30" s="53">
        <v>1062.53</v>
      </c>
      <c r="I30" s="53">
        <v>0</v>
      </c>
      <c r="J30" s="54"/>
      <c r="K30" s="53"/>
      <c r="L30" s="53">
        <v>1065.19</v>
      </c>
      <c r="M30" s="53">
        <v>1065.19</v>
      </c>
      <c r="N30" s="53">
        <v>0</v>
      </c>
      <c r="O30" s="54"/>
      <c r="P30" s="53"/>
      <c r="Q30" s="53">
        <v>1120.0899999999999</v>
      </c>
      <c r="R30" s="53">
        <v>1120.0899999999999</v>
      </c>
      <c r="S30" s="53">
        <v>0</v>
      </c>
      <c r="T30" s="54"/>
      <c r="U30" s="53"/>
      <c r="V30" s="53">
        <v>1128.03</v>
      </c>
      <c r="W30" s="53">
        <v>1128.03</v>
      </c>
      <c r="X30" s="53">
        <v>0</v>
      </c>
      <c r="Y30" s="54"/>
    </row>
    <row r="31" spans="1:25" x14ac:dyDescent="0.2">
      <c r="A31" s="50" t="s">
        <v>135</v>
      </c>
      <c r="B31" s="51" t="s">
        <v>65</v>
      </c>
      <c r="C31" s="51" t="s">
        <v>104</v>
      </c>
      <c r="D31" s="52">
        <v>24592</v>
      </c>
      <c r="E31" s="51" t="s">
        <v>111</v>
      </c>
      <c r="F31" s="53">
        <v>4085.55</v>
      </c>
      <c r="G31" s="53">
        <v>1603.28</v>
      </c>
      <c r="H31" s="53">
        <v>1603.28</v>
      </c>
      <c r="I31" s="53">
        <v>0</v>
      </c>
      <c r="J31" s="54">
        <v>0</v>
      </c>
      <c r="K31" s="53">
        <v>4095.79</v>
      </c>
      <c r="L31" s="53">
        <v>1607.3</v>
      </c>
      <c r="M31" s="53">
        <v>1607.3</v>
      </c>
      <c r="N31" s="53">
        <v>0</v>
      </c>
      <c r="O31" s="54">
        <v>0</v>
      </c>
      <c r="P31" s="53">
        <v>4306.8900000000003</v>
      </c>
      <c r="Q31" s="53">
        <v>1690.14</v>
      </c>
      <c r="R31" s="53">
        <v>1690.14</v>
      </c>
      <c r="S31" s="53">
        <v>0</v>
      </c>
      <c r="T31" s="54">
        <v>0</v>
      </c>
      <c r="U31" s="53">
        <v>4337.4399999999996</v>
      </c>
      <c r="V31" s="53">
        <v>1702.13</v>
      </c>
      <c r="W31" s="53">
        <v>1702.13</v>
      </c>
      <c r="X31" s="53">
        <v>0</v>
      </c>
      <c r="Y31" s="54">
        <v>0</v>
      </c>
    </row>
    <row r="32" spans="1:25" x14ac:dyDescent="0.2">
      <c r="A32" s="50" t="s">
        <v>136</v>
      </c>
      <c r="B32" s="51" t="s">
        <v>107</v>
      </c>
      <c r="C32" s="51"/>
      <c r="D32" s="52">
        <v>22616</v>
      </c>
      <c r="E32" s="51" t="s">
        <v>111</v>
      </c>
      <c r="F32" s="53"/>
      <c r="G32" s="53">
        <v>1603.28</v>
      </c>
      <c r="H32" s="53">
        <v>1603.28</v>
      </c>
      <c r="I32" s="53">
        <v>0</v>
      </c>
      <c r="J32" s="54"/>
      <c r="K32" s="53"/>
      <c r="L32" s="53">
        <v>1607.3</v>
      </c>
      <c r="M32" s="53">
        <v>1607.3</v>
      </c>
      <c r="N32" s="53">
        <v>0</v>
      </c>
      <c r="O32" s="54"/>
      <c r="P32" s="53"/>
      <c r="Q32" s="53">
        <v>1690.14</v>
      </c>
      <c r="R32" s="53">
        <v>1690.14</v>
      </c>
      <c r="S32" s="53">
        <v>0</v>
      </c>
      <c r="T32" s="54"/>
      <c r="U32" s="53"/>
      <c r="V32" s="53">
        <v>1702.13</v>
      </c>
      <c r="W32" s="53">
        <v>1702.13</v>
      </c>
      <c r="X32" s="53">
        <v>0</v>
      </c>
      <c r="Y32" s="54"/>
    </row>
    <row r="33" spans="1:25" x14ac:dyDescent="0.2">
      <c r="A33" s="50" t="s">
        <v>137</v>
      </c>
      <c r="B33" s="51" t="s">
        <v>109</v>
      </c>
      <c r="C33" s="51"/>
      <c r="D33" s="52">
        <v>37842</v>
      </c>
      <c r="E33" s="51" t="s">
        <v>111</v>
      </c>
      <c r="F33" s="53"/>
      <c r="G33" s="53">
        <v>878.99</v>
      </c>
      <c r="H33" s="53">
        <v>878.99</v>
      </c>
      <c r="I33" s="53">
        <v>0</v>
      </c>
      <c r="J33" s="54"/>
      <c r="K33" s="53"/>
      <c r="L33" s="53">
        <v>881.19</v>
      </c>
      <c r="M33" s="53">
        <v>881.19</v>
      </c>
      <c r="N33" s="53">
        <v>0</v>
      </c>
      <c r="O33" s="54"/>
      <c r="P33" s="53"/>
      <c r="Q33" s="53">
        <v>926.61</v>
      </c>
      <c r="R33" s="53">
        <v>926.61</v>
      </c>
      <c r="S33" s="53">
        <v>0</v>
      </c>
      <c r="T33" s="54"/>
      <c r="U33" s="53"/>
      <c r="V33" s="53">
        <v>933.18</v>
      </c>
      <c r="W33" s="53">
        <v>933.18</v>
      </c>
      <c r="X33" s="53">
        <v>0</v>
      </c>
      <c r="Y33" s="54"/>
    </row>
    <row r="34" spans="1:25" x14ac:dyDescent="0.2">
      <c r="A34" s="50" t="s">
        <v>138</v>
      </c>
      <c r="B34" s="51" t="s">
        <v>65</v>
      </c>
      <c r="C34" s="51" t="s">
        <v>65</v>
      </c>
      <c r="D34" s="52">
        <v>35401</v>
      </c>
      <c r="E34" s="51" t="s">
        <v>113</v>
      </c>
      <c r="F34" s="53">
        <v>896.57</v>
      </c>
      <c r="G34" s="53">
        <v>896.57</v>
      </c>
      <c r="H34" s="53">
        <v>896.57</v>
      </c>
      <c r="I34" s="53">
        <v>0</v>
      </c>
      <c r="J34" s="54">
        <v>0</v>
      </c>
      <c r="K34" s="53">
        <v>898.82</v>
      </c>
      <c r="L34" s="53">
        <v>898.82</v>
      </c>
      <c r="M34" s="53">
        <v>898.82</v>
      </c>
      <c r="N34" s="53">
        <v>0</v>
      </c>
      <c r="O34" s="54">
        <v>0</v>
      </c>
      <c r="P34" s="53">
        <v>945.14</v>
      </c>
      <c r="Q34" s="53">
        <v>945.14</v>
      </c>
      <c r="R34" s="53">
        <v>945.14</v>
      </c>
      <c r="S34" s="53">
        <v>0</v>
      </c>
      <c r="T34" s="54">
        <v>0</v>
      </c>
      <c r="U34" s="53">
        <v>951.85</v>
      </c>
      <c r="V34" s="53">
        <v>951.85</v>
      </c>
      <c r="W34" s="53">
        <v>951.85</v>
      </c>
      <c r="X34" s="53">
        <v>0</v>
      </c>
      <c r="Y34" s="54">
        <v>0</v>
      </c>
    </row>
    <row r="35" spans="1:25" x14ac:dyDescent="0.2">
      <c r="A35" s="50" t="s">
        <v>139</v>
      </c>
      <c r="B35" s="51" t="s">
        <v>65</v>
      </c>
      <c r="C35" s="51" t="s">
        <v>65</v>
      </c>
      <c r="D35" s="52">
        <v>35453</v>
      </c>
      <c r="E35" s="51" t="s">
        <v>113</v>
      </c>
      <c r="F35" s="53">
        <v>896.57</v>
      </c>
      <c r="G35" s="53">
        <v>896.57</v>
      </c>
      <c r="H35" s="53">
        <v>896.57</v>
      </c>
      <c r="I35" s="53">
        <v>0</v>
      </c>
      <c r="J35" s="54">
        <v>0</v>
      </c>
      <c r="K35" s="53">
        <v>898.82</v>
      </c>
      <c r="L35" s="53">
        <v>898.82</v>
      </c>
      <c r="M35" s="53">
        <v>898.82</v>
      </c>
      <c r="N35" s="53">
        <v>0</v>
      </c>
      <c r="O35" s="54">
        <v>0</v>
      </c>
      <c r="P35" s="53">
        <v>945.14</v>
      </c>
      <c r="Q35" s="53">
        <v>945.14</v>
      </c>
      <c r="R35" s="53">
        <v>945.14</v>
      </c>
      <c r="S35" s="53">
        <v>0</v>
      </c>
      <c r="T35" s="54">
        <v>0</v>
      </c>
      <c r="U35" s="53">
        <v>951.85</v>
      </c>
      <c r="V35" s="53">
        <v>951.85</v>
      </c>
      <c r="W35" s="53">
        <v>951.85</v>
      </c>
      <c r="X35" s="53">
        <v>0</v>
      </c>
      <c r="Y35" s="54">
        <v>0</v>
      </c>
    </row>
    <row r="36" spans="1:25" x14ac:dyDescent="0.2">
      <c r="A36" s="50" t="s">
        <v>140</v>
      </c>
      <c r="B36" s="51" t="s">
        <v>65</v>
      </c>
      <c r="C36" s="51" t="s">
        <v>65</v>
      </c>
      <c r="D36" s="52">
        <v>34864</v>
      </c>
      <c r="E36" s="51" t="s">
        <v>118</v>
      </c>
      <c r="F36" s="53">
        <v>905.01</v>
      </c>
      <c r="G36" s="53">
        <v>905.01</v>
      </c>
      <c r="H36" s="53">
        <v>905.01</v>
      </c>
      <c r="I36" s="53">
        <v>0</v>
      </c>
      <c r="J36" s="54">
        <v>0</v>
      </c>
      <c r="K36" s="53">
        <v>907.28</v>
      </c>
      <c r="L36" s="53">
        <v>907.28</v>
      </c>
      <c r="M36" s="53">
        <v>907.28</v>
      </c>
      <c r="N36" s="53">
        <v>0</v>
      </c>
      <c r="O36" s="54">
        <v>0</v>
      </c>
      <c r="P36" s="53">
        <v>954.04</v>
      </c>
      <c r="Q36" s="53">
        <v>954.04</v>
      </c>
      <c r="R36" s="53">
        <v>954.04</v>
      </c>
      <c r="S36" s="53">
        <v>0</v>
      </c>
      <c r="T36" s="54">
        <v>0</v>
      </c>
      <c r="U36" s="53">
        <v>960.81</v>
      </c>
      <c r="V36" s="53">
        <v>960.81</v>
      </c>
      <c r="W36" s="53">
        <v>960.81</v>
      </c>
      <c r="X36" s="53">
        <v>0</v>
      </c>
      <c r="Y36" s="54">
        <v>0</v>
      </c>
    </row>
    <row r="37" spans="1:25" x14ac:dyDescent="0.2">
      <c r="A37" s="50" t="s">
        <v>141</v>
      </c>
      <c r="B37" s="51" t="s">
        <v>65</v>
      </c>
      <c r="C37" s="51" t="s">
        <v>104</v>
      </c>
      <c r="D37" s="52">
        <v>26666</v>
      </c>
      <c r="E37" s="51" t="s">
        <v>118</v>
      </c>
      <c r="F37" s="53">
        <v>4018.76</v>
      </c>
      <c r="G37" s="53">
        <v>1337.48</v>
      </c>
      <c r="H37" s="53">
        <v>1337.48</v>
      </c>
      <c r="I37" s="53">
        <v>0</v>
      </c>
      <c r="J37" s="54">
        <v>0</v>
      </c>
      <c r="K37" s="53">
        <v>4028.82</v>
      </c>
      <c r="L37" s="53">
        <v>1340.83</v>
      </c>
      <c r="M37" s="53">
        <v>1340.83</v>
      </c>
      <c r="N37" s="53">
        <v>0</v>
      </c>
      <c r="O37" s="54">
        <v>0</v>
      </c>
      <c r="P37" s="53">
        <v>4236.46</v>
      </c>
      <c r="Q37" s="53">
        <v>1409.93</v>
      </c>
      <c r="R37" s="53">
        <v>1409.93</v>
      </c>
      <c r="S37" s="53">
        <v>0</v>
      </c>
      <c r="T37" s="54">
        <v>0</v>
      </c>
      <c r="U37" s="53">
        <v>4266.51</v>
      </c>
      <c r="V37" s="53">
        <v>1419.93</v>
      </c>
      <c r="W37" s="53">
        <v>1419.93</v>
      </c>
      <c r="X37" s="53">
        <v>0</v>
      </c>
      <c r="Y37" s="54">
        <v>0</v>
      </c>
    </row>
    <row r="38" spans="1:25" x14ac:dyDescent="0.2">
      <c r="A38" s="50" t="s">
        <v>142</v>
      </c>
      <c r="B38" s="51" t="s">
        <v>107</v>
      </c>
      <c r="C38" s="51"/>
      <c r="D38" s="52">
        <v>28717</v>
      </c>
      <c r="E38" s="51" t="s">
        <v>118</v>
      </c>
      <c r="F38" s="53"/>
      <c r="G38" s="53">
        <v>1120.19</v>
      </c>
      <c r="H38" s="53">
        <v>1120.19</v>
      </c>
      <c r="I38" s="53">
        <v>0</v>
      </c>
      <c r="J38" s="54"/>
      <c r="K38" s="53"/>
      <c r="L38" s="53">
        <v>1122.99</v>
      </c>
      <c r="M38" s="53">
        <v>1122.99</v>
      </c>
      <c r="N38" s="53">
        <v>0</v>
      </c>
      <c r="O38" s="54"/>
      <c r="P38" s="53"/>
      <c r="Q38" s="53">
        <v>1180.8699999999999</v>
      </c>
      <c r="R38" s="53">
        <v>1180.8699999999999</v>
      </c>
      <c r="S38" s="53">
        <v>0</v>
      </c>
      <c r="T38" s="54"/>
      <c r="U38" s="53"/>
      <c r="V38" s="53">
        <v>1189.25</v>
      </c>
      <c r="W38" s="53">
        <v>1189.25</v>
      </c>
      <c r="X38" s="53">
        <v>0</v>
      </c>
      <c r="Y38" s="54"/>
    </row>
    <row r="39" spans="1:25" x14ac:dyDescent="0.2">
      <c r="A39" s="50" t="s">
        <v>143</v>
      </c>
      <c r="B39" s="51" t="s">
        <v>109</v>
      </c>
      <c r="C39" s="51"/>
      <c r="D39" s="52">
        <v>37384</v>
      </c>
      <c r="E39" s="51" t="s">
        <v>118</v>
      </c>
      <c r="F39" s="53"/>
      <c r="G39" s="53">
        <v>878.99</v>
      </c>
      <c r="H39" s="53">
        <v>878.99</v>
      </c>
      <c r="I39" s="53">
        <v>0</v>
      </c>
      <c r="J39" s="54"/>
      <c r="K39" s="53"/>
      <c r="L39" s="53">
        <v>881.19</v>
      </c>
      <c r="M39" s="53">
        <v>881.19</v>
      </c>
      <c r="N39" s="53">
        <v>0</v>
      </c>
      <c r="O39" s="54"/>
      <c r="P39" s="53"/>
      <c r="Q39" s="53">
        <v>926.61</v>
      </c>
      <c r="R39" s="53">
        <v>926.61</v>
      </c>
      <c r="S39" s="53">
        <v>0</v>
      </c>
      <c r="T39" s="54"/>
      <c r="U39" s="53"/>
      <c r="V39" s="53">
        <v>933.18</v>
      </c>
      <c r="W39" s="53">
        <v>933.18</v>
      </c>
      <c r="X39" s="53">
        <v>0</v>
      </c>
      <c r="Y39" s="54"/>
    </row>
    <row r="40" spans="1:25" x14ac:dyDescent="0.2">
      <c r="A40" s="50" t="s">
        <v>144</v>
      </c>
      <c r="B40" s="51" t="s">
        <v>109</v>
      </c>
      <c r="C40" s="51"/>
      <c r="D40" s="52">
        <v>38688</v>
      </c>
      <c r="E40" s="51" t="s">
        <v>118</v>
      </c>
      <c r="F40" s="53"/>
      <c r="G40" s="53">
        <v>682.1</v>
      </c>
      <c r="H40" s="53">
        <v>682.1</v>
      </c>
      <c r="I40" s="53">
        <v>0</v>
      </c>
      <c r="J40" s="54"/>
      <c r="K40" s="53"/>
      <c r="L40" s="53">
        <v>683.81</v>
      </c>
      <c r="M40" s="53">
        <v>683.81</v>
      </c>
      <c r="N40" s="53">
        <v>0</v>
      </c>
      <c r="O40" s="54"/>
      <c r="P40" s="53"/>
      <c r="Q40" s="53">
        <v>719.05</v>
      </c>
      <c r="R40" s="53">
        <v>719.05</v>
      </c>
      <c r="S40" s="53">
        <v>0</v>
      </c>
      <c r="T40" s="54"/>
      <c r="U40" s="53"/>
      <c r="V40" s="53">
        <v>724.15</v>
      </c>
      <c r="W40" s="53">
        <v>724.15</v>
      </c>
      <c r="X40" s="53">
        <v>0</v>
      </c>
      <c r="Y40" s="54"/>
    </row>
    <row r="41" spans="1:25" x14ac:dyDescent="0.2">
      <c r="A41" s="50" t="s">
        <v>145</v>
      </c>
      <c r="B41" s="51" t="s">
        <v>65</v>
      </c>
      <c r="C41" s="51" t="s">
        <v>65</v>
      </c>
      <c r="D41" s="52">
        <v>36146</v>
      </c>
      <c r="E41" s="51" t="s">
        <v>111</v>
      </c>
      <c r="F41" s="53">
        <v>878.99</v>
      </c>
      <c r="G41" s="53">
        <v>878.99</v>
      </c>
      <c r="H41" s="53">
        <v>878.99</v>
      </c>
      <c r="I41" s="53">
        <v>0</v>
      </c>
      <c r="J41" s="54">
        <v>0</v>
      </c>
      <c r="K41" s="53">
        <v>881.19</v>
      </c>
      <c r="L41" s="53">
        <v>881.19</v>
      </c>
      <c r="M41" s="53">
        <v>881.19</v>
      </c>
      <c r="N41" s="53">
        <v>0</v>
      </c>
      <c r="O41" s="54">
        <v>0</v>
      </c>
      <c r="P41" s="53">
        <v>926.61</v>
      </c>
      <c r="Q41" s="53">
        <v>926.61</v>
      </c>
      <c r="R41" s="53">
        <v>926.61</v>
      </c>
      <c r="S41" s="53">
        <v>0</v>
      </c>
      <c r="T41" s="54">
        <v>0</v>
      </c>
      <c r="U41" s="53">
        <v>933.18</v>
      </c>
      <c r="V41" s="53">
        <v>933.18</v>
      </c>
      <c r="W41" s="53">
        <v>933.18</v>
      </c>
      <c r="X41" s="53">
        <v>0</v>
      </c>
      <c r="Y41" s="54">
        <v>0</v>
      </c>
    </row>
    <row r="42" spans="1:25" x14ac:dyDescent="0.2">
      <c r="A42" s="50" t="s">
        <v>146</v>
      </c>
      <c r="B42" s="51" t="s">
        <v>65</v>
      </c>
      <c r="C42" s="51" t="s">
        <v>65</v>
      </c>
      <c r="D42" s="52">
        <v>35249</v>
      </c>
      <c r="E42" s="51" t="s">
        <v>147</v>
      </c>
      <c r="F42" s="53">
        <v>896.57</v>
      </c>
      <c r="G42" s="53">
        <v>896.57</v>
      </c>
      <c r="H42" s="53">
        <v>896.57</v>
      </c>
      <c r="I42" s="53">
        <v>0</v>
      </c>
      <c r="J42" s="54">
        <v>0</v>
      </c>
      <c r="K42" s="53">
        <v>898.82</v>
      </c>
      <c r="L42" s="53">
        <v>898.82</v>
      </c>
      <c r="M42" s="53">
        <v>898.82</v>
      </c>
      <c r="N42" s="53">
        <v>0</v>
      </c>
      <c r="O42" s="54">
        <v>0</v>
      </c>
      <c r="P42" s="53">
        <v>945.14</v>
      </c>
      <c r="Q42" s="53">
        <v>945.14</v>
      </c>
      <c r="R42" s="53">
        <v>945.14</v>
      </c>
      <c r="S42" s="53">
        <v>0</v>
      </c>
      <c r="T42" s="54">
        <v>0</v>
      </c>
      <c r="U42" s="53">
        <v>951.85</v>
      </c>
      <c r="V42" s="53">
        <v>951.85</v>
      </c>
      <c r="W42" s="53">
        <v>951.85</v>
      </c>
      <c r="X42" s="53">
        <v>0</v>
      </c>
      <c r="Y42" s="54">
        <v>0</v>
      </c>
    </row>
    <row r="43" spans="1:25" ht="16.149999999999999" customHeight="1" x14ac:dyDescent="0.2">
      <c r="A43" s="226" t="s">
        <v>81</v>
      </c>
      <c r="B43" s="227"/>
      <c r="C43" s="227"/>
      <c r="D43" s="227"/>
      <c r="E43" s="227"/>
      <c r="F43" s="211" t="s">
        <v>187</v>
      </c>
      <c r="G43" s="212"/>
      <c r="H43" s="212"/>
      <c r="I43" s="212"/>
      <c r="J43" s="213"/>
      <c r="K43" s="211" t="s">
        <v>189</v>
      </c>
      <c r="L43" s="212"/>
      <c r="M43" s="212"/>
      <c r="N43" s="212"/>
      <c r="O43" s="213"/>
      <c r="P43" s="211" t="s">
        <v>191</v>
      </c>
      <c r="Q43" s="212"/>
      <c r="R43" s="212"/>
      <c r="S43" s="212"/>
      <c r="T43" s="213"/>
      <c r="U43" s="211" t="s">
        <v>193</v>
      </c>
      <c r="V43" s="212"/>
      <c r="W43" s="212"/>
      <c r="X43" s="212"/>
      <c r="Y43" s="213"/>
    </row>
    <row r="44" spans="1:25" ht="13.9" customHeight="1" x14ac:dyDescent="0.2">
      <c r="A44" s="228" t="s">
        <v>82</v>
      </c>
      <c r="B44" s="229"/>
      <c r="C44" s="229"/>
      <c r="D44" s="229"/>
      <c r="E44" s="229"/>
      <c r="F44" s="214">
        <v>11431.82</v>
      </c>
      <c r="G44" s="215"/>
      <c r="H44" s="215"/>
      <c r="I44" s="215"/>
      <c r="J44" s="216"/>
      <c r="K44" s="214">
        <v>11460.47</v>
      </c>
      <c r="L44" s="215"/>
      <c r="M44" s="215"/>
      <c r="N44" s="215"/>
      <c r="O44" s="216"/>
      <c r="P44" s="214">
        <v>12051.13</v>
      </c>
      <c r="Q44" s="215"/>
      <c r="R44" s="215"/>
      <c r="S44" s="215"/>
      <c r="T44" s="216"/>
      <c r="U44" s="214">
        <v>12136.62</v>
      </c>
      <c r="V44" s="215"/>
      <c r="W44" s="215"/>
      <c r="X44" s="215"/>
      <c r="Y44" s="216"/>
    </row>
    <row r="45" spans="1:25" ht="13.9" customHeight="1" x14ac:dyDescent="0.2">
      <c r="A45" s="230" t="s">
        <v>83</v>
      </c>
      <c r="B45" s="231"/>
      <c r="C45" s="231"/>
      <c r="D45" s="231"/>
      <c r="E45" s="231"/>
      <c r="F45" s="208">
        <f>F44*12</f>
        <v>137181.84</v>
      </c>
      <c r="G45" s="209"/>
      <c r="H45" s="209"/>
      <c r="I45" s="209"/>
      <c r="J45" s="210"/>
      <c r="K45" s="208">
        <f>K44*12</f>
        <v>137525.63999999998</v>
      </c>
      <c r="L45" s="209"/>
      <c r="M45" s="209"/>
      <c r="N45" s="209"/>
      <c r="O45" s="210"/>
      <c r="P45" s="208">
        <f>P44*12</f>
        <v>144613.56</v>
      </c>
      <c r="Q45" s="209"/>
      <c r="R45" s="209"/>
      <c r="S45" s="209"/>
      <c r="T45" s="210"/>
      <c r="U45" s="208">
        <f>U44*12</f>
        <v>145639.44</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400-000000000000}"/>
    <hyperlink ref="F46" r:id="rId2" xr:uid="{00000000-0004-0000-4400-000001000000}"/>
    <hyperlink ref="K7" r:id="rId3" xr:uid="{00000000-0004-0000-4400-000002000000}"/>
    <hyperlink ref="K46" r:id="rId4" xr:uid="{00000000-0004-0000-4400-000003000000}"/>
    <hyperlink ref="P7" r:id="rId5" xr:uid="{00000000-0004-0000-4400-000004000000}"/>
    <hyperlink ref="P46" r:id="rId6" xr:uid="{00000000-0004-0000-4400-000005000000}"/>
    <hyperlink ref="U7" r:id="rId7" xr:uid="{00000000-0004-0000-4400-000006000000}"/>
    <hyperlink ref="U46" r:id="rId8" xr:uid="{00000000-0004-0000-44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4035-7375-40B3-BBDA-5A6FEF4E178E}">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167</v>
      </c>
      <c r="L5" s="118"/>
      <c r="M5" s="118"/>
      <c r="N5" s="118"/>
      <c r="O5" s="120"/>
      <c r="P5" s="117" t="s">
        <v>101</v>
      </c>
      <c r="Q5" s="118"/>
      <c r="R5" s="118"/>
      <c r="S5" s="118"/>
      <c r="T5" s="120"/>
      <c r="U5" s="117" t="s">
        <v>172</v>
      </c>
      <c r="V5" s="118"/>
      <c r="W5" s="118"/>
      <c r="X5" s="118"/>
      <c r="Y5" s="120"/>
    </row>
    <row r="6" spans="1:25" x14ac:dyDescent="0.2">
      <c r="A6" s="247"/>
      <c r="B6" s="248"/>
      <c r="C6" s="248"/>
      <c r="D6" s="248"/>
      <c r="E6" s="248"/>
      <c r="F6" s="121" t="s">
        <v>194</v>
      </c>
      <c r="G6" s="122"/>
      <c r="H6" s="122"/>
      <c r="I6" s="122"/>
      <c r="J6" s="124"/>
      <c r="K6" s="121" t="s">
        <v>196</v>
      </c>
      <c r="L6" s="122"/>
      <c r="M6" s="122"/>
      <c r="N6" s="122"/>
      <c r="O6" s="124"/>
      <c r="P6" s="121" t="s">
        <v>198</v>
      </c>
      <c r="Q6" s="122"/>
      <c r="R6" s="122"/>
      <c r="S6" s="122"/>
      <c r="T6" s="124"/>
      <c r="U6" s="121" t="s">
        <v>200</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195</v>
      </c>
      <c r="G8" s="233"/>
      <c r="H8" s="233"/>
      <c r="I8" s="233"/>
      <c r="J8" s="234"/>
      <c r="K8" s="232" t="s">
        <v>197</v>
      </c>
      <c r="L8" s="233"/>
      <c r="M8" s="233"/>
      <c r="N8" s="233"/>
      <c r="O8" s="234"/>
      <c r="P8" s="232" t="s">
        <v>199</v>
      </c>
      <c r="Q8" s="233"/>
      <c r="R8" s="233"/>
      <c r="S8" s="233"/>
      <c r="T8" s="234"/>
      <c r="U8" s="232" t="s">
        <v>201</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3797.58</v>
      </c>
      <c r="G10" s="53">
        <v>1734.82</v>
      </c>
      <c r="H10" s="53">
        <v>1734.82</v>
      </c>
      <c r="I10" s="53">
        <v>0</v>
      </c>
      <c r="J10" s="54">
        <v>0</v>
      </c>
      <c r="K10" s="53">
        <v>3874.92</v>
      </c>
      <c r="L10" s="53">
        <v>1770.15</v>
      </c>
      <c r="M10" s="53">
        <v>1770.15</v>
      </c>
      <c r="N10" s="53">
        <v>0</v>
      </c>
      <c r="O10" s="54">
        <v>0</v>
      </c>
      <c r="P10" s="53">
        <v>3939.11</v>
      </c>
      <c r="Q10" s="53">
        <v>1799.47</v>
      </c>
      <c r="R10" s="53">
        <v>1799.47</v>
      </c>
      <c r="S10" s="53">
        <v>0</v>
      </c>
      <c r="T10" s="54">
        <v>0</v>
      </c>
      <c r="U10" s="53">
        <v>4080.67</v>
      </c>
      <c r="V10" s="53">
        <v>1864.14</v>
      </c>
      <c r="W10" s="53">
        <v>1864.14</v>
      </c>
      <c r="X10" s="53">
        <v>0</v>
      </c>
      <c r="Y10" s="54">
        <v>0</v>
      </c>
    </row>
    <row r="11" spans="1:25" x14ac:dyDescent="0.2">
      <c r="A11" s="50" t="s">
        <v>106</v>
      </c>
      <c r="B11" s="51" t="s">
        <v>107</v>
      </c>
      <c r="C11" s="51"/>
      <c r="D11" s="52">
        <v>27837</v>
      </c>
      <c r="E11" s="51" t="s">
        <v>105</v>
      </c>
      <c r="F11" s="53"/>
      <c r="G11" s="53">
        <v>1324.7</v>
      </c>
      <c r="H11" s="53">
        <v>1324.7</v>
      </c>
      <c r="I11" s="53">
        <v>0</v>
      </c>
      <c r="J11" s="54"/>
      <c r="K11" s="53"/>
      <c r="L11" s="53">
        <v>1351.68</v>
      </c>
      <c r="M11" s="53">
        <v>1351.68</v>
      </c>
      <c r="N11" s="53">
        <v>0</v>
      </c>
      <c r="O11" s="54"/>
      <c r="P11" s="53"/>
      <c r="Q11" s="53">
        <v>1374.07</v>
      </c>
      <c r="R11" s="53">
        <v>1374.07</v>
      </c>
      <c r="S11" s="53">
        <v>0</v>
      </c>
      <c r="T11" s="54"/>
      <c r="U11" s="53"/>
      <c r="V11" s="53">
        <v>1423.45</v>
      </c>
      <c r="W11" s="53">
        <v>1423.45</v>
      </c>
      <c r="X11" s="53">
        <v>0</v>
      </c>
      <c r="Y11" s="54"/>
    </row>
    <row r="12" spans="1:25" x14ac:dyDescent="0.2">
      <c r="A12" s="50" t="s">
        <v>108</v>
      </c>
      <c r="B12" s="51" t="s">
        <v>109</v>
      </c>
      <c r="C12" s="51"/>
      <c r="D12" s="52">
        <v>38648</v>
      </c>
      <c r="E12" s="51" t="s">
        <v>105</v>
      </c>
      <c r="F12" s="53"/>
      <c r="G12" s="53">
        <v>738.06</v>
      </c>
      <c r="H12" s="53">
        <v>738.06</v>
      </c>
      <c r="I12" s="53">
        <v>0</v>
      </c>
      <c r="J12" s="54"/>
      <c r="K12" s="53"/>
      <c r="L12" s="53">
        <v>753.09</v>
      </c>
      <c r="M12" s="53">
        <v>753.09</v>
      </c>
      <c r="N12" s="53">
        <v>0</v>
      </c>
      <c r="O12" s="54"/>
      <c r="P12" s="53"/>
      <c r="Q12" s="53">
        <v>765.57</v>
      </c>
      <c r="R12" s="53">
        <v>765.57</v>
      </c>
      <c r="S12" s="53">
        <v>0</v>
      </c>
      <c r="T12" s="54"/>
      <c r="U12" s="53"/>
      <c r="V12" s="53">
        <v>793.08</v>
      </c>
      <c r="W12" s="53">
        <v>793.08</v>
      </c>
      <c r="X12" s="53">
        <v>0</v>
      </c>
      <c r="Y12" s="54"/>
    </row>
    <row r="13" spans="1:25" x14ac:dyDescent="0.2">
      <c r="A13" s="50" t="s">
        <v>110</v>
      </c>
      <c r="B13" s="51" t="s">
        <v>65</v>
      </c>
      <c r="C13" s="51" t="s">
        <v>65</v>
      </c>
      <c r="D13" s="52">
        <v>36345</v>
      </c>
      <c r="E13" s="51" t="s">
        <v>111</v>
      </c>
      <c r="F13" s="53">
        <v>951.11</v>
      </c>
      <c r="G13" s="53">
        <v>951.11</v>
      </c>
      <c r="H13" s="53">
        <v>951.11</v>
      </c>
      <c r="I13" s="53">
        <v>0</v>
      </c>
      <c r="J13" s="54">
        <v>0</v>
      </c>
      <c r="K13" s="53">
        <v>970.48</v>
      </c>
      <c r="L13" s="53">
        <v>970.48</v>
      </c>
      <c r="M13" s="53">
        <v>970.48</v>
      </c>
      <c r="N13" s="53">
        <v>0</v>
      </c>
      <c r="O13" s="54">
        <v>0</v>
      </c>
      <c r="P13" s="53">
        <v>986.55</v>
      </c>
      <c r="Q13" s="53">
        <v>986.55</v>
      </c>
      <c r="R13" s="53">
        <v>986.55</v>
      </c>
      <c r="S13" s="53">
        <v>0</v>
      </c>
      <c r="T13" s="54">
        <v>0</v>
      </c>
      <c r="U13" s="53">
        <v>1022.01</v>
      </c>
      <c r="V13" s="53">
        <v>1022.01</v>
      </c>
      <c r="W13" s="53">
        <v>1022.01</v>
      </c>
      <c r="X13" s="53">
        <v>0</v>
      </c>
      <c r="Y13" s="54">
        <v>0</v>
      </c>
    </row>
    <row r="14" spans="1:25" x14ac:dyDescent="0.2">
      <c r="A14" s="50" t="s">
        <v>112</v>
      </c>
      <c r="B14" s="51" t="s">
        <v>65</v>
      </c>
      <c r="C14" s="51" t="s">
        <v>104</v>
      </c>
      <c r="D14" s="52">
        <v>24895</v>
      </c>
      <c r="E14" s="51" t="s">
        <v>113</v>
      </c>
      <c r="F14" s="53">
        <v>4151.3900000000003</v>
      </c>
      <c r="G14" s="53">
        <v>1678.51</v>
      </c>
      <c r="H14" s="53">
        <v>1678.51</v>
      </c>
      <c r="I14" s="53">
        <v>0</v>
      </c>
      <c r="J14" s="54">
        <v>0</v>
      </c>
      <c r="K14" s="53">
        <v>4235.9399999999996</v>
      </c>
      <c r="L14" s="53">
        <v>1712.7</v>
      </c>
      <c r="M14" s="53">
        <v>1712.7</v>
      </c>
      <c r="N14" s="53">
        <v>0</v>
      </c>
      <c r="O14" s="54">
        <v>0</v>
      </c>
      <c r="P14" s="53">
        <v>4306.1099999999997</v>
      </c>
      <c r="Q14" s="53">
        <v>1741.07</v>
      </c>
      <c r="R14" s="53">
        <v>1741.07</v>
      </c>
      <c r="S14" s="53">
        <v>0</v>
      </c>
      <c r="T14" s="54">
        <v>0</v>
      </c>
      <c r="U14" s="53">
        <v>4460.8599999999997</v>
      </c>
      <c r="V14" s="53">
        <v>1803.64</v>
      </c>
      <c r="W14" s="53">
        <v>1803.64</v>
      </c>
      <c r="X14" s="53">
        <v>0</v>
      </c>
      <c r="Y14" s="54">
        <v>0</v>
      </c>
    </row>
    <row r="15" spans="1:25" x14ac:dyDescent="0.2">
      <c r="A15" s="50" t="s">
        <v>114</v>
      </c>
      <c r="B15" s="51" t="s">
        <v>107</v>
      </c>
      <c r="C15" s="51"/>
      <c r="D15" s="52">
        <v>24269</v>
      </c>
      <c r="E15" s="51" t="s">
        <v>113</v>
      </c>
      <c r="F15" s="53"/>
      <c r="G15" s="53">
        <v>1734.82</v>
      </c>
      <c r="H15" s="53">
        <v>1734.82</v>
      </c>
      <c r="I15" s="53">
        <v>0</v>
      </c>
      <c r="J15" s="54"/>
      <c r="K15" s="53"/>
      <c r="L15" s="53">
        <v>1770.15</v>
      </c>
      <c r="M15" s="53">
        <v>1770.15</v>
      </c>
      <c r="N15" s="53">
        <v>0</v>
      </c>
      <c r="O15" s="54"/>
      <c r="P15" s="53"/>
      <c r="Q15" s="53">
        <v>1799.47</v>
      </c>
      <c r="R15" s="53">
        <v>1799.47</v>
      </c>
      <c r="S15" s="53">
        <v>0</v>
      </c>
      <c r="T15" s="54"/>
      <c r="U15" s="53"/>
      <c r="V15" s="53">
        <v>1864.14</v>
      </c>
      <c r="W15" s="53">
        <v>1864.14</v>
      </c>
      <c r="X15" s="53">
        <v>0</v>
      </c>
      <c r="Y15" s="54"/>
    </row>
    <row r="16" spans="1:25" x14ac:dyDescent="0.2">
      <c r="A16" s="50" t="s">
        <v>115</v>
      </c>
      <c r="B16" s="51" t="s">
        <v>109</v>
      </c>
      <c r="C16" s="51"/>
      <c r="D16" s="52">
        <v>38614</v>
      </c>
      <c r="E16" s="51" t="s">
        <v>113</v>
      </c>
      <c r="F16" s="53"/>
      <c r="G16" s="53">
        <v>738.06</v>
      </c>
      <c r="H16" s="53">
        <v>738.06</v>
      </c>
      <c r="I16" s="53">
        <v>0</v>
      </c>
      <c r="J16" s="54"/>
      <c r="K16" s="53"/>
      <c r="L16" s="53">
        <v>753.09</v>
      </c>
      <c r="M16" s="53">
        <v>753.09</v>
      </c>
      <c r="N16" s="53">
        <v>0</v>
      </c>
      <c r="O16" s="54"/>
      <c r="P16" s="53"/>
      <c r="Q16" s="53">
        <v>765.57</v>
      </c>
      <c r="R16" s="53">
        <v>765.57</v>
      </c>
      <c r="S16" s="53">
        <v>0</v>
      </c>
      <c r="T16" s="54"/>
      <c r="U16" s="53"/>
      <c r="V16" s="53">
        <v>793.08</v>
      </c>
      <c r="W16" s="53">
        <v>793.08</v>
      </c>
      <c r="X16" s="53">
        <v>0</v>
      </c>
      <c r="Y16" s="54"/>
    </row>
    <row r="17" spans="1:25" x14ac:dyDescent="0.2">
      <c r="A17" s="50" t="s">
        <v>116</v>
      </c>
      <c r="B17" s="51" t="s">
        <v>65</v>
      </c>
      <c r="C17" s="51" t="s">
        <v>117</v>
      </c>
      <c r="D17" s="52">
        <v>18453</v>
      </c>
      <c r="E17" s="51" t="s">
        <v>118</v>
      </c>
      <c r="F17" s="53">
        <v>3469.64</v>
      </c>
      <c r="G17" s="53">
        <v>1734.82</v>
      </c>
      <c r="H17" s="53">
        <v>1734.82</v>
      </c>
      <c r="I17" s="53">
        <v>0</v>
      </c>
      <c r="J17" s="54">
        <v>0</v>
      </c>
      <c r="K17" s="53">
        <v>3540.3</v>
      </c>
      <c r="L17" s="53">
        <v>1770.15</v>
      </c>
      <c r="M17" s="53">
        <v>1770.15</v>
      </c>
      <c r="N17" s="53">
        <v>0</v>
      </c>
      <c r="O17" s="54">
        <v>0</v>
      </c>
      <c r="P17" s="53">
        <v>3598.94</v>
      </c>
      <c r="Q17" s="53">
        <v>1799.47</v>
      </c>
      <c r="R17" s="53">
        <v>1799.47</v>
      </c>
      <c r="S17" s="53">
        <v>0</v>
      </c>
      <c r="T17" s="54">
        <v>0</v>
      </c>
      <c r="U17" s="53">
        <v>3728.28</v>
      </c>
      <c r="V17" s="53">
        <v>1864.14</v>
      </c>
      <c r="W17" s="53">
        <v>1864.14</v>
      </c>
      <c r="X17" s="53">
        <v>0</v>
      </c>
      <c r="Y17" s="54">
        <v>0</v>
      </c>
    </row>
    <row r="18" spans="1:25" x14ac:dyDescent="0.2">
      <c r="A18" s="50" t="s">
        <v>119</v>
      </c>
      <c r="B18" s="51" t="s">
        <v>107</v>
      </c>
      <c r="C18" s="51"/>
      <c r="D18" s="52">
        <v>19761</v>
      </c>
      <c r="E18" s="51" t="s">
        <v>118</v>
      </c>
      <c r="F18" s="53"/>
      <c r="G18" s="53">
        <v>1734.82</v>
      </c>
      <c r="H18" s="53">
        <v>1734.82</v>
      </c>
      <c r="I18" s="53">
        <v>0</v>
      </c>
      <c r="J18" s="54"/>
      <c r="K18" s="53"/>
      <c r="L18" s="53">
        <v>1770.15</v>
      </c>
      <c r="M18" s="53">
        <v>1770.15</v>
      </c>
      <c r="N18" s="53">
        <v>0</v>
      </c>
      <c r="O18" s="54"/>
      <c r="P18" s="53"/>
      <c r="Q18" s="53">
        <v>1799.47</v>
      </c>
      <c r="R18" s="53">
        <v>1799.47</v>
      </c>
      <c r="S18" s="53">
        <v>0</v>
      </c>
      <c r="T18" s="54"/>
      <c r="U18" s="53"/>
      <c r="V18" s="53">
        <v>1864.14</v>
      </c>
      <c r="W18" s="53">
        <v>1864.14</v>
      </c>
      <c r="X18" s="53">
        <v>0</v>
      </c>
      <c r="Y18" s="54"/>
    </row>
    <row r="19" spans="1:25" x14ac:dyDescent="0.2">
      <c r="A19" s="50" t="s">
        <v>120</v>
      </c>
      <c r="B19" s="51" t="s">
        <v>65</v>
      </c>
      <c r="C19" s="51" t="s">
        <v>65</v>
      </c>
      <c r="D19" s="52">
        <v>35733</v>
      </c>
      <c r="E19" s="51" t="s">
        <v>121</v>
      </c>
      <c r="F19" s="53">
        <v>951.11</v>
      </c>
      <c r="G19" s="53">
        <v>951.11</v>
      </c>
      <c r="H19" s="53">
        <v>951.11</v>
      </c>
      <c r="I19" s="53">
        <v>0</v>
      </c>
      <c r="J19" s="54">
        <v>0</v>
      </c>
      <c r="K19" s="53">
        <v>970.48</v>
      </c>
      <c r="L19" s="53">
        <v>970.48</v>
      </c>
      <c r="M19" s="53">
        <v>970.48</v>
      </c>
      <c r="N19" s="53">
        <v>0</v>
      </c>
      <c r="O19" s="54">
        <v>0</v>
      </c>
      <c r="P19" s="53">
        <v>986.55</v>
      </c>
      <c r="Q19" s="53">
        <v>986.55</v>
      </c>
      <c r="R19" s="53">
        <v>986.55</v>
      </c>
      <c r="S19" s="53">
        <v>0</v>
      </c>
      <c r="T19" s="54">
        <v>0</v>
      </c>
      <c r="U19" s="53">
        <v>1022.01</v>
      </c>
      <c r="V19" s="53">
        <v>1022.01</v>
      </c>
      <c r="W19" s="53">
        <v>1022.01</v>
      </c>
      <c r="X19" s="53">
        <v>0</v>
      </c>
      <c r="Y19" s="54">
        <v>0</v>
      </c>
    </row>
    <row r="20" spans="1:25" x14ac:dyDescent="0.2">
      <c r="A20" s="50" t="s">
        <v>122</v>
      </c>
      <c r="B20" s="51" t="s">
        <v>65</v>
      </c>
      <c r="C20" s="51" t="s">
        <v>104</v>
      </c>
      <c r="D20" s="52">
        <v>24958</v>
      </c>
      <c r="E20" s="51" t="s">
        <v>123</v>
      </c>
      <c r="F20" s="53">
        <v>4762.38</v>
      </c>
      <c r="G20" s="53">
        <v>1678.51</v>
      </c>
      <c r="H20" s="53">
        <v>1678.51</v>
      </c>
      <c r="I20" s="53">
        <v>0</v>
      </c>
      <c r="J20" s="54">
        <v>0</v>
      </c>
      <c r="K20" s="53">
        <v>4859.37</v>
      </c>
      <c r="L20" s="53">
        <v>1712.7</v>
      </c>
      <c r="M20" s="53">
        <v>1712.7</v>
      </c>
      <c r="N20" s="53">
        <v>0</v>
      </c>
      <c r="O20" s="54">
        <v>0</v>
      </c>
      <c r="P20" s="53">
        <v>4939.88</v>
      </c>
      <c r="Q20" s="53">
        <v>1741.07</v>
      </c>
      <c r="R20" s="53">
        <v>1741.07</v>
      </c>
      <c r="S20" s="53">
        <v>0</v>
      </c>
      <c r="T20" s="54">
        <v>0</v>
      </c>
      <c r="U20" s="53">
        <v>5117.3999999999996</v>
      </c>
      <c r="V20" s="53">
        <v>1803.64</v>
      </c>
      <c r="W20" s="53">
        <v>1803.64</v>
      </c>
      <c r="X20" s="53">
        <v>0</v>
      </c>
      <c r="Y20" s="54">
        <v>0</v>
      </c>
    </row>
    <row r="21" spans="1:25" x14ac:dyDescent="0.2">
      <c r="A21" s="50" t="s">
        <v>124</v>
      </c>
      <c r="B21" s="51" t="s">
        <v>107</v>
      </c>
      <c r="C21" s="51"/>
      <c r="D21" s="52">
        <v>25342</v>
      </c>
      <c r="E21" s="51" t="s">
        <v>123</v>
      </c>
      <c r="F21" s="53"/>
      <c r="G21" s="53">
        <v>1629.82</v>
      </c>
      <c r="H21" s="53">
        <v>1629.82</v>
      </c>
      <c r="I21" s="53">
        <v>0</v>
      </c>
      <c r="J21" s="54"/>
      <c r="K21" s="53"/>
      <c r="L21" s="53">
        <v>1663.01</v>
      </c>
      <c r="M21" s="53">
        <v>1663.01</v>
      </c>
      <c r="N21" s="53">
        <v>0</v>
      </c>
      <c r="O21" s="54"/>
      <c r="P21" s="53"/>
      <c r="Q21" s="53">
        <v>1690.56</v>
      </c>
      <c r="R21" s="53">
        <v>1690.56</v>
      </c>
      <c r="S21" s="53">
        <v>0</v>
      </c>
      <c r="T21" s="54"/>
      <c r="U21" s="53"/>
      <c r="V21" s="53">
        <v>1751.31</v>
      </c>
      <c r="W21" s="53">
        <v>1751.31</v>
      </c>
      <c r="X21" s="53">
        <v>0</v>
      </c>
      <c r="Y21" s="54"/>
    </row>
    <row r="22" spans="1:25" x14ac:dyDescent="0.2">
      <c r="A22" s="50" t="s">
        <v>125</v>
      </c>
      <c r="B22" s="51" t="s">
        <v>109</v>
      </c>
      <c r="C22" s="51"/>
      <c r="D22" s="52">
        <v>38632</v>
      </c>
      <c r="E22" s="51" t="s">
        <v>123</v>
      </c>
      <c r="F22" s="53"/>
      <c r="G22" s="53">
        <v>738.06</v>
      </c>
      <c r="H22" s="53">
        <v>738.06</v>
      </c>
      <c r="I22" s="53">
        <v>0</v>
      </c>
      <c r="J22" s="54"/>
      <c r="K22" s="53"/>
      <c r="L22" s="53">
        <v>753.09</v>
      </c>
      <c r="M22" s="53">
        <v>753.09</v>
      </c>
      <c r="N22" s="53">
        <v>0</v>
      </c>
      <c r="O22" s="54"/>
      <c r="P22" s="53"/>
      <c r="Q22" s="53">
        <v>765.57</v>
      </c>
      <c r="R22" s="53">
        <v>765.57</v>
      </c>
      <c r="S22" s="53">
        <v>0</v>
      </c>
      <c r="T22" s="54"/>
      <c r="U22" s="53"/>
      <c r="V22" s="53">
        <v>793.08</v>
      </c>
      <c r="W22" s="53">
        <v>793.08</v>
      </c>
      <c r="X22" s="53">
        <v>0</v>
      </c>
      <c r="Y22" s="54"/>
    </row>
    <row r="23" spans="1:25" x14ac:dyDescent="0.2">
      <c r="A23" s="50" t="s">
        <v>126</v>
      </c>
      <c r="B23" s="51" t="s">
        <v>109</v>
      </c>
      <c r="C23" s="51"/>
      <c r="D23" s="52">
        <v>39092</v>
      </c>
      <c r="E23" s="51" t="s">
        <v>123</v>
      </c>
      <c r="F23" s="53"/>
      <c r="G23" s="53">
        <v>715.99</v>
      </c>
      <c r="H23" s="53">
        <v>715.99</v>
      </c>
      <c r="I23" s="53">
        <v>0</v>
      </c>
      <c r="J23" s="54"/>
      <c r="K23" s="53"/>
      <c r="L23" s="53">
        <v>730.57</v>
      </c>
      <c r="M23" s="53">
        <v>730.57</v>
      </c>
      <c r="N23" s="53">
        <v>0</v>
      </c>
      <c r="O23" s="54"/>
      <c r="P23" s="53"/>
      <c r="Q23" s="53">
        <v>742.68</v>
      </c>
      <c r="R23" s="53">
        <v>742.68</v>
      </c>
      <c r="S23" s="53">
        <v>0</v>
      </c>
      <c r="T23" s="54"/>
      <c r="U23" s="53"/>
      <c r="V23" s="53">
        <v>769.37</v>
      </c>
      <c r="W23" s="53">
        <v>769.37</v>
      </c>
      <c r="X23" s="53">
        <v>0</v>
      </c>
      <c r="Y23" s="54"/>
    </row>
    <row r="24" spans="1:25" x14ac:dyDescent="0.2">
      <c r="A24" s="50" t="s">
        <v>127</v>
      </c>
      <c r="B24" s="51" t="s">
        <v>65</v>
      </c>
      <c r="C24" s="51" t="s">
        <v>117</v>
      </c>
      <c r="D24" s="52">
        <v>21309</v>
      </c>
      <c r="E24" s="51" t="s">
        <v>96</v>
      </c>
      <c r="F24" s="53">
        <v>3469.64</v>
      </c>
      <c r="G24" s="53">
        <v>1734.82</v>
      </c>
      <c r="H24" s="53">
        <v>1734.82</v>
      </c>
      <c r="I24" s="53">
        <v>0</v>
      </c>
      <c r="J24" s="54">
        <v>0</v>
      </c>
      <c r="K24" s="53">
        <v>3540.3</v>
      </c>
      <c r="L24" s="53">
        <v>1770.15</v>
      </c>
      <c r="M24" s="53">
        <v>1770.15</v>
      </c>
      <c r="N24" s="53">
        <v>0</v>
      </c>
      <c r="O24" s="54">
        <v>0</v>
      </c>
      <c r="P24" s="53">
        <v>3598.94</v>
      </c>
      <c r="Q24" s="53">
        <v>1799.47</v>
      </c>
      <c r="R24" s="53">
        <v>1799.47</v>
      </c>
      <c r="S24" s="53">
        <v>0</v>
      </c>
      <c r="T24" s="54">
        <v>0</v>
      </c>
      <c r="U24" s="53">
        <v>3728.28</v>
      </c>
      <c r="V24" s="53">
        <v>1864.14</v>
      </c>
      <c r="W24" s="53">
        <v>1864.14</v>
      </c>
      <c r="X24" s="53">
        <v>0</v>
      </c>
      <c r="Y24" s="54">
        <v>0</v>
      </c>
    </row>
    <row r="25" spans="1:25" x14ac:dyDescent="0.2">
      <c r="A25" s="50" t="s">
        <v>128</v>
      </c>
      <c r="B25" s="51" t="s">
        <v>107</v>
      </c>
      <c r="C25" s="51"/>
      <c r="D25" s="52">
        <v>23570</v>
      </c>
      <c r="E25" s="51" t="s">
        <v>96</v>
      </c>
      <c r="F25" s="53"/>
      <c r="G25" s="53">
        <v>1734.82</v>
      </c>
      <c r="H25" s="53">
        <v>1734.82</v>
      </c>
      <c r="I25" s="53">
        <v>0</v>
      </c>
      <c r="J25" s="54"/>
      <c r="K25" s="53"/>
      <c r="L25" s="53">
        <v>1770.15</v>
      </c>
      <c r="M25" s="53">
        <v>1770.15</v>
      </c>
      <c r="N25" s="53">
        <v>0</v>
      </c>
      <c r="O25" s="54"/>
      <c r="P25" s="53"/>
      <c r="Q25" s="53">
        <v>1799.47</v>
      </c>
      <c r="R25" s="53">
        <v>1799.47</v>
      </c>
      <c r="S25" s="53">
        <v>0</v>
      </c>
      <c r="T25" s="54"/>
      <c r="U25" s="53"/>
      <c r="V25" s="53">
        <v>1864.14</v>
      </c>
      <c r="W25" s="53">
        <v>1864.14</v>
      </c>
      <c r="X25" s="53">
        <v>0</v>
      </c>
      <c r="Y25" s="54"/>
    </row>
    <row r="26" spans="1:25" x14ac:dyDescent="0.2">
      <c r="A26" s="50" t="s">
        <v>129</v>
      </c>
      <c r="B26" s="51" t="s">
        <v>65</v>
      </c>
      <c r="C26" s="51" t="s">
        <v>65</v>
      </c>
      <c r="D26" s="52">
        <v>24147</v>
      </c>
      <c r="E26" s="51" t="s">
        <v>113</v>
      </c>
      <c r="F26" s="53">
        <v>1734.82</v>
      </c>
      <c r="G26" s="53">
        <v>1734.82</v>
      </c>
      <c r="H26" s="53">
        <v>1734.82</v>
      </c>
      <c r="I26" s="53">
        <v>0</v>
      </c>
      <c r="J26" s="54">
        <v>0</v>
      </c>
      <c r="K26" s="53">
        <v>1770.15</v>
      </c>
      <c r="L26" s="53">
        <v>1770.15</v>
      </c>
      <c r="M26" s="53">
        <v>1770.15</v>
      </c>
      <c r="N26" s="53">
        <v>0</v>
      </c>
      <c r="O26" s="54">
        <v>0</v>
      </c>
      <c r="P26" s="53">
        <v>1799.47</v>
      </c>
      <c r="Q26" s="53">
        <v>1799.47</v>
      </c>
      <c r="R26" s="53">
        <v>1799.47</v>
      </c>
      <c r="S26" s="53">
        <v>0</v>
      </c>
      <c r="T26" s="54">
        <v>0</v>
      </c>
      <c r="U26" s="53">
        <v>1864.14</v>
      </c>
      <c r="V26" s="53">
        <v>1864.14</v>
      </c>
      <c r="W26" s="53">
        <v>1864.14</v>
      </c>
      <c r="X26" s="53">
        <v>0</v>
      </c>
      <c r="Y26" s="54">
        <v>0</v>
      </c>
    </row>
    <row r="27" spans="1:25" x14ac:dyDescent="0.2">
      <c r="A27" s="50" t="s">
        <v>130</v>
      </c>
      <c r="B27" s="51" t="s">
        <v>65</v>
      </c>
      <c r="C27" s="51" t="s">
        <v>65</v>
      </c>
      <c r="D27" s="52">
        <v>25210</v>
      </c>
      <c r="E27" s="51" t="s">
        <v>131</v>
      </c>
      <c r="F27" s="53">
        <v>1629.82</v>
      </c>
      <c r="G27" s="53">
        <v>1629.82</v>
      </c>
      <c r="H27" s="53">
        <v>1629.82</v>
      </c>
      <c r="I27" s="53">
        <v>0</v>
      </c>
      <c r="J27" s="54">
        <v>0</v>
      </c>
      <c r="K27" s="53">
        <v>1663.01</v>
      </c>
      <c r="L27" s="53">
        <v>1663.01</v>
      </c>
      <c r="M27" s="53">
        <v>1663.01</v>
      </c>
      <c r="N27" s="53">
        <v>0</v>
      </c>
      <c r="O27" s="54">
        <v>0</v>
      </c>
      <c r="P27" s="53">
        <v>1690.56</v>
      </c>
      <c r="Q27" s="53">
        <v>1690.56</v>
      </c>
      <c r="R27" s="53">
        <v>1690.56</v>
      </c>
      <c r="S27" s="53">
        <v>0</v>
      </c>
      <c r="T27" s="54">
        <v>0</v>
      </c>
      <c r="U27" s="53">
        <v>1751.31</v>
      </c>
      <c r="V27" s="53">
        <v>1751.31</v>
      </c>
      <c r="W27" s="53">
        <v>1751.31</v>
      </c>
      <c r="X27" s="53">
        <v>0</v>
      </c>
      <c r="Y27" s="54">
        <v>0</v>
      </c>
    </row>
    <row r="28" spans="1:25" x14ac:dyDescent="0.2">
      <c r="A28" s="50" t="s">
        <v>132</v>
      </c>
      <c r="B28" s="51" t="s">
        <v>65</v>
      </c>
      <c r="C28" s="51" t="s">
        <v>65</v>
      </c>
      <c r="D28" s="52">
        <v>35103</v>
      </c>
      <c r="E28" s="51" t="s">
        <v>113</v>
      </c>
      <c r="F28" s="53">
        <v>979.26</v>
      </c>
      <c r="G28" s="53">
        <v>979.26</v>
      </c>
      <c r="H28" s="53">
        <v>979.26</v>
      </c>
      <c r="I28" s="53">
        <v>0</v>
      </c>
      <c r="J28" s="54">
        <v>0</v>
      </c>
      <c r="K28" s="53">
        <v>999.2</v>
      </c>
      <c r="L28" s="53">
        <v>999.2</v>
      </c>
      <c r="M28" s="53">
        <v>999.2</v>
      </c>
      <c r="N28" s="53">
        <v>0</v>
      </c>
      <c r="O28" s="54">
        <v>0</v>
      </c>
      <c r="P28" s="53">
        <v>1015.76</v>
      </c>
      <c r="Q28" s="53">
        <v>1015.76</v>
      </c>
      <c r="R28" s="53">
        <v>1015.76</v>
      </c>
      <c r="S28" s="53">
        <v>0</v>
      </c>
      <c r="T28" s="54">
        <v>0</v>
      </c>
      <c r="U28" s="53">
        <v>1052.26</v>
      </c>
      <c r="V28" s="53">
        <v>1052.26</v>
      </c>
      <c r="W28" s="53">
        <v>1052.26</v>
      </c>
      <c r="X28" s="53">
        <v>0</v>
      </c>
      <c r="Y28" s="54">
        <v>0</v>
      </c>
    </row>
    <row r="29" spans="1:25" x14ac:dyDescent="0.2">
      <c r="A29" s="50" t="s">
        <v>133</v>
      </c>
      <c r="B29" s="51" t="s">
        <v>65</v>
      </c>
      <c r="C29" s="51" t="s">
        <v>117</v>
      </c>
      <c r="D29" s="52">
        <v>27399</v>
      </c>
      <c r="E29" s="51" t="s">
        <v>113</v>
      </c>
      <c r="F29" s="53">
        <v>2513.21</v>
      </c>
      <c r="G29" s="53">
        <v>1363.51</v>
      </c>
      <c r="H29" s="53">
        <v>1363.51</v>
      </c>
      <c r="I29" s="53">
        <v>0</v>
      </c>
      <c r="J29" s="54">
        <v>0</v>
      </c>
      <c r="K29" s="53">
        <v>2564.39</v>
      </c>
      <c r="L29" s="53">
        <v>1391.28</v>
      </c>
      <c r="M29" s="53">
        <v>1391.28</v>
      </c>
      <c r="N29" s="53">
        <v>0</v>
      </c>
      <c r="O29" s="54">
        <v>0</v>
      </c>
      <c r="P29" s="53">
        <v>2606.87</v>
      </c>
      <c r="Q29" s="53">
        <v>1414.32</v>
      </c>
      <c r="R29" s="53">
        <v>1414.32</v>
      </c>
      <c r="S29" s="53">
        <v>0</v>
      </c>
      <c r="T29" s="54">
        <v>0</v>
      </c>
      <c r="U29" s="53">
        <v>2700.55</v>
      </c>
      <c r="V29" s="53">
        <v>1465.15</v>
      </c>
      <c r="W29" s="53">
        <v>1465.15</v>
      </c>
      <c r="X29" s="53">
        <v>0</v>
      </c>
      <c r="Y29" s="54">
        <v>0</v>
      </c>
    </row>
    <row r="30" spans="1:25" x14ac:dyDescent="0.2">
      <c r="A30" s="50" t="s">
        <v>134</v>
      </c>
      <c r="B30" s="51" t="s">
        <v>107</v>
      </c>
      <c r="C30" s="51"/>
      <c r="D30" s="52">
        <v>29502</v>
      </c>
      <c r="E30" s="51" t="s">
        <v>113</v>
      </c>
      <c r="F30" s="53"/>
      <c r="G30" s="53">
        <v>1149.7</v>
      </c>
      <c r="H30" s="53">
        <v>1149.7</v>
      </c>
      <c r="I30" s="53">
        <v>0</v>
      </c>
      <c r="J30" s="54"/>
      <c r="K30" s="53"/>
      <c r="L30" s="53">
        <v>1173.1099999999999</v>
      </c>
      <c r="M30" s="53">
        <v>1173.1099999999999</v>
      </c>
      <c r="N30" s="53">
        <v>0</v>
      </c>
      <c r="O30" s="54"/>
      <c r="P30" s="53"/>
      <c r="Q30" s="53">
        <v>1192.55</v>
      </c>
      <c r="R30" s="53">
        <v>1192.55</v>
      </c>
      <c r="S30" s="53">
        <v>0</v>
      </c>
      <c r="T30" s="54"/>
      <c r="U30" s="53"/>
      <c r="V30" s="53">
        <v>1235.4000000000001</v>
      </c>
      <c r="W30" s="53">
        <v>1235.4000000000001</v>
      </c>
      <c r="X30" s="53">
        <v>0</v>
      </c>
      <c r="Y30" s="54"/>
    </row>
    <row r="31" spans="1:25" x14ac:dyDescent="0.2">
      <c r="A31" s="50" t="s">
        <v>135</v>
      </c>
      <c r="B31" s="51" t="s">
        <v>65</v>
      </c>
      <c r="C31" s="51" t="s">
        <v>104</v>
      </c>
      <c r="D31" s="52">
        <v>24592</v>
      </c>
      <c r="E31" s="51" t="s">
        <v>111</v>
      </c>
      <c r="F31" s="53">
        <v>4420.75</v>
      </c>
      <c r="G31" s="53">
        <v>1734.82</v>
      </c>
      <c r="H31" s="53">
        <v>1734.82</v>
      </c>
      <c r="I31" s="53">
        <v>0</v>
      </c>
      <c r="J31" s="54">
        <v>0</v>
      </c>
      <c r="K31" s="53">
        <v>4510.78</v>
      </c>
      <c r="L31" s="53">
        <v>1770.15</v>
      </c>
      <c r="M31" s="53">
        <v>1770.15</v>
      </c>
      <c r="N31" s="53">
        <v>0</v>
      </c>
      <c r="O31" s="54">
        <v>0</v>
      </c>
      <c r="P31" s="53">
        <v>4585.49</v>
      </c>
      <c r="Q31" s="53">
        <v>1799.47</v>
      </c>
      <c r="R31" s="53">
        <v>1799.47</v>
      </c>
      <c r="S31" s="53">
        <v>0</v>
      </c>
      <c r="T31" s="54">
        <v>0</v>
      </c>
      <c r="U31" s="53">
        <v>4750.29</v>
      </c>
      <c r="V31" s="53">
        <v>1864.14</v>
      </c>
      <c r="W31" s="53">
        <v>1864.14</v>
      </c>
      <c r="X31" s="53">
        <v>0</v>
      </c>
      <c r="Y31" s="54">
        <v>0</v>
      </c>
    </row>
    <row r="32" spans="1:25" x14ac:dyDescent="0.2">
      <c r="A32" s="50" t="s">
        <v>136</v>
      </c>
      <c r="B32" s="51" t="s">
        <v>107</v>
      </c>
      <c r="C32" s="51"/>
      <c r="D32" s="52">
        <v>22616</v>
      </c>
      <c r="E32" s="51" t="s">
        <v>111</v>
      </c>
      <c r="F32" s="53"/>
      <c r="G32" s="53">
        <v>1734.82</v>
      </c>
      <c r="H32" s="53">
        <v>1734.82</v>
      </c>
      <c r="I32" s="53">
        <v>0</v>
      </c>
      <c r="J32" s="54"/>
      <c r="K32" s="53"/>
      <c r="L32" s="53">
        <v>1770.15</v>
      </c>
      <c r="M32" s="53">
        <v>1770.15</v>
      </c>
      <c r="N32" s="53">
        <v>0</v>
      </c>
      <c r="O32" s="54"/>
      <c r="P32" s="53"/>
      <c r="Q32" s="53">
        <v>1799.47</v>
      </c>
      <c r="R32" s="53">
        <v>1799.47</v>
      </c>
      <c r="S32" s="53">
        <v>0</v>
      </c>
      <c r="T32" s="54"/>
      <c r="U32" s="53"/>
      <c r="V32" s="53">
        <v>1864.14</v>
      </c>
      <c r="W32" s="53">
        <v>1864.14</v>
      </c>
      <c r="X32" s="53">
        <v>0</v>
      </c>
      <c r="Y32" s="54"/>
    </row>
    <row r="33" spans="1:25" x14ac:dyDescent="0.2">
      <c r="A33" s="50" t="s">
        <v>137</v>
      </c>
      <c r="B33" s="51" t="s">
        <v>109</v>
      </c>
      <c r="C33" s="51"/>
      <c r="D33" s="52">
        <v>37842</v>
      </c>
      <c r="E33" s="51" t="s">
        <v>111</v>
      </c>
      <c r="F33" s="53"/>
      <c r="G33" s="53">
        <v>951.11</v>
      </c>
      <c r="H33" s="53">
        <v>951.11</v>
      </c>
      <c r="I33" s="53">
        <v>0</v>
      </c>
      <c r="J33" s="54"/>
      <c r="K33" s="53"/>
      <c r="L33" s="53">
        <v>970.48</v>
      </c>
      <c r="M33" s="53">
        <v>970.48</v>
      </c>
      <c r="N33" s="53">
        <v>0</v>
      </c>
      <c r="O33" s="54"/>
      <c r="P33" s="53"/>
      <c r="Q33" s="53">
        <v>986.55</v>
      </c>
      <c r="R33" s="53">
        <v>986.55</v>
      </c>
      <c r="S33" s="53">
        <v>0</v>
      </c>
      <c r="T33" s="54"/>
      <c r="U33" s="53"/>
      <c r="V33" s="53">
        <v>1022.01</v>
      </c>
      <c r="W33" s="53">
        <v>1022.01</v>
      </c>
      <c r="X33" s="53">
        <v>0</v>
      </c>
      <c r="Y33" s="54"/>
    </row>
    <row r="34" spans="1:25" x14ac:dyDescent="0.2">
      <c r="A34" s="50" t="s">
        <v>138</v>
      </c>
      <c r="B34" s="51" t="s">
        <v>65</v>
      </c>
      <c r="C34" s="51" t="s">
        <v>65</v>
      </c>
      <c r="D34" s="52">
        <v>35401</v>
      </c>
      <c r="E34" s="51" t="s">
        <v>113</v>
      </c>
      <c r="F34" s="53">
        <v>970.13</v>
      </c>
      <c r="G34" s="53">
        <v>970.13</v>
      </c>
      <c r="H34" s="53">
        <v>970.13</v>
      </c>
      <c r="I34" s="53">
        <v>0</v>
      </c>
      <c r="J34" s="54">
        <v>0</v>
      </c>
      <c r="K34" s="53">
        <v>989.89</v>
      </c>
      <c r="L34" s="53">
        <v>989.89</v>
      </c>
      <c r="M34" s="53">
        <v>989.89</v>
      </c>
      <c r="N34" s="53">
        <v>0</v>
      </c>
      <c r="O34" s="54">
        <v>0</v>
      </c>
      <c r="P34" s="53">
        <v>1006.29</v>
      </c>
      <c r="Q34" s="53">
        <v>1006.29</v>
      </c>
      <c r="R34" s="53">
        <v>1006.29</v>
      </c>
      <c r="S34" s="53">
        <v>0</v>
      </c>
      <c r="T34" s="54">
        <v>0</v>
      </c>
      <c r="U34" s="53">
        <v>1042.45</v>
      </c>
      <c r="V34" s="53">
        <v>1042.45</v>
      </c>
      <c r="W34" s="53">
        <v>1042.45</v>
      </c>
      <c r="X34" s="53">
        <v>0</v>
      </c>
      <c r="Y34" s="54">
        <v>0</v>
      </c>
    </row>
    <row r="35" spans="1:25" x14ac:dyDescent="0.2">
      <c r="A35" s="50" t="s">
        <v>139</v>
      </c>
      <c r="B35" s="51" t="s">
        <v>65</v>
      </c>
      <c r="C35" s="51" t="s">
        <v>65</v>
      </c>
      <c r="D35" s="52">
        <v>35453</v>
      </c>
      <c r="E35" s="51" t="s">
        <v>113</v>
      </c>
      <c r="F35" s="53">
        <v>970.13</v>
      </c>
      <c r="G35" s="53">
        <v>970.13</v>
      </c>
      <c r="H35" s="53">
        <v>970.13</v>
      </c>
      <c r="I35" s="53">
        <v>0</v>
      </c>
      <c r="J35" s="54">
        <v>0</v>
      </c>
      <c r="K35" s="53">
        <v>989.89</v>
      </c>
      <c r="L35" s="53">
        <v>989.89</v>
      </c>
      <c r="M35" s="53">
        <v>989.89</v>
      </c>
      <c r="N35" s="53">
        <v>0</v>
      </c>
      <c r="O35" s="54">
        <v>0</v>
      </c>
      <c r="P35" s="53">
        <v>1006.29</v>
      </c>
      <c r="Q35" s="53">
        <v>1006.29</v>
      </c>
      <c r="R35" s="53">
        <v>1006.29</v>
      </c>
      <c r="S35" s="53">
        <v>0</v>
      </c>
      <c r="T35" s="54">
        <v>0</v>
      </c>
      <c r="U35" s="53">
        <v>1042.45</v>
      </c>
      <c r="V35" s="53">
        <v>1042.45</v>
      </c>
      <c r="W35" s="53">
        <v>1042.45</v>
      </c>
      <c r="X35" s="53">
        <v>0</v>
      </c>
      <c r="Y35" s="54">
        <v>0</v>
      </c>
    </row>
    <row r="36" spans="1:25" x14ac:dyDescent="0.2">
      <c r="A36" s="50" t="s">
        <v>140</v>
      </c>
      <c r="B36" s="51" t="s">
        <v>65</v>
      </c>
      <c r="C36" s="51" t="s">
        <v>65</v>
      </c>
      <c r="D36" s="52">
        <v>34864</v>
      </c>
      <c r="E36" s="51" t="s">
        <v>118</v>
      </c>
      <c r="F36" s="53">
        <v>979.26</v>
      </c>
      <c r="G36" s="53">
        <v>979.26</v>
      </c>
      <c r="H36" s="53">
        <v>979.26</v>
      </c>
      <c r="I36" s="53">
        <v>0</v>
      </c>
      <c r="J36" s="54">
        <v>0</v>
      </c>
      <c r="K36" s="53">
        <v>999.2</v>
      </c>
      <c r="L36" s="53">
        <v>999.2</v>
      </c>
      <c r="M36" s="53">
        <v>999.2</v>
      </c>
      <c r="N36" s="53">
        <v>0</v>
      </c>
      <c r="O36" s="54">
        <v>0</v>
      </c>
      <c r="P36" s="53">
        <v>1015.76</v>
      </c>
      <c r="Q36" s="53">
        <v>1015.76</v>
      </c>
      <c r="R36" s="53">
        <v>1015.76</v>
      </c>
      <c r="S36" s="53">
        <v>0</v>
      </c>
      <c r="T36" s="54">
        <v>0</v>
      </c>
      <c r="U36" s="53">
        <v>1052.26</v>
      </c>
      <c r="V36" s="53">
        <v>1052.26</v>
      </c>
      <c r="W36" s="53">
        <v>1052.26</v>
      </c>
      <c r="X36" s="53">
        <v>0</v>
      </c>
      <c r="Y36" s="54">
        <v>0</v>
      </c>
    </row>
    <row r="37" spans="1:25" x14ac:dyDescent="0.2">
      <c r="A37" s="50" t="s">
        <v>141</v>
      </c>
      <c r="B37" s="51" t="s">
        <v>65</v>
      </c>
      <c r="C37" s="51" t="s">
        <v>104</v>
      </c>
      <c r="D37" s="52">
        <v>26666</v>
      </c>
      <c r="E37" s="51" t="s">
        <v>118</v>
      </c>
      <c r="F37" s="53">
        <v>4348.46</v>
      </c>
      <c r="G37" s="53">
        <v>1447.2</v>
      </c>
      <c r="H37" s="53">
        <v>1447.2</v>
      </c>
      <c r="I37" s="53">
        <v>0</v>
      </c>
      <c r="J37" s="54">
        <v>0</v>
      </c>
      <c r="K37" s="53">
        <v>4437.03</v>
      </c>
      <c r="L37" s="53">
        <v>1476.68</v>
      </c>
      <c r="M37" s="53">
        <v>1476.68</v>
      </c>
      <c r="N37" s="53">
        <v>0</v>
      </c>
      <c r="O37" s="54">
        <v>0</v>
      </c>
      <c r="P37" s="53">
        <v>4510.5200000000004</v>
      </c>
      <c r="Q37" s="53">
        <v>1501.14</v>
      </c>
      <c r="R37" s="53">
        <v>1501.14</v>
      </c>
      <c r="S37" s="53">
        <v>0</v>
      </c>
      <c r="T37" s="54">
        <v>0</v>
      </c>
      <c r="U37" s="53">
        <v>4672.63</v>
      </c>
      <c r="V37" s="53">
        <v>1555.09</v>
      </c>
      <c r="W37" s="53">
        <v>1555.09</v>
      </c>
      <c r="X37" s="53">
        <v>0</v>
      </c>
      <c r="Y37" s="54">
        <v>0</v>
      </c>
    </row>
    <row r="38" spans="1:25" x14ac:dyDescent="0.2">
      <c r="A38" s="50" t="s">
        <v>142</v>
      </c>
      <c r="B38" s="51" t="s">
        <v>107</v>
      </c>
      <c r="C38" s="51"/>
      <c r="D38" s="52">
        <v>28717</v>
      </c>
      <c r="E38" s="51" t="s">
        <v>118</v>
      </c>
      <c r="F38" s="53"/>
      <c r="G38" s="53">
        <v>1212.0899999999999</v>
      </c>
      <c r="H38" s="53">
        <v>1212.0899999999999</v>
      </c>
      <c r="I38" s="53">
        <v>0</v>
      </c>
      <c r="J38" s="54"/>
      <c r="K38" s="53"/>
      <c r="L38" s="53">
        <v>1236.78</v>
      </c>
      <c r="M38" s="53">
        <v>1236.78</v>
      </c>
      <c r="N38" s="53">
        <v>0</v>
      </c>
      <c r="O38" s="54"/>
      <c r="P38" s="53"/>
      <c r="Q38" s="53">
        <v>1257.26</v>
      </c>
      <c r="R38" s="53">
        <v>1257.26</v>
      </c>
      <c r="S38" s="53">
        <v>0</v>
      </c>
      <c r="T38" s="54"/>
      <c r="U38" s="53"/>
      <c r="V38" s="53">
        <v>1302.45</v>
      </c>
      <c r="W38" s="53">
        <v>1302.45</v>
      </c>
      <c r="X38" s="53">
        <v>0</v>
      </c>
      <c r="Y38" s="54"/>
    </row>
    <row r="39" spans="1:25" x14ac:dyDescent="0.2">
      <c r="A39" s="50" t="s">
        <v>143</v>
      </c>
      <c r="B39" s="51" t="s">
        <v>109</v>
      </c>
      <c r="C39" s="51"/>
      <c r="D39" s="52">
        <v>37384</v>
      </c>
      <c r="E39" s="51" t="s">
        <v>118</v>
      </c>
      <c r="F39" s="53"/>
      <c r="G39" s="53">
        <v>951.11</v>
      </c>
      <c r="H39" s="53">
        <v>951.11</v>
      </c>
      <c r="I39" s="53">
        <v>0</v>
      </c>
      <c r="J39" s="54"/>
      <c r="K39" s="53"/>
      <c r="L39" s="53">
        <v>970.48</v>
      </c>
      <c r="M39" s="53">
        <v>970.48</v>
      </c>
      <c r="N39" s="53">
        <v>0</v>
      </c>
      <c r="O39" s="54"/>
      <c r="P39" s="53"/>
      <c r="Q39" s="53">
        <v>986.55</v>
      </c>
      <c r="R39" s="53">
        <v>986.55</v>
      </c>
      <c r="S39" s="53">
        <v>0</v>
      </c>
      <c r="T39" s="54"/>
      <c r="U39" s="53"/>
      <c r="V39" s="53">
        <v>1022.01</v>
      </c>
      <c r="W39" s="53">
        <v>1022.01</v>
      </c>
      <c r="X39" s="53">
        <v>0</v>
      </c>
      <c r="Y39" s="54"/>
    </row>
    <row r="40" spans="1:25" x14ac:dyDescent="0.2">
      <c r="A40" s="50" t="s">
        <v>144</v>
      </c>
      <c r="B40" s="51" t="s">
        <v>109</v>
      </c>
      <c r="C40" s="51"/>
      <c r="D40" s="52">
        <v>38688</v>
      </c>
      <c r="E40" s="51" t="s">
        <v>118</v>
      </c>
      <c r="F40" s="53"/>
      <c r="G40" s="53">
        <v>738.06</v>
      </c>
      <c r="H40" s="53">
        <v>738.06</v>
      </c>
      <c r="I40" s="53">
        <v>0</v>
      </c>
      <c r="J40" s="54"/>
      <c r="K40" s="53"/>
      <c r="L40" s="53">
        <v>753.09</v>
      </c>
      <c r="M40" s="53">
        <v>753.09</v>
      </c>
      <c r="N40" s="53">
        <v>0</v>
      </c>
      <c r="O40" s="54"/>
      <c r="P40" s="53"/>
      <c r="Q40" s="53">
        <v>765.57</v>
      </c>
      <c r="R40" s="53">
        <v>765.57</v>
      </c>
      <c r="S40" s="53">
        <v>0</v>
      </c>
      <c r="T40" s="54"/>
      <c r="U40" s="53"/>
      <c r="V40" s="53">
        <v>793.08</v>
      </c>
      <c r="W40" s="53">
        <v>793.08</v>
      </c>
      <c r="X40" s="53">
        <v>0</v>
      </c>
      <c r="Y40" s="54"/>
    </row>
    <row r="41" spans="1:25" x14ac:dyDescent="0.2">
      <c r="A41" s="50" t="s">
        <v>145</v>
      </c>
      <c r="B41" s="51" t="s">
        <v>65</v>
      </c>
      <c r="C41" s="51" t="s">
        <v>65</v>
      </c>
      <c r="D41" s="52">
        <v>36146</v>
      </c>
      <c r="E41" s="51" t="s">
        <v>111</v>
      </c>
      <c r="F41" s="53">
        <v>951.11</v>
      </c>
      <c r="G41" s="53">
        <v>951.11</v>
      </c>
      <c r="H41" s="53">
        <v>951.11</v>
      </c>
      <c r="I41" s="53">
        <v>0</v>
      </c>
      <c r="J41" s="54">
        <v>0</v>
      </c>
      <c r="K41" s="53">
        <v>970.48</v>
      </c>
      <c r="L41" s="53">
        <v>970.48</v>
      </c>
      <c r="M41" s="53">
        <v>970.48</v>
      </c>
      <c r="N41" s="53">
        <v>0</v>
      </c>
      <c r="O41" s="54">
        <v>0</v>
      </c>
      <c r="P41" s="53">
        <v>986.55</v>
      </c>
      <c r="Q41" s="53">
        <v>986.55</v>
      </c>
      <c r="R41" s="53">
        <v>986.55</v>
      </c>
      <c r="S41" s="53">
        <v>0</v>
      </c>
      <c r="T41" s="54">
        <v>0</v>
      </c>
      <c r="U41" s="53">
        <v>1022.01</v>
      </c>
      <c r="V41" s="53">
        <v>1022.01</v>
      </c>
      <c r="W41" s="53">
        <v>1022.01</v>
      </c>
      <c r="X41" s="53">
        <v>0</v>
      </c>
      <c r="Y41" s="54">
        <v>0</v>
      </c>
    </row>
    <row r="42" spans="1:25" x14ac:dyDescent="0.2">
      <c r="A42" s="50" t="s">
        <v>146</v>
      </c>
      <c r="B42" s="51" t="s">
        <v>65</v>
      </c>
      <c r="C42" s="51" t="s">
        <v>65</v>
      </c>
      <c r="D42" s="52">
        <v>35249</v>
      </c>
      <c r="E42" s="51" t="s">
        <v>147</v>
      </c>
      <c r="F42" s="53">
        <v>970.13</v>
      </c>
      <c r="G42" s="53">
        <v>970.13</v>
      </c>
      <c r="H42" s="53">
        <v>970.13</v>
      </c>
      <c r="I42" s="53">
        <v>0</v>
      </c>
      <c r="J42" s="54">
        <v>0</v>
      </c>
      <c r="K42" s="53">
        <v>989.89</v>
      </c>
      <c r="L42" s="53">
        <v>989.89</v>
      </c>
      <c r="M42" s="53">
        <v>989.89</v>
      </c>
      <c r="N42" s="53">
        <v>0</v>
      </c>
      <c r="O42" s="54">
        <v>0</v>
      </c>
      <c r="P42" s="53">
        <v>1006.29</v>
      </c>
      <c r="Q42" s="53">
        <v>1006.29</v>
      </c>
      <c r="R42" s="53">
        <v>1006.29</v>
      </c>
      <c r="S42" s="53">
        <v>0</v>
      </c>
      <c r="T42" s="54">
        <v>0</v>
      </c>
      <c r="U42" s="53">
        <v>1042.45</v>
      </c>
      <c r="V42" s="53">
        <v>1042.45</v>
      </c>
      <c r="W42" s="53">
        <v>1042.45</v>
      </c>
      <c r="X42" s="53">
        <v>0</v>
      </c>
      <c r="Y42" s="54">
        <v>0</v>
      </c>
    </row>
    <row r="43" spans="1:25" ht="16.149999999999999" customHeight="1" x14ac:dyDescent="0.2">
      <c r="A43" s="226" t="s">
        <v>81</v>
      </c>
      <c r="B43" s="227"/>
      <c r="C43" s="227"/>
      <c r="D43" s="227"/>
      <c r="E43" s="227"/>
      <c r="F43" s="211" t="s">
        <v>195</v>
      </c>
      <c r="G43" s="212"/>
      <c r="H43" s="212"/>
      <c r="I43" s="212"/>
      <c r="J43" s="213"/>
      <c r="K43" s="211" t="s">
        <v>197</v>
      </c>
      <c r="L43" s="212"/>
      <c r="M43" s="212"/>
      <c r="N43" s="212"/>
      <c r="O43" s="213"/>
      <c r="P43" s="211" t="s">
        <v>199</v>
      </c>
      <c r="Q43" s="212"/>
      <c r="R43" s="212"/>
      <c r="S43" s="212"/>
      <c r="T43" s="213"/>
      <c r="U43" s="211" t="s">
        <v>201</v>
      </c>
      <c r="V43" s="212"/>
      <c r="W43" s="212"/>
      <c r="X43" s="212"/>
      <c r="Y43" s="213"/>
    </row>
    <row r="44" spans="1:25" ht="13.9" customHeight="1" x14ac:dyDescent="0.2">
      <c r="A44" s="228" t="s">
        <v>82</v>
      </c>
      <c r="B44" s="229"/>
      <c r="C44" s="229"/>
      <c r="D44" s="229"/>
      <c r="E44" s="229"/>
      <c r="F44" s="214">
        <v>12369.72</v>
      </c>
      <c r="G44" s="215"/>
      <c r="H44" s="215"/>
      <c r="I44" s="215"/>
      <c r="J44" s="216"/>
      <c r="K44" s="214">
        <v>12621.64</v>
      </c>
      <c r="L44" s="215"/>
      <c r="M44" s="215"/>
      <c r="N44" s="215"/>
      <c r="O44" s="216"/>
      <c r="P44" s="214">
        <v>12830.71</v>
      </c>
      <c r="Q44" s="215"/>
      <c r="R44" s="215"/>
      <c r="S44" s="215"/>
      <c r="T44" s="216"/>
      <c r="U44" s="214">
        <v>13291.82</v>
      </c>
      <c r="V44" s="215"/>
      <c r="W44" s="215"/>
      <c r="X44" s="215"/>
      <c r="Y44" s="216"/>
    </row>
    <row r="45" spans="1:25" ht="13.9" customHeight="1" x14ac:dyDescent="0.2">
      <c r="A45" s="230" t="s">
        <v>83</v>
      </c>
      <c r="B45" s="231"/>
      <c r="C45" s="231"/>
      <c r="D45" s="231"/>
      <c r="E45" s="231"/>
      <c r="F45" s="208">
        <f>F44*12</f>
        <v>148436.63999999998</v>
      </c>
      <c r="G45" s="209"/>
      <c r="H45" s="209"/>
      <c r="I45" s="209"/>
      <c r="J45" s="210"/>
      <c r="K45" s="208">
        <f>K44*12</f>
        <v>151459.68</v>
      </c>
      <c r="L45" s="209"/>
      <c r="M45" s="209"/>
      <c r="N45" s="209"/>
      <c r="O45" s="210"/>
      <c r="P45" s="208">
        <f>P44*12</f>
        <v>153968.51999999999</v>
      </c>
      <c r="Q45" s="209"/>
      <c r="R45" s="209"/>
      <c r="S45" s="209"/>
      <c r="T45" s="210"/>
      <c r="U45" s="208">
        <f>U44*12</f>
        <v>159501.84</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500-000000000000}"/>
    <hyperlink ref="F46" r:id="rId2" xr:uid="{00000000-0004-0000-4500-000001000000}"/>
    <hyperlink ref="K7" r:id="rId3" xr:uid="{00000000-0004-0000-4500-000002000000}"/>
    <hyperlink ref="K46" r:id="rId4" xr:uid="{00000000-0004-0000-4500-000003000000}"/>
    <hyperlink ref="P7" r:id="rId5" xr:uid="{00000000-0004-0000-4500-000004000000}"/>
    <hyperlink ref="P46" r:id="rId6" xr:uid="{00000000-0004-0000-4500-000005000000}"/>
    <hyperlink ref="U7" r:id="rId7" xr:uid="{00000000-0004-0000-4500-000006000000}"/>
    <hyperlink ref="U46" r:id="rId8" xr:uid="{00000000-0004-0000-45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3814-8FAB-41B3-822B-E2D5A7F3DDC9}">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202</v>
      </c>
      <c r="G6" s="122"/>
      <c r="H6" s="122"/>
      <c r="I6" s="122"/>
      <c r="J6" s="124"/>
      <c r="K6" s="121" t="s">
        <v>204</v>
      </c>
      <c r="L6" s="122"/>
      <c r="M6" s="122"/>
      <c r="N6" s="122"/>
      <c r="O6" s="124"/>
      <c r="P6" s="121" t="s">
        <v>206</v>
      </c>
      <c r="Q6" s="122"/>
      <c r="R6" s="122"/>
      <c r="S6" s="122"/>
      <c r="T6" s="124"/>
      <c r="U6" s="121" t="s">
        <v>208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203</v>
      </c>
      <c r="G8" s="233"/>
      <c r="H8" s="233"/>
      <c r="I8" s="233"/>
      <c r="J8" s="234"/>
      <c r="K8" s="232" t="s">
        <v>205</v>
      </c>
      <c r="L8" s="233"/>
      <c r="M8" s="233"/>
      <c r="N8" s="233"/>
      <c r="O8" s="234"/>
      <c r="P8" s="232" t="s">
        <v>207</v>
      </c>
      <c r="Q8" s="233"/>
      <c r="R8" s="233"/>
      <c r="S8" s="233"/>
      <c r="T8" s="234"/>
      <c r="U8" s="232" t="s">
        <v>209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4157.4399999999996</v>
      </c>
      <c r="G10" s="53">
        <v>1899.21</v>
      </c>
      <c r="H10" s="53">
        <v>1899.21</v>
      </c>
      <c r="I10" s="53">
        <v>0</v>
      </c>
      <c r="J10" s="54">
        <v>0</v>
      </c>
      <c r="K10" s="53">
        <v>4230.92</v>
      </c>
      <c r="L10" s="53">
        <v>1932.78</v>
      </c>
      <c r="M10" s="53">
        <v>1932.78</v>
      </c>
      <c r="N10" s="53">
        <v>0</v>
      </c>
      <c r="O10" s="54">
        <v>0</v>
      </c>
      <c r="P10" s="53">
        <v>4292.24</v>
      </c>
      <c r="Q10" s="53">
        <v>1960.79</v>
      </c>
      <c r="R10" s="53">
        <v>1960.79</v>
      </c>
      <c r="S10" s="53">
        <v>0</v>
      </c>
      <c r="T10" s="54">
        <v>0</v>
      </c>
      <c r="U10" s="53">
        <v>4333.01</v>
      </c>
      <c r="V10" s="53">
        <v>1979.42</v>
      </c>
      <c r="W10" s="53">
        <v>1979.42</v>
      </c>
      <c r="X10" s="53">
        <v>0</v>
      </c>
      <c r="Y10" s="54">
        <v>0</v>
      </c>
    </row>
    <row r="11" spans="1:25" x14ac:dyDescent="0.2">
      <c r="A11" s="50" t="s">
        <v>106</v>
      </c>
      <c r="B11" s="51" t="s">
        <v>107</v>
      </c>
      <c r="C11" s="51"/>
      <c r="D11" s="52">
        <v>27837</v>
      </c>
      <c r="E11" s="51" t="s">
        <v>105</v>
      </c>
      <c r="F11" s="53"/>
      <c r="G11" s="53">
        <v>1450.23</v>
      </c>
      <c r="H11" s="53">
        <v>1450.23</v>
      </c>
      <c r="I11" s="53">
        <v>0</v>
      </c>
      <c r="J11" s="54"/>
      <c r="K11" s="53"/>
      <c r="L11" s="53">
        <v>1475.86</v>
      </c>
      <c r="M11" s="53">
        <v>1475.86</v>
      </c>
      <c r="N11" s="53">
        <v>0</v>
      </c>
      <c r="O11" s="54"/>
      <c r="P11" s="53"/>
      <c r="Q11" s="53">
        <v>1497.25</v>
      </c>
      <c r="R11" s="53">
        <v>1497.25</v>
      </c>
      <c r="S11" s="53">
        <v>0</v>
      </c>
      <c r="T11" s="54"/>
      <c r="U11" s="53"/>
      <c r="V11" s="53">
        <v>1511.47</v>
      </c>
      <c r="W11" s="53">
        <v>1511.47</v>
      </c>
      <c r="X11" s="53">
        <v>0</v>
      </c>
      <c r="Y11" s="54"/>
    </row>
    <row r="12" spans="1:25" x14ac:dyDescent="0.2">
      <c r="A12" s="50" t="s">
        <v>108</v>
      </c>
      <c r="B12" s="51" t="s">
        <v>109</v>
      </c>
      <c r="C12" s="51"/>
      <c r="D12" s="52">
        <v>38648</v>
      </c>
      <c r="E12" s="51" t="s">
        <v>105</v>
      </c>
      <c r="F12" s="53"/>
      <c r="G12" s="53">
        <v>808</v>
      </c>
      <c r="H12" s="53">
        <v>808</v>
      </c>
      <c r="I12" s="53">
        <v>0</v>
      </c>
      <c r="J12" s="54"/>
      <c r="K12" s="53"/>
      <c r="L12" s="53">
        <v>822.28</v>
      </c>
      <c r="M12" s="53">
        <v>822.28</v>
      </c>
      <c r="N12" s="53">
        <v>0</v>
      </c>
      <c r="O12" s="54"/>
      <c r="P12" s="53"/>
      <c r="Q12" s="53">
        <v>834.2</v>
      </c>
      <c r="R12" s="53">
        <v>834.2</v>
      </c>
      <c r="S12" s="53">
        <v>0</v>
      </c>
      <c r="T12" s="54"/>
      <c r="U12" s="53"/>
      <c r="V12" s="53">
        <v>842.12</v>
      </c>
      <c r="W12" s="53">
        <v>842.12</v>
      </c>
      <c r="X12" s="53">
        <v>0</v>
      </c>
      <c r="Y12" s="54"/>
    </row>
    <row r="13" spans="1:25" x14ac:dyDescent="0.2">
      <c r="A13" s="50" t="s">
        <v>110</v>
      </c>
      <c r="B13" s="51" t="s">
        <v>65</v>
      </c>
      <c r="C13" s="51" t="s">
        <v>65</v>
      </c>
      <c r="D13" s="52">
        <v>36345</v>
      </c>
      <c r="E13" s="51" t="s">
        <v>111</v>
      </c>
      <c r="F13" s="53">
        <v>1041.23</v>
      </c>
      <c r="G13" s="53">
        <v>1041.23</v>
      </c>
      <c r="H13" s="53">
        <v>1041.23</v>
      </c>
      <c r="I13" s="53">
        <v>0</v>
      </c>
      <c r="J13" s="54">
        <v>0</v>
      </c>
      <c r="K13" s="53">
        <v>1059.6400000000001</v>
      </c>
      <c r="L13" s="53">
        <v>1059.6400000000001</v>
      </c>
      <c r="M13" s="53">
        <v>1059.6400000000001</v>
      </c>
      <c r="N13" s="53">
        <v>0</v>
      </c>
      <c r="O13" s="54">
        <v>0</v>
      </c>
      <c r="P13" s="53">
        <v>1074.99</v>
      </c>
      <c r="Q13" s="53">
        <v>1074.99</v>
      </c>
      <c r="R13" s="53">
        <v>1074.99</v>
      </c>
      <c r="S13" s="53">
        <v>0</v>
      </c>
      <c r="T13" s="54">
        <v>0</v>
      </c>
      <c r="U13" s="53">
        <v>1085.21</v>
      </c>
      <c r="V13" s="53">
        <v>1085.21</v>
      </c>
      <c r="W13" s="53">
        <v>1085.21</v>
      </c>
      <c r="X13" s="53">
        <v>0</v>
      </c>
      <c r="Y13" s="54">
        <v>0</v>
      </c>
    </row>
    <row r="14" spans="1:25" x14ac:dyDescent="0.2">
      <c r="A14" s="50" t="s">
        <v>112</v>
      </c>
      <c r="B14" s="51" t="s">
        <v>65</v>
      </c>
      <c r="C14" s="51" t="s">
        <v>104</v>
      </c>
      <c r="D14" s="52">
        <v>24895</v>
      </c>
      <c r="E14" s="51" t="s">
        <v>113</v>
      </c>
      <c r="F14" s="53">
        <v>4544.78</v>
      </c>
      <c r="G14" s="53">
        <v>1837.57</v>
      </c>
      <c r="H14" s="53">
        <v>1837.57</v>
      </c>
      <c r="I14" s="53">
        <v>0</v>
      </c>
      <c r="J14" s="54">
        <v>0</v>
      </c>
      <c r="K14" s="53">
        <v>4625.1099999999997</v>
      </c>
      <c r="L14" s="53">
        <v>1870.05</v>
      </c>
      <c r="M14" s="53">
        <v>1870.05</v>
      </c>
      <c r="N14" s="53">
        <v>0</v>
      </c>
      <c r="O14" s="54">
        <v>0</v>
      </c>
      <c r="P14" s="53">
        <v>4692.1400000000003</v>
      </c>
      <c r="Q14" s="53">
        <v>1897.15</v>
      </c>
      <c r="R14" s="53">
        <v>1897.15</v>
      </c>
      <c r="S14" s="53">
        <v>0</v>
      </c>
      <c r="T14" s="54">
        <v>0</v>
      </c>
      <c r="U14" s="53">
        <v>4736.71</v>
      </c>
      <c r="V14" s="53">
        <v>1915.17</v>
      </c>
      <c r="W14" s="53">
        <v>1915.17</v>
      </c>
      <c r="X14" s="53">
        <v>0</v>
      </c>
      <c r="Y14" s="54">
        <v>0</v>
      </c>
    </row>
    <row r="15" spans="1:25" x14ac:dyDescent="0.2">
      <c r="A15" s="50" t="s">
        <v>114</v>
      </c>
      <c r="B15" s="51" t="s">
        <v>107</v>
      </c>
      <c r="C15" s="51"/>
      <c r="D15" s="52">
        <v>24269</v>
      </c>
      <c r="E15" s="51" t="s">
        <v>113</v>
      </c>
      <c r="F15" s="53"/>
      <c r="G15" s="53">
        <v>1899.21</v>
      </c>
      <c r="H15" s="53">
        <v>1899.21</v>
      </c>
      <c r="I15" s="53">
        <v>0</v>
      </c>
      <c r="J15" s="54"/>
      <c r="K15" s="53"/>
      <c r="L15" s="53">
        <v>1932.78</v>
      </c>
      <c r="M15" s="53">
        <v>1932.78</v>
      </c>
      <c r="N15" s="53">
        <v>0</v>
      </c>
      <c r="O15" s="54"/>
      <c r="P15" s="53"/>
      <c r="Q15" s="53">
        <v>1960.79</v>
      </c>
      <c r="R15" s="53">
        <v>1960.79</v>
      </c>
      <c r="S15" s="53">
        <v>0</v>
      </c>
      <c r="T15" s="54"/>
      <c r="U15" s="53"/>
      <c r="V15" s="53">
        <v>1979.42</v>
      </c>
      <c r="W15" s="53">
        <v>1979.42</v>
      </c>
      <c r="X15" s="53">
        <v>0</v>
      </c>
      <c r="Y15" s="54"/>
    </row>
    <row r="16" spans="1:25" x14ac:dyDescent="0.2">
      <c r="A16" s="50" t="s">
        <v>115</v>
      </c>
      <c r="B16" s="51" t="s">
        <v>109</v>
      </c>
      <c r="C16" s="51"/>
      <c r="D16" s="52">
        <v>38614</v>
      </c>
      <c r="E16" s="51" t="s">
        <v>113</v>
      </c>
      <c r="F16" s="53"/>
      <c r="G16" s="53">
        <v>808</v>
      </c>
      <c r="H16" s="53">
        <v>808</v>
      </c>
      <c r="I16" s="53">
        <v>0</v>
      </c>
      <c r="J16" s="54"/>
      <c r="K16" s="53"/>
      <c r="L16" s="53">
        <v>822.28</v>
      </c>
      <c r="M16" s="53">
        <v>822.28</v>
      </c>
      <c r="N16" s="53">
        <v>0</v>
      </c>
      <c r="O16" s="54"/>
      <c r="P16" s="53"/>
      <c r="Q16" s="53">
        <v>834.2</v>
      </c>
      <c r="R16" s="53">
        <v>834.2</v>
      </c>
      <c r="S16" s="53">
        <v>0</v>
      </c>
      <c r="T16" s="54"/>
      <c r="U16" s="53"/>
      <c r="V16" s="53">
        <v>842.12</v>
      </c>
      <c r="W16" s="53">
        <v>842.12</v>
      </c>
      <c r="X16" s="53">
        <v>0</v>
      </c>
      <c r="Y16" s="54"/>
    </row>
    <row r="17" spans="1:25" x14ac:dyDescent="0.2">
      <c r="A17" s="50" t="s">
        <v>116</v>
      </c>
      <c r="B17" s="51" t="s">
        <v>65</v>
      </c>
      <c r="C17" s="51" t="s">
        <v>117</v>
      </c>
      <c r="D17" s="52">
        <v>18453</v>
      </c>
      <c r="E17" s="51" t="s">
        <v>118</v>
      </c>
      <c r="F17" s="53">
        <v>3798.42</v>
      </c>
      <c r="G17" s="53">
        <v>1899.21</v>
      </c>
      <c r="H17" s="53">
        <v>1899.21</v>
      </c>
      <c r="I17" s="53">
        <v>0</v>
      </c>
      <c r="J17" s="54">
        <v>0</v>
      </c>
      <c r="K17" s="53">
        <v>3865.56</v>
      </c>
      <c r="L17" s="53">
        <v>1932.78</v>
      </c>
      <c r="M17" s="53">
        <v>1932.78</v>
      </c>
      <c r="N17" s="53">
        <v>0</v>
      </c>
      <c r="O17" s="54">
        <v>0</v>
      </c>
      <c r="P17" s="53">
        <v>3921.58</v>
      </c>
      <c r="Q17" s="53">
        <v>1960.79</v>
      </c>
      <c r="R17" s="53">
        <v>1960.79</v>
      </c>
      <c r="S17" s="53">
        <v>0</v>
      </c>
      <c r="T17" s="54">
        <v>0</v>
      </c>
      <c r="U17" s="53">
        <v>3958.84</v>
      </c>
      <c r="V17" s="53">
        <v>1979.42</v>
      </c>
      <c r="W17" s="53">
        <v>1979.42</v>
      </c>
      <c r="X17" s="53">
        <v>0</v>
      </c>
      <c r="Y17" s="54">
        <v>0</v>
      </c>
    </row>
    <row r="18" spans="1:25" x14ac:dyDescent="0.2">
      <c r="A18" s="50" t="s">
        <v>119</v>
      </c>
      <c r="B18" s="51" t="s">
        <v>107</v>
      </c>
      <c r="C18" s="51"/>
      <c r="D18" s="52">
        <v>19761</v>
      </c>
      <c r="E18" s="51" t="s">
        <v>118</v>
      </c>
      <c r="F18" s="53"/>
      <c r="G18" s="53">
        <v>1899.21</v>
      </c>
      <c r="H18" s="53">
        <v>1899.21</v>
      </c>
      <c r="I18" s="53">
        <v>0</v>
      </c>
      <c r="J18" s="54"/>
      <c r="K18" s="53"/>
      <c r="L18" s="53">
        <v>1932.78</v>
      </c>
      <c r="M18" s="53">
        <v>1932.78</v>
      </c>
      <c r="N18" s="53">
        <v>0</v>
      </c>
      <c r="O18" s="54"/>
      <c r="P18" s="53"/>
      <c r="Q18" s="53">
        <v>1960.79</v>
      </c>
      <c r="R18" s="53">
        <v>1960.79</v>
      </c>
      <c r="S18" s="53">
        <v>0</v>
      </c>
      <c r="T18" s="54"/>
      <c r="U18" s="53"/>
      <c r="V18" s="53">
        <v>1979.42</v>
      </c>
      <c r="W18" s="53">
        <v>1979.42</v>
      </c>
      <c r="X18" s="53">
        <v>0</v>
      </c>
      <c r="Y18" s="54"/>
    </row>
    <row r="19" spans="1:25" x14ac:dyDescent="0.2">
      <c r="A19" s="50" t="s">
        <v>120</v>
      </c>
      <c r="B19" s="51" t="s">
        <v>65</v>
      </c>
      <c r="C19" s="51" t="s">
        <v>65</v>
      </c>
      <c r="D19" s="52">
        <v>35733</v>
      </c>
      <c r="E19" s="51" t="s">
        <v>121</v>
      </c>
      <c r="F19" s="53">
        <v>1041.23</v>
      </c>
      <c r="G19" s="53">
        <v>1041.23</v>
      </c>
      <c r="H19" s="53">
        <v>1041.23</v>
      </c>
      <c r="I19" s="53">
        <v>0</v>
      </c>
      <c r="J19" s="54">
        <v>0</v>
      </c>
      <c r="K19" s="53">
        <v>1059.6400000000001</v>
      </c>
      <c r="L19" s="53">
        <v>1059.6400000000001</v>
      </c>
      <c r="M19" s="53">
        <v>1059.6400000000001</v>
      </c>
      <c r="N19" s="53">
        <v>0</v>
      </c>
      <c r="O19" s="54">
        <v>0</v>
      </c>
      <c r="P19" s="53">
        <v>1074.99</v>
      </c>
      <c r="Q19" s="53">
        <v>1074.99</v>
      </c>
      <c r="R19" s="53">
        <v>1074.99</v>
      </c>
      <c r="S19" s="53">
        <v>0</v>
      </c>
      <c r="T19" s="54">
        <v>0</v>
      </c>
      <c r="U19" s="53">
        <v>1085.21</v>
      </c>
      <c r="V19" s="53">
        <v>1085.21</v>
      </c>
      <c r="W19" s="53">
        <v>1085.21</v>
      </c>
      <c r="X19" s="53">
        <v>0</v>
      </c>
      <c r="Y19" s="54">
        <v>0</v>
      </c>
    </row>
    <row r="20" spans="1:25" x14ac:dyDescent="0.2">
      <c r="A20" s="50" t="s">
        <v>122</v>
      </c>
      <c r="B20" s="51" t="s">
        <v>65</v>
      </c>
      <c r="C20" s="51" t="s">
        <v>104</v>
      </c>
      <c r="D20" s="52">
        <v>24958</v>
      </c>
      <c r="E20" s="51" t="s">
        <v>123</v>
      </c>
      <c r="F20" s="53">
        <v>5213.67</v>
      </c>
      <c r="G20" s="53">
        <v>1837.57</v>
      </c>
      <c r="H20" s="53">
        <v>1837.57</v>
      </c>
      <c r="I20" s="53">
        <v>0</v>
      </c>
      <c r="J20" s="54">
        <v>0</v>
      </c>
      <c r="K20" s="53">
        <v>5305.83</v>
      </c>
      <c r="L20" s="53">
        <v>1870.05</v>
      </c>
      <c r="M20" s="53">
        <v>1870.05</v>
      </c>
      <c r="N20" s="53">
        <v>0</v>
      </c>
      <c r="O20" s="54">
        <v>0</v>
      </c>
      <c r="P20" s="53">
        <v>5382.72</v>
      </c>
      <c r="Q20" s="53">
        <v>1897.15</v>
      </c>
      <c r="R20" s="53">
        <v>1897.15</v>
      </c>
      <c r="S20" s="53">
        <v>0</v>
      </c>
      <c r="T20" s="54">
        <v>0</v>
      </c>
      <c r="U20" s="53">
        <v>5433.84</v>
      </c>
      <c r="V20" s="53">
        <v>1915.17</v>
      </c>
      <c r="W20" s="53">
        <v>1915.17</v>
      </c>
      <c r="X20" s="53">
        <v>0</v>
      </c>
      <c r="Y20" s="54">
        <v>0</v>
      </c>
    </row>
    <row r="21" spans="1:25" x14ac:dyDescent="0.2">
      <c r="A21" s="50" t="s">
        <v>124</v>
      </c>
      <c r="B21" s="51" t="s">
        <v>107</v>
      </c>
      <c r="C21" s="51"/>
      <c r="D21" s="52">
        <v>25342</v>
      </c>
      <c r="E21" s="51" t="s">
        <v>123</v>
      </c>
      <c r="F21" s="53"/>
      <c r="G21" s="53">
        <v>1784.26</v>
      </c>
      <c r="H21" s="53">
        <v>1784.26</v>
      </c>
      <c r="I21" s="53">
        <v>0</v>
      </c>
      <c r="J21" s="54"/>
      <c r="K21" s="53"/>
      <c r="L21" s="53">
        <v>1815.8</v>
      </c>
      <c r="M21" s="53">
        <v>1815.8</v>
      </c>
      <c r="N21" s="53">
        <v>0</v>
      </c>
      <c r="O21" s="54"/>
      <c r="P21" s="53"/>
      <c r="Q21" s="53">
        <v>1842.11</v>
      </c>
      <c r="R21" s="53">
        <v>1842.11</v>
      </c>
      <c r="S21" s="53">
        <v>0</v>
      </c>
      <c r="T21" s="54"/>
      <c r="U21" s="53"/>
      <c r="V21" s="53">
        <v>1859.61</v>
      </c>
      <c r="W21" s="53">
        <v>1859.61</v>
      </c>
      <c r="X21" s="53">
        <v>0</v>
      </c>
      <c r="Y21" s="54"/>
    </row>
    <row r="22" spans="1:25" x14ac:dyDescent="0.2">
      <c r="A22" s="50" t="s">
        <v>125</v>
      </c>
      <c r="B22" s="51" t="s">
        <v>109</v>
      </c>
      <c r="C22" s="51"/>
      <c r="D22" s="52">
        <v>38632</v>
      </c>
      <c r="E22" s="51" t="s">
        <v>123</v>
      </c>
      <c r="F22" s="53"/>
      <c r="G22" s="53">
        <v>808</v>
      </c>
      <c r="H22" s="53">
        <v>808</v>
      </c>
      <c r="I22" s="53">
        <v>0</v>
      </c>
      <c r="J22" s="54"/>
      <c r="K22" s="53"/>
      <c r="L22" s="53">
        <v>822.28</v>
      </c>
      <c r="M22" s="53">
        <v>822.28</v>
      </c>
      <c r="N22" s="53">
        <v>0</v>
      </c>
      <c r="O22" s="54"/>
      <c r="P22" s="53"/>
      <c r="Q22" s="53">
        <v>834.2</v>
      </c>
      <c r="R22" s="53">
        <v>834.2</v>
      </c>
      <c r="S22" s="53">
        <v>0</v>
      </c>
      <c r="T22" s="54"/>
      <c r="U22" s="53"/>
      <c r="V22" s="53">
        <v>842.12</v>
      </c>
      <c r="W22" s="53">
        <v>842.12</v>
      </c>
      <c r="X22" s="53">
        <v>0</v>
      </c>
      <c r="Y22" s="54"/>
    </row>
    <row r="23" spans="1:25" x14ac:dyDescent="0.2">
      <c r="A23" s="50" t="s">
        <v>126</v>
      </c>
      <c r="B23" s="51" t="s">
        <v>109</v>
      </c>
      <c r="C23" s="51"/>
      <c r="D23" s="52">
        <v>39092</v>
      </c>
      <c r="E23" s="51" t="s">
        <v>123</v>
      </c>
      <c r="F23" s="53"/>
      <c r="G23" s="53">
        <v>783.84</v>
      </c>
      <c r="H23" s="53">
        <v>783.84</v>
      </c>
      <c r="I23" s="53">
        <v>0</v>
      </c>
      <c r="J23" s="54"/>
      <c r="K23" s="53"/>
      <c r="L23" s="53">
        <v>797.7</v>
      </c>
      <c r="M23" s="53">
        <v>797.7</v>
      </c>
      <c r="N23" s="53">
        <v>0</v>
      </c>
      <c r="O23" s="54"/>
      <c r="P23" s="53"/>
      <c r="Q23" s="53">
        <v>809.26</v>
      </c>
      <c r="R23" s="53">
        <v>809.26</v>
      </c>
      <c r="S23" s="53">
        <v>0</v>
      </c>
      <c r="T23" s="54"/>
      <c r="U23" s="53"/>
      <c r="V23" s="53">
        <v>816.94</v>
      </c>
      <c r="W23" s="53">
        <v>816.94</v>
      </c>
      <c r="X23" s="53">
        <v>0</v>
      </c>
      <c r="Y23" s="54"/>
    </row>
    <row r="24" spans="1:25" x14ac:dyDescent="0.2">
      <c r="A24" s="50" t="s">
        <v>127</v>
      </c>
      <c r="B24" s="51" t="s">
        <v>65</v>
      </c>
      <c r="C24" s="51" t="s">
        <v>117</v>
      </c>
      <c r="D24" s="52">
        <v>21309</v>
      </c>
      <c r="E24" s="51" t="s">
        <v>96</v>
      </c>
      <c r="F24" s="53">
        <v>3798.42</v>
      </c>
      <c r="G24" s="53">
        <v>1899.21</v>
      </c>
      <c r="H24" s="53">
        <v>1899.21</v>
      </c>
      <c r="I24" s="53">
        <v>0</v>
      </c>
      <c r="J24" s="54">
        <v>0</v>
      </c>
      <c r="K24" s="53">
        <v>3865.56</v>
      </c>
      <c r="L24" s="53">
        <v>1932.78</v>
      </c>
      <c r="M24" s="53">
        <v>1932.78</v>
      </c>
      <c r="N24" s="53">
        <v>0</v>
      </c>
      <c r="O24" s="54">
        <v>0</v>
      </c>
      <c r="P24" s="53">
        <v>3921.58</v>
      </c>
      <c r="Q24" s="53">
        <v>1960.79</v>
      </c>
      <c r="R24" s="53">
        <v>1960.79</v>
      </c>
      <c r="S24" s="53">
        <v>0</v>
      </c>
      <c r="T24" s="54">
        <v>0</v>
      </c>
      <c r="U24" s="53">
        <v>3958.84</v>
      </c>
      <c r="V24" s="53">
        <v>1979.42</v>
      </c>
      <c r="W24" s="53">
        <v>1979.42</v>
      </c>
      <c r="X24" s="53">
        <v>0</v>
      </c>
      <c r="Y24" s="54">
        <v>0</v>
      </c>
    </row>
    <row r="25" spans="1:25" x14ac:dyDescent="0.2">
      <c r="A25" s="50" t="s">
        <v>128</v>
      </c>
      <c r="B25" s="51" t="s">
        <v>107</v>
      </c>
      <c r="C25" s="51"/>
      <c r="D25" s="52">
        <v>23570</v>
      </c>
      <c r="E25" s="51" t="s">
        <v>96</v>
      </c>
      <c r="F25" s="53"/>
      <c r="G25" s="53">
        <v>1899.21</v>
      </c>
      <c r="H25" s="53">
        <v>1899.21</v>
      </c>
      <c r="I25" s="53">
        <v>0</v>
      </c>
      <c r="J25" s="54"/>
      <c r="K25" s="53"/>
      <c r="L25" s="53">
        <v>1932.78</v>
      </c>
      <c r="M25" s="53">
        <v>1932.78</v>
      </c>
      <c r="N25" s="53">
        <v>0</v>
      </c>
      <c r="O25" s="54"/>
      <c r="P25" s="53"/>
      <c r="Q25" s="53">
        <v>1960.79</v>
      </c>
      <c r="R25" s="53">
        <v>1960.79</v>
      </c>
      <c r="S25" s="53">
        <v>0</v>
      </c>
      <c r="T25" s="54"/>
      <c r="U25" s="53"/>
      <c r="V25" s="53">
        <v>1979.42</v>
      </c>
      <c r="W25" s="53">
        <v>1979.42</v>
      </c>
      <c r="X25" s="53">
        <v>0</v>
      </c>
      <c r="Y25" s="54"/>
    </row>
    <row r="26" spans="1:25" x14ac:dyDescent="0.2">
      <c r="A26" s="50" t="s">
        <v>129</v>
      </c>
      <c r="B26" s="51" t="s">
        <v>65</v>
      </c>
      <c r="C26" s="51" t="s">
        <v>65</v>
      </c>
      <c r="D26" s="52">
        <v>24147</v>
      </c>
      <c r="E26" s="51" t="s">
        <v>113</v>
      </c>
      <c r="F26" s="53">
        <v>1899.21</v>
      </c>
      <c r="G26" s="53">
        <v>1899.21</v>
      </c>
      <c r="H26" s="53">
        <v>1899.21</v>
      </c>
      <c r="I26" s="53">
        <v>0</v>
      </c>
      <c r="J26" s="54">
        <v>0</v>
      </c>
      <c r="K26" s="53">
        <v>1932.78</v>
      </c>
      <c r="L26" s="53">
        <v>1932.78</v>
      </c>
      <c r="M26" s="53">
        <v>1932.78</v>
      </c>
      <c r="N26" s="53">
        <v>0</v>
      </c>
      <c r="O26" s="54">
        <v>0</v>
      </c>
      <c r="P26" s="53">
        <v>1960.79</v>
      </c>
      <c r="Q26" s="53">
        <v>1960.79</v>
      </c>
      <c r="R26" s="53">
        <v>1960.79</v>
      </c>
      <c r="S26" s="53">
        <v>0</v>
      </c>
      <c r="T26" s="54">
        <v>0</v>
      </c>
      <c r="U26" s="53">
        <v>1979.42</v>
      </c>
      <c r="V26" s="53">
        <v>1979.42</v>
      </c>
      <c r="W26" s="53">
        <v>1979.42</v>
      </c>
      <c r="X26" s="53">
        <v>0</v>
      </c>
      <c r="Y26" s="54">
        <v>0</v>
      </c>
    </row>
    <row r="27" spans="1:25" x14ac:dyDescent="0.2">
      <c r="A27" s="50" t="s">
        <v>130</v>
      </c>
      <c r="B27" s="51" t="s">
        <v>65</v>
      </c>
      <c r="C27" s="51" t="s">
        <v>65</v>
      </c>
      <c r="D27" s="52">
        <v>25210</v>
      </c>
      <c r="E27" s="51" t="s">
        <v>131</v>
      </c>
      <c r="F27" s="53">
        <v>1784.26</v>
      </c>
      <c r="G27" s="53">
        <v>1784.26</v>
      </c>
      <c r="H27" s="53">
        <v>1784.26</v>
      </c>
      <c r="I27" s="53">
        <v>0</v>
      </c>
      <c r="J27" s="54">
        <v>0</v>
      </c>
      <c r="K27" s="53">
        <v>1815.8</v>
      </c>
      <c r="L27" s="53">
        <v>1815.8</v>
      </c>
      <c r="M27" s="53">
        <v>1815.8</v>
      </c>
      <c r="N27" s="53">
        <v>0</v>
      </c>
      <c r="O27" s="54">
        <v>0</v>
      </c>
      <c r="P27" s="53">
        <v>1842.11</v>
      </c>
      <c r="Q27" s="53">
        <v>1842.11</v>
      </c>
      <c r="R27" s="53">
        <v>1842.11</v>
      </c>
      <c r="S27" s="53">
        <v>0</v>
      </c>
      <c r="T27" s="54">
        <v>0</v>
      </c>
      <c r="U27" s="53">
        <v>1859.61</v>
      </c>
      <c r="V27" s="53">
        <v>1859.61</v>
      </c>
      <c r="W27" s="53">
        <v>1859.61</v>
      </c>
      <c r="X27" s="53">
        <v>0</v>
      </c>
      <c r="Y27" s="54">
        <v>0</v>
      </c>
    </row>
    <row r="28" spans="1:25" x14ac:dyDescent="0.2">
      <c r="A28" s="50" t="s">
        <v>132</v>
      </c>
      <c r="B28" s="51" t="s">
        <v>65</v>
      </c>
      <c r="C28" s="51" t="s">
        <v>65</v>
      </c>
      <c r="D28" s="52">
        <v>35103</v>
      </c>
      <c r="E28" s="51" t="s">
        <v>113</v>
      </c>
      <c r="F28" s="53">
        <v>1072.05</v>
      </c>
      <c r="G28" s="53">
        <v>1072.05</v>
      </c>
      <c r="H28" s="53">
        <v>1072.05</v>
      </c>
      <c r="I28" s="53">
        <v>0</v>
      </c>
      <c r="J28" s="54">
        <v>0</v>
      </c>
      <c r="K28" s="53">
        <v>1091</v>
      </c>
      <c r="L28" s="53">
        <v>1091</v>
      </c>
      <c r="M28" s="53">
        <v>1091</v>
      </c>
      <c r="N28" s="53">
        <v>0</v>
      </c>
      <c r="O28" s="54">
        <v>0</v>
      </c>
      <c r="P28" s="53">
        <v>1106.81</v>
      </c>
      <c r="Q28" s="53">
        <v>1106.81</v>
      </c>
      <c r="R28" s="53">
        <v>1106.81</v>
      </c>
      <c r="S28" s="53">
        <v>0</v>
      </c>
      <c r="T28" s="54">
        <v>0</v>
      </c>
      <c r="U28" s="53">
        <v>1117.33</v>
      </c>
      <c r="V28" s="53">
        <v>1117.33</v>
      </c>
      <c r="W28" s="53">
        <v>1117.33</v>
      </c>
      <c r="X28" s="53">
        <v>0</v>
      </c>
      <c r="Y28" s="54">
        <v>0</v>
      </c>
    </row>
    <row r="29" spans="1:25" x14ac:dyDescent="0.2">
      <c r="A29" s="50" t="s">
        <v>133</v>
      </c>
      <c r="B29" s="51" t="s">
        <v>65</v>
      </c>
      <c r="C29" s="51" t="s">
        <v>117</v>
      </c>
      <c r="D29" s="52">
        <v>27399</v>
      </c>
      <c r="E29" s="51" t="s">
        <v>113</v>
      </c>
      <c r="F29" s="53">
        <v>2751.35</v>
      </c>
      <c r="G29" s="53">
        <v>1492.71</v>
      </c>
      <c r="H29" s="53">
        <v>1492.71</v>
      </c>
      <c r="I29" s="53">
        <v>0</v>
      </c>
      <c r="J29" s="54">
        <v>0</v>
      </c>
      <c r="K29" s="53">
        <v>2799.99</v>
      </c>
      <c r="L29" s="53">
        <v>1519.1</v>
      </c>
      <c r="M29" s="53">
        <v>1519.1</v>
      </c>
      <c r="N29" s="53">
        <v>0</v>
      </c>
      <c r="O29" s="54">
        <v>0</v>
      </c>
      <c r="P29" s="53">
        <v>2840.56</v>
      </c>
      <c r="Q29" s="53">
        <v>1541.11</v>
      </c>
      <c r="R29" s="53">
        <v>1541.11</v>
      </c>
      <c r="S29" s="53">
        <v>0</v>
      </c>
      <c r="T29" s="54">
        <v>0</v>
      </c>
      <c r="U29" s="53">
        <v>2867.55</v>
      </c>
      <c r="V29" s="53">
        <v>1555.75</v>
      </c>
      <c r="W29" s="53">
        <v>1555.75</v>
      </c>
      <c r="X29" s="53">
        <v>0</v>
      </c>
      <c r="Y29" s="54">
        <v>0</v>
      </c>
    </row>
    <row r="30" spans="1:25" x14ac:dyDescent="0.2">
      <c r="A30" s="50" t="s">
        <v>134</v>
      </c>
      <c r="B30" s="51" t="s">
        <v>107</v>
      </c>
      <c r="C30" s="51"/>
      <c r="D30" s="52">
        <v>29502</v>
      </c>
      <c r="E30" s="51" t="s">
        <v>113</v>
      </c>
      <c r="F30" s="53"/>
      <c r="G30" s="53">
        <v>1258.6400000000001</v>
      </c>
      <c r="H30" s="53">
        <v>1258.6400000000001</v>
      </c>
      <c r="I30" s="53">
        <v>0</v>
      </c>
      <c r="J30" s="54"/>
      <c r="K30" s="53"/>
      <c r="L30" s="53">
        <v>1280.8900000000001</v>
      </c>
      <c r="M30" s="53">
        <v>1280.8900000000001</v>
      </c>
      <c r="N30" s="53">
        <v>0</v>
      </c>
      <c r="O30" s="54"/>
      <c r="P30" s="53"/>
      <c r="Q30" s="53">
        <v>1299.45</v>
      </c>
      <c r="R30" s="53">
        <v>1299.45</v>
      </c>
      <c r="S30" s="53">
        <v>0</v>
      </c>
      <c r="T30" s="54"/>
      <c r="U30" s="53"/>
      <c r="V30" s="53">
        <v>1311.8</v>
      </c>
      <c r="W30" s="53">
        <v>1311.8</v>
      </c>
      <c r="X30" s="53">
        <v>0</v>
      </c>
      <c r="Y30" s="54"/>
    </row>
    <row r="31" spans="1:25" x14ac:dyDescent="0.2">
      <c r="A31" s="50" t="s">
        <v>135</v>
      </c>
      <c r="B31" s="51" t="s">
        <v>65</v>
      </c>
      <c r="C31" s="51" t="s">
        <v>104</v>
      </c>
      <c r="D31" s="52">
        <v>24592</v>
      </c>
      <c r="E31" s="51" t="s">
        <v>111</v>
      </c>
      <c r="F31" s="53">
        <v>4839.6499999999996</v>
      </c>
      <c r="G31" s="53">
        <v>1899.21</v>
      </c>
      <c r="H31" s="53">
        <v>1899.21</v>
      </c>
      <c r="I31" s="53">
        <v>0</v>
      </c>
      <c r="J31" s="54">
        <v>0</v>
      </c>
      <c r="K31" s="53">
        <v>4925.2</v>
      </c>
      <c r="L31" s="53">
        <v>1932.78</v>
      </c>
      <c r="M31" s="53">
        <v>1932.78</v>
      </c>
      <c r="N31" s="53">
        <v>0</v>
      </c>
      <c r="O31" s="54">
        <v>0</v>
      </c>
      <c r="P31" s="53">
        <v>4996.57</v>
      </c>
      <c r="Q31" s="53">
        <v>1960.79</v>
      </c>
      <c r="R31" s="53">
        <v>1960.79</v>
      </c>
      <c r="S31" s="53">
        <v>0</v>
      </c>
      <c r="T31" s="54">
        <v>0</v>
      </c>
      <c r="U31" s="53">
        <v>5044.05</v>
      </c>
      <c r="V31" s="53">
        <v>1979.42</v>
      </c>
      <c r="W31" s="53">
        <v>1979.42</v>
      </c>
      <c r="X31" s="53">
        <v>0</v>
      </c>
      <c r="Y31" s="54">
        <v>0</v>
      </c>
    </row>
    <row r="32" spans="1:25" x14ac:dyDescent="0.2">
      <c r="A32" s="50" t="s">
        <v>136</v>
      </c>
      <c r="B32" s="51" t="s">
        <v>107</v>
      </c>
      <c r="C32" s="51"/>
      <c r="D32" s="52">
        <v>22616</v>
      </c>
      <c r="E32" s="51" t="s">
        <v>111</v>
      </c>
      <c r="F32" s="53"/>
      <c r="G32" s="53">
        <v>1899.21</v>
      </c>
      <c r="H32" s="53">
        <v>1899.21</v>
      </c>
      <c r="I32" s="53">
        <v>0</v>
      </c>
      <c r="J32" s="54"/>
      <c r="K32" s="53"/>
      <c r="L32" s="53">
        <v>1932.78</v>
      </c>
      <c r="M32" s="53">
        <v>1932.78</v>
      </c>
      <c r="N32" s="53">
        <v>0</v>
      </c>
      <c r="O32" s="54"/>
      <c r="P32" s="53"/>
      <c r="Q32" s="53">
        <v>1960.79</v>
      </c>
      <c r="R32" s="53">
        <v>1960.79</v>
      </c>
      <c r="S32" s="53">
        <v>0</v>
      </c>
      <c r="T32" s="54"/>
      <c r="U32" s="53"/>
      <c r="V32" s="53">
        <v>1979.42</v>
      </c>
      <c r="W32" s="53">
        <v>1979.42</v>
      </c>
      <c r="X32" s="53">
        <v>0</v>
      </c>
      <c r="Y32" s="54"/>
    </row>
    <row r="33" spans="1:25" x14ac:dyDescent="0.2">
      <c r="A33" s="50" t="s">
        <v>137</v>
      </c>
      <c r="B33" s="51" t="s">
        <v>109</v>
      </c>
      <c r="C33" s="51"/>
      <c r="D33" s="52">
        <v>37842</v>
      </c>
      <c r="E33" s="51" t="s">
        <v>111</v>
      </c>
      <c r="F33" s="53"/>
      <c r="G33" s="53">
        <v>1041.23</v>
      </c>
      <c r="H33" s="53">
        <v>1041.23</v>
      </c>
      <c r="I33" s="53">
        <v>0</v>
      </c>
      <c r="J33" s="54"/>
      <c r="K33" s="53"/>
      <c r="L33" s="53">
        <v>1059.6400000000001</v>
      </c>
      <c r="M33" s="53">
        <v>1059.6400000000001</v>
      </c>
      <c r="N33" s="53">
        <v>0</v>
      </c>
      <c r="O33" s="54"/>
      <c r="P33" s="53"/>
      <c r="Q33" s="53">
        <v>1074.99</v>
      </c>
      <c r="R33" s="53">
        <v>1074.99</v>
      </c>
      <c r="S33" s="53">
        <v>0</v>
      </c>
      <c r="T33" s="54"/>
      <c r="U33" s="53"/>
      <c r="V33" s="53">
        <v>1085.21</v>
      </c>
      <c r="W33" s="53">
        <v>1085.21</v>
      </c>
      <c r="X33" s="53">
        <v>0</v>
      </c>
      <c r="Y33" s="54"/>
    </row>
    <row r="34" spans="1:25" x14ac:dyDescent="0.2">
      <c r="A34" s="50" t="s">
        <v>138</v>
      </c>
      <c r="B34" s="51" t="s">
        <v>65</v>
      </c>
      <c r="C34" s="51" t="s">
        <v>65</v>
      </c>
      <c r="D34" s="52">
        <v>35401</v>
      </c>
      <c r="E34" s="51" t="s">
        <v>113</v>
      </c>
      <c r="F34" s="53">
        <v>1062.06</v>
      </c>
      <c r="G34" s="53">
        <v>1062.06</v>
      </c>
      <c r="H34" s="53">
        <v>1062.06</v>
      </c>
      <c r="I34" s="53">
        <v>0</v>
      </c>
      <c r="J34" s="54">
        <v>0</v>
      </c>
      <c r="K34" s="53">
        <v>1080.83</v>
      </c>
      <c r="L34" s="53">
        <v>1080.83</v>
      </c>
      <c r="M34" s="53">
        <v>1080.83</v>
      </c>
      <c r="N34" s="53">
        <v>0</v>
      </c>
      <c r="O34" s="54">
        <v>0</v>
      </c>
      <c r="P34" s="53">
        <v>1096.49</v>
      </c>
      <c r="Q34" s="53">
        <v>1096.49</v>
      </c>
      <c r="R34" s="53">
        <v>1096.49</v>
      </c>
      <c r="S34" s="53">
        <v>0</v>
      </c>
      <c r="T34" s="54">
        <v>0</v>
      </c>
      <c r="U34" s="53">
        <v>1106.9100000000001</v>
      </c>
      <c r="V34" s="53">
        <v>1106.9100000000001</v>
      </c>
      <c r="W34" s="53">
        <v>1106.9100000000001</v>
      </c>
      <c r="X34" s="53">
        <v>0</v>
      </c>
      <c r="Y34" s="54">
        <v>0</v>
      </c>
    </row>
    <row r="35" spans="1:25" x14ac:dyDescent="0.2">
      <c r="A35" s="50" t="s">
        <v>139</v>
      </c>
      <c r="B35" s="51" t="s">
        <v>65</v>
      </c>
      <c r="C35" s="51" t="s">
        <v>65</v>
      </c>
      <c r="D35" s="52">
        <v>35453</v>
      </c>
      <c r="E35" s="51" t="s">
        <v>113</v>
      </c>
      <c r="F35" s="53">
        <v>1062.06</v>
      </c>
      <c r="G35" s="53">
        <v>1062.06</v>
      </c>
      <c r="H35" s="53">
        <v>1062.06</v>
      </c>
      <c r="I35" s="53">
        <v>0</v>
      </c>
      <c r="J35" s="54">
        <v>0</v>
      </c>
      <c r="K35" s="53">
        <v>1080.83</v>
      </c>
      <c r="L35" s="53">
        <v>1080.83</v>
      </c>
      <c r="M35" s="53">
        <v>1080.83</v>
      </c>
      <c r="N35" s="53">
        <v>0</v>
      </c>
      <c r="O35" s="54">
        <v>0</v>
      </c>
      <c r="P35" s="53">
        <v>1096.49</v>
      </c>
      <c r="Q35" s="53">
        <v>1096.49</v>
      </c>
      <c r="R35" s="53">
        <v>1096.49</v>
      </c>
      <c r="S35" s="53">
        <v>0</v>
      </c>
      <c r="T35" s="54">
        <v>0</v>
      </c>
      <c r="U35" s="53">
        <v>1106.9100000000001</v>
      </c>
      <c r="V35" s="53">
        <v>1106.9100000000001</v>
      </c>
      <c r="W35" s="53">
        <v>1106.9100000000001</v>
      </c>
      <c r="X35" s="53">
        <v>0</v>
      </c>
      <c r="Y35" s="54">
        <v>0</v>
      </c>
    </row>
    <row r="36" spans="1:25" x14ac:dyDescent="0.2">
      <c r="A36" s="50" t="s">
        <v>140</v>
      </c>
      <c r="B36" s="51" t="s">
        <v>65</v>
      </c>
      <c r="C36" s="51" t="s">
        <v>65</v>
      </c>
      <c r="D36" s="52">
        <v>34864</v>
      </c>
      <c r="E36" s="51" t="s">
        <v>118</v>
      </c>
      <c r="F36" s="53">
        <v>1072.05</v>
      </c>
      <c r="G36" s="53">
        <v>1072.05</v>
      </c>
      <c r="H36" s="53">
        <v>1072.05</v>
      </c>
      <c r="I36" s="53">
        <v>0</v>
      </c>
      <c r="J36" s="54">
        <v>0</v>
      </c>
      <c r="K36" s="53">
        <v>1091</v>
      </c>
      <c r="L36" s="53">
        <v>1091</v>
      </c>
      <c r="M36" s="53">
        <v>1091</v>
      </c>
      <c r="N36" s="53">
        <v>0</v>
      </c>
      <c r="O36" s="54">
        <v>0</v>
      </c>
      <c r="P36" s="53">
        <v>1106.81</v>
      </c>
      <c r="Q36" s="53">
        <v>1106.81</v>
      </c>
      <c r="R36" s="53">
        <v>1106.81</v>
      </c>
      <c r="S36" s="53">
        <v>0</v>
      </c>
      <c r="T36" s="54">
        <v>0</v>
      </c>
      <c r="U36" s="53">
        <v>1117.33</v>
      </c>
      <c r="V36" s="53">
        <v>1117.33</v>
      </c>
      <c r="W36" s="53">
        <v>1117.33</v>
      </c>
      <c r="X36" s="53">
        <v>0</v>
      </c>
      <c r="Y36" s="54">
        <v>0</v>
      </c>
    </row>
    <row r="37" spans="1:25" x14ac:dyDescent="0.2">
      <c r="A37" s="50" t="s">
        <v>141</v>
      </c>
      <c r="B37" s="51" t="s">
        <v>65</v>
      </c>
      <c r="C37" s="51" t="s">
        <v>104</v>
      </c>
      <c r="D37" s="52">
        <v>26666</v>
      </c>
      <c r="E37" s="51" t="s">
        <v>118</v>
      </c>
      <c r="F37" s="53">
        <v>4760.5200000000004</v>
      </c>
      <c r="G37" s="53">
        <v>1584.34</v>
      </c>
      <c r="H37" s="53">
        <v>1584.34</v>
      </c>
      <c r="I37" s="53">
        <v>0</v>
      </c>
      <c r="J37" s="54">
        <v>0</v>
      </c>
      <c r="K37" s="53">
        <v>4844.66</v>
      </c>
      <c r="L37" s="53">
        <v>1612.34</v>
      </c>
      <c r="M37" s="53">
        <v>1612.34</v>
      </c>
      <c r="N37" s="53">
        <v>0</v>
      </c>
      <c r="O37" s="54">
        <v>0</v>
      </c>
      <c r="P37" s="53">
        <v>4914.87</v>
      </c>
      <c r="Q37" s="53">
        <v>1635.71</v>
      </c>
      <c r="R37" s="53">
        <v>1635.71</v>
      </c>
      <c r="S37" s="53">
        <v>0</v>
      </c>
      <c r="T37" s="54">
        <v>0</v>
      </c>
      <c r="U37" s="53">
        <v>4961.57</v>
      </c>
      <c r="V37" s="53">
        <v>1651.25</v>
      </c>
      <c r="W37" s="53">
        <v>1651.25</v>
      </c>
      <c r="X37" s="53">
        <v>0</v>
      </c>
      <c r="Y37" s="54">
        <v>0</v>
      </c>
    </row>
    <row r="38" spans="1:25" x14ac:dyDescent="0.2">
      <c r="A38" s="50" t="s">
        <v>142</v>
      </c>
      <c r="B38" s="51" t="s">
        <v>107</v>
      </c>
      <c r="C38" s="51"/>
      <c r="D38" s="52">
        <v>28717</v>
      </c>
      <c r="E38" s="51" t="s">
        <v>118</v>
      </c>
      <c r="F38" s="53"/>
      <c r="G38" s="53">
        <v>1326.95</v>
      </c>
      <c r="H38" s="53">
        <v>1326.95</v>
      </c>
      <c r="I38" s="53">
        <v>0</v>
      </c>
      <c r="J38" s="54"/>
      <c r="K38" s="53"/>
      <c r="L38" s="53">
        <v>1350.4</v>
      </c>
      <c r="M38" s="53">
        <v>1350.4</v>
      </c>
      <c r="N38" s="53">
        <v>0</v>
      </c>
      <c r="O38" s="54"/>
      <c r="P38" s="53"/>
      <c r="Q38" s="53">
        <v>1369.97</v>
      </c>
      <c r="R38" s="53">
        <v>1369.97</v>
      </c>
      <c r="S38" s="53">
        <v>0</v>
      </c>
      <c r="T38" s="54"/>
      <c r="U38" s="53"/>
      <c r="V38" s="53">
        <v>1382.99</v>
      </c>
      <c r="W38" s="53">
        <v>1382.99</v>
      </c>
      <c r="X38" s="53">
        <v>0</v>
      </c>
      <c r="Y38" s="54"/>
    </row>
    <row r="39" spans="1:25" x14ac:dyDescent="0.2">
      <c r="A39" s="50" t="s">
        <v>143</v>
      </c>
      <c r="B39" s="51" t="s">
        <v>109</v>
      </c>
      <c r="C39" s="51"/>
      <c r="D39" s="52">
        <v>37384</v>
      </c>
      <c r="E39" s="51" t="s">
        <v>118</v>
      </c>
      <c r="F39" s="53"/>
      <c r="G39" s="53">
        <v>1041.23</v>
      </c>
      <c r="H39" s="53">
        <v>1041.23</v>
      </c>
      <c r="I39" s="53">
        <v>0</v>
      </c>
      <c r="J39" s="54"/>
      <c r="K39" s="53"/>
      <c r="L39" s="53">
        <v>1059.6400000000001</v>
      </c>
      <c r="M39" s="53">
        <v>1059.6400000000001</v>
      </c>
      <c r="N39" s="53">
        <v>0</v>
      </c>
      <c r="O39" s="54"/>
      <c r="P39" s="53"/>
      <c r="Q39" s="53">
        <v>1074.99</v>
      </c>
      <c r="R39" s="53">
        <v>1074.99</v>
      </c>
      <c r="S39" s="53">
        <v>0</v>
      </c>
      <c r="T39" s="54"/>
      <c r="U39" s="53"/>
      <c r="V39" s="53">
        <v>1085.21</v>
      </c>
      <c r="W39" s="53">
        <v>1085.21</v>
      </c>
      <c r="X39" s="53">
        <v>0</v>
      </c>
      <c r="Y39" s="54"/>
    </row>
    <row r="40" spans="1:25" x14ac:dyDescent="0.2">
      <c r="A40" s="50" t="s">
        <v>144</v>
      </c>
      <c r="B40" s="51" t="s">
        <v>109</v>
      </c>
      <c r="C40" s="51"/>
      <c r="D40" s="52">
        <v>38688</v>
      </c>
      <c r="E40" s="51" t="s">
        <v>118</v>
      </c>
      <c r="F40" s="53"/>
      <c r="G40" s="53">
        <v>808</v>
      </c>
      <c r="H40" s="53">
        <v>808</v>
      </c>
      <c r="I40" s="53">
        <v>0</v>
      </c>
      <c r="J40" s="54"/>
      <c r="K40" s="53"/>
      <c r="L40" s="53">
        <v>822.28</v>
      </c>
      <c r="M40" s="53">
        <v>822.28</v>
      </c>
      <c r="N40" s="53">
        <v>0</v>
      </c>
      <c r="O40" s="54"/>
      <c r="P40" s="53"/>
      <c r="Q40" s="53">
        <v>834.2</v>
      </c>
      <c r="R40" s="53">
        <v>834.2</v>
      </c>
      <c r="S40" s="53">
        <v>0</v>
      </c>
      <c r="T40" s="54"/>
      <c r="U40" s="53"/>
      <c r="V40" s="53">
        <v>842.12</v>
      </c>
      <c r="W40" s="53">
        <v>842.12</v>
      </c>
      <c r="X40" s="53">
        <v>0</v>
      </c>
      <c r="Y40" s="54"/>
    </row>
    <row r="41" spans="1:25" x14ac:dyDescent="0.2">
      <c r="A41" s="50" t="s">
        <v>145</v>
      </c>
      <c r="B41" s="51" t="s">
        <v>65</v>
      </c>
      <c r="C41" s="51" t="s">
        <v>65</v>
      </c>
      <c r="D41" s="52">
        <v>36146</v>
      </c>
      <c r="E41" s="51" t="s">
        <v>111</v>
      </c>
      <c r="F41" s="53">
        <v>1041.23</v>
      </c>
      <c r="G41" s="53">
        <v>1041.23</v>
      </c>
      <c r="H41" s="53">
        <v>1041.23</v>
      </c>
      <c r="I41" s="53">
        <v>0</v>
      </c>
      <c r="J41" s="54">
        <v>0</v>
      </c>
      <c r="K41" s="53">
        <v>1059.6400000000001</v>
      </c>
      <c r="L41" s="53">
        <v>1059.6400000000001</v>
      </c>
      <c r="M41" s="53">
        <v>1059.6400000000001</v>
      </c>
      <c r="N41" s="53">
        <v>0</v>
      </c>
      <c r="O41" s="54">
        <v>0</v>
      </c>
      <c r="P41" s="53">
        <v>1074.99</v>
      </c>
      <c r="Q41" s="53">
        <v>1074.99</v>
      </c>
      <c r="R41" s="53">
        <v>1074.99</v>
      </c>
      <c r="S41" s="53">
        <v>0</v>
      </c>
      <c r="T41" s="54">
        <v>0</v>
      </c>
      <c r="U41" s="53">
        <v>1085.21</v>
      </c>
      <c r="V41" s="53">
        <v>1085.21</v>
      </c>
      <c r="W41" s="53">
        <v>1085.21</v>
      </c>
      <c r="X41" s="53">
        <v>0</v>
      </c>
      <c r="Y41" s="54">
        <v>0</v>
      </c>
    </row>
    <row r="42" spans="1:25" x14ac:dyDescent="0.2">
      <c r="A42" s="50" t="s">
        <v>146</v>
      </c>
      <c r="B42" s="51" t="s">
        <v>65</v>
      </c>
      <c r="C42" s="51" t="s">
        <v>65</v>
      </c>
      <c r="D42" s="52">
        <v>35249</v>
      </c>
      <c r="E42" s="51" t="s">
        <v>147</v>
      </c>
      <c r="F42" s="53">
        <v>1062.06</v>
      </c>
      <c r="G42" s="53">
        <v>1062.06</v>
      </c>
      <c r="H42" s="53">
        <v>1062.06</v>
      </c>
      <c r="I42" s="53">
        <v>0</v>
      </c>
      <c r="J42" s="54">
        <v>0</v>
      </c>
      <c r="K42" s="53">
        <v>1080.83</v>
      </c>
      <c r="L42" s="53">
        <v>1080.83</v>
      </c>
      <c r="M42" s="53">
        <v>1080.83</v>
      </c>
      <c r="N42" s="53">
        <v>0</v>
      </c>
      <c r="O42" s="54">
        <v>0</v>
      </c>
      <c r="P42" s="53">
        <v>1096.49</v>
      </c>
      <c r="Q42" s="53">
        <v>1096.49</v>
      </c>
      <c r="R42" s="53">
        <v>1096.49</v>
      </c>
      <c r="S42" s="53">
        <v>0</v>
      </c>
      <c r="T42" s="54">
        <v>0</v>
      </c>
      <c r="U42" s="53">
        <v>1106.9100000000001</v>
      </c>
      <c r="V42" s="53">
        <v>1106.9100000000001</v>
      </c>
      <c r="W42" s="53">
        <v>1106.9100000000001</v>
      </c>
      <c r="X42" s="53">
        <v>0</v>
      </c>
      <c r="Y42" s="54">
        <v>0</v>
      </c>
    </row>
    <row r="43" spans="1:25" ht="16.149999999999999" customHeight="1" x14ac:dyDescent="0.2">
      <c r="A43" s="226" t="s">
        <v>81</v>
      </c>
      <c r="B43" s="227"/>
      <c r="C43" s="227"/>
      <c r="D43" s="227"/>
      <c r="E43" s="227"/>
      <c r="F43" s="211" t="s">
        <v>203</v>
      </c>
      <c r="G43" s="212"/>
      <c r="H43" s="212"/>
      <c r="I43" s="212"/>
      <c r="J43" s="213"/>
      <c r="K43" s="211" t="s">
        <v>205</v>
      </c>
      <c r="L43" s="212"/>
      <c r="M43" s="212"/>
      <c r="N43" s="212"/>
      <c r="O43" s="213"/>
      <c r="P43" s="211" t="s">
        <v>207</v>
      </c>
      <c r="Q43" s="212"/>
      <c r="R43" s="212"/>
      <c r="S43" s="212"/>
      <c r="T43" s="213"/>
      <c r="U43" s="211" t="s">
        <v>209</v>
      </c>
      <c r="V43" s="212"/>
      <c r="W43" s="212"/>
      <c r="X43" s="212"/>
      <c r="Y43" s="213"/>
    </row>
    <row r="44" spans="1:25" ht="13.9" customHeight="1" x14ac:dyDescent="0.2">
      <c r="A44" s="228" t="s">
        <v>82</v>
      </c>
      <c r="B44" s="229"/>
      <c r="C44" s="229"/>
      <c r="D44" s="229"/>
      <c r="E44" s="229"/>
      <c r="F44" s="214">
        <v>13541.87</v>
      </c>
      <c r="G44" s="215"/>
      <c r="H44" s="215"/>
      <c r="I44" s="215"/>
      <c r="J44" s="216"/>
      <c r="K44" s="214">
        <v>13781.23</v>
      </c>
      <c r="L44" s="215"/>
      <c r="M44" s="215"/>
      <c r="N44" s="215"/>
      <c r="O44" s="216"/>
      <c r="P44" s="214">
        <v>13980.95</v>
      </c>
      <c r="Q44" s="215"/>
      <c r="R44" s="215"/>
      <c r="S44" s="215"/>
      <c r="T44" s="216"/>
      <c r="U44" s="214">
        <v>14113.77</v>
      </c>
      <c r="V44" s="215"/>
      <c r="W44" s="215"/>
      <c r="X44" s="215"/>
      <c r="Y44" s="216"/>
    </row>
    <row r="45" spans="1:25" ht="13.9" customHeight="1" x14ac:dyDescent="0.2">
      <c r="A45" s="230" t="s">
        <v>83</v>
      </c>
      <c r="B45" s="231"/>
      <c r="C45" s="231"/>
      <c r="D45" s="231"/>
      <c r="E45" s="231"/>
      <c r="F45" s="208">
        <f>F44*12</f>
        <v>162502.44</v>
      </c>
      <c r="G45" s="209"/>
      <c r="H45" s="209"/>
      <c r="I45" s="209"/>
      <c r="J45" s="210"/>
      <c r="K45" s="208">
        <f>K44*12</f>
        <v>165374.76</v>
      </c>
      <c r="L45" s="209"/>
      <c r="M45" s="209"/>
      <c r="N45" s="209"/>
      <c r="O45" s="210"/>
      <c r="P45" s="208">
        <f>P44*12</f>
        <v>167771.40000000002</v>
      </c>
      <c r="Q45" s="209"/>
      <c r="R45" s="209"/>
      <c r="S45" s="209"/>
      <c r="T45" s="210"/>
      <c r="U45" s="208">
        <f>U44*12</f>
        <v>169365.24</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600-000000000000}"/>
    <hyperlink ref="F46" r:id="rId2" xr:uid="{00000000-0004-0000-4600-000001000000}"/>
    <hyperlink ref="K7" r:id="rId3" xr:uid="{00000000-0004-0000-4600-000002000000}"/>
    <hyperlink ref="K46" r:id="rId4" xr:uid="{00000000-0004-0000-4600-000003000000}"/>
    <hyperlink ref="P7" r:id="rId5" xr:uid="{00000000-0004-0000-4600-000004000000}"/>
    <hyperlink ref="P46" r:id="rId6" xr:uid="{00000000-0004-0000-4600-000005000000}"/>
    <hyperlink ref="U7" r:id="rId7" xr:uid="{00000000-0004-0000-4600-000006000000}"/>
    <hyperlink ref="U46" r:id="rId8" xr:uid="{00000000-0004-0000-46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8980-03A4-496E-8A3F-50A063ED4762}">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172</v>
      </c>
      <c r="Q5" s="118"/>
      <c r="R5" s="118"/>
      <c r="S5" s="118"/>
      <c r="T5" s="120"/>
      <c r="U5" s="117" t="s">
        <v>167</v>
      </c>
      <c r="V5" s="118"/>
      <c r="W5" s="118"/>
      <c r="X5" s="118"/>
      <c r="Y5" s="120"/>
    </row>
    <row r="6" spans="1:25" x14ac:dyDescent="0.2">
      <c r="A6" s="247"/>
      <c r="B6" s="248"/>
      <c r="C6" s="248"/>
      <c r="D6" s="248"/>
      <c r="E6" s="248"/>
      <c r="F6" s="121" t="s">
        <v>210</v>
      </c>
      <c r="G6" s="122"/>
      <c r="H6" s="122"/>
      <c r="I6" s="122"/>
      <c r="J6" s="124"/>
      <c r="K6" s="121" t="s">
        <v>212</v>
      </c>
      <c r="L6" s="122"/>
      <c r="M6" s="122"/>
      <c r="N6" s="122"/>
      <c r="O6" s="124"/>
      <c r="P6" s="121" t="s">
        <v>214</v>
      </c>
      <c r="Q6" s="122"/>
      <c r="R6" s="122"/>
      <c r="S6" s="122"/>
      <c r="T6" s="124"/>
      <c r="U6" s="121" t="s">
        <v>216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211</v>
      </c>
      <c r="G8" s="233"/>
      <c r="H8" s="233"/>
      <c r="I8" s="233"/>
      <c r="J8" s="234"/>
      <c r="K8" s="232" t="s">
        <v>213</v>
      </c>
      <c r="L8" s="233"/>
      <c r="M8" s="233"/>
      <c r="N8" s="233"/>
      <c r="O8" s="234"/>
      <c r="P8" s="232" t="s">
        <v>215</v>
      </c>
      <c r="Q8" s="233"/>
      <c r="R8" s="233"/>
      <c r="S8" s="233"/>
      <c r="T8" s="234"/>
      <c r="U8" s="232" t="s">
        <v>217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4706.37</v>
      </c>
      <c r="G10" s="53">
        <v>2149.98</v>
      </c>
      <c r="H10" s="53">
        <v>2149.98</v>
      </c>
      <c r="I10" s="53">
        <v>0</v>
      </c>
      <c r="J10" s="54">
        <v>0</v>
      </c>
      <c r="K10" s="53">
        <v>4751.0600000000004</v>
      </c>
      <c r="L10" s="53">
        <v>2170.39</v>
      </c>
      <c r="M10" s="53">
        <v>2170.39</v>
      </c>
      <c r="N10" s="53">
        <v>0</v>
      </c>
      <c r="O10" s="54">
        <v>0</v>
      </c>
      <c r="P10" s="53">
        <v>4781.75</v>
      </c>
      <c r="Q10" s="53">
        <v>2184.41</v>
      </c>
      <c r="R10" s="53">
        <v>2184.41</v>
      </c>
      <c r="S10" s="53">
        <v>0</v>
      </c>
      <c r="T10" s="54">
        <v>0</v>
      </c>
      <c r="U10" s="53">
        <v>5192.1499999999996</v>
      </c>
      <c r="V10" s="53">
        <v>2371.89</v>
      </c>
      <c r="W10" s="53">
        <v>2371.89</v>
      </c>
      <c r="X10" s="53">
        <v>0</v>
      </c>
      <c r="Y10" s="54">
        <v>0</v>
      </c>
    </row>
    <row r="11" spans="1:25" x14ac:dyDescent="0.2">
      <c r="A11" s="50" t="s">
        <v>106</v>
      </c>
      <c r="B11" s="51" t="s">
        <v>107</v>
      </c>
      <c r="C11" s="51"/>
      <c r="D11" s="52">
        <v>27837</v>
      </c>
      <c r="E11" s="51" t="s">
        <v>105</v>
      </c>
      <c r="F11" s="53"/>
      <c r="G11" s="53">
        <v>1641.71</v>
      </c>
      <c r="H11" s="53">
        <v>1641.71</v>
      </c>
      <c r="I11" s="53">
        <v>0</v>
      </c>
      <c r="J11" s="54"/>
      <c r="K11" s="53"/>
      <c r="L11" s="53">
        <v>1657.3</v>
      </c>
      <c r="M11" s="53">
        <v>1657.3</v>
      </c>
      <c r="N11" s="53">
        <v>0</v>
      </c>
      <c r="O11" s="54"/>
      <c r="P11" s="53"/>
      <c r="Q11" s="53">
        <v>1668.01</v>
      </c>
      <c r="R11" s="53">
        <v>1668.01</v>
      </c>
      <c r="S11" s="53">
        <v>0</v>
      </c>
      <c r="T11" s="54"/>
      <c r="U11" s="53"/>
      <c r="V11" s="53">
        <v>1811.17</v>
      </c>
      <c r="W11" s="53">
        <v>1811.17</v>
      </c>
      <c r="X11" s="53">
        <v>0</v>
      </c>
      <c r="Y11" s="54"/>
    </row>
    <row r="12" spans="1:25" x14ac:dyDescent="0.2">
      <c r="A12" s="50" t="s">
        <v>108</v>
      </c>
      <c r="B12" s="51" t="s">
        <v>109</v>
      </c>
      <c r="C12" s="51"/>
      <c r="D12" s="52">
        <v>38648</v>
      </c>
      <c r="E12" s="51" t="s">
        <v>105</v>
      </c>
      <c r="F12" s="53"/>
      <c r="G12" s="53">
        <v>914.68</v>
      </c>
      <c r="H12" s="53">
        <v>914.68</v>
      </c>
      <c r="I12" s="53">
        <v>0</v>
      </c>
      <c r="J12" s="54"/>
      <c r="K12" s="53"/>
      <c r="L12" s="53">
        <v>923.37</v>
      </c>
      <c r="M12" s="53">
        <v>923.37</v>
      </c>
      <c r="N12" s="53">
        <v>0</v>
      </c>
      <c r="O12" s="54"/>
      <c r="P12" s="53"/>
      <c r="Q12" s="53">
        <v>929.33</v>
      </c>
      <c r="R12" s="53">
        <v>929.33</v>
      </c>
      <c r="S12" s="53">
        <v>0</v>
      </c>
      <c r="T12" s="54"/>
      <c r="U12" s="53"/>
      <c r="V12" s="53">
        <v>1009.09</v>
      </c>
      <c r="W12" s="53">
        <v>1009.09</v>
      </c>
      <c r="X12" s="53">
        <v>0</v>
      </c>
      <c r="Y12" s="54"/>
    </row>
    <row r="13" spans="1:25" x14ac:dyDescent="0.2">
      <c r="A13" s="50" t="s">
        <v>110</v>
      </c>
      <c r="B13" s="51" t="s">
        <v>65</v>
      </c>
      <c r="C13" s="51" t="s">
        <v>65</v>
      </c>
      <c r="D13" s="52">
        <v>36345</v>
      </c>
      <c r="E13" s="51" t="s">
        <v>111</v>
      </c>
      <c r="F13" s="53">
        <v>1178.71</v>
      </c>
      <c r="G13" s="53">
        <v>1178.71</v>
      </c>
      <c r="H13" s="53">
        <v>1178.71</v>
      </c>
      <c r="I13" s="53">
        <v>0</v>
      </c>
      <c r="J13" s="54">
        <v>0</v>
      </c>
      <c r="K13" s="53">
        <v>1189.9100000000001</v>
      </c>
      <c r="L13" s="53">
        <v>1189.9100000000001</v>
      </c>
      <c r="M13" s="53">
        <v>1189.9100000000001</v>
      </c>
      <c r="N13" s="53">
        <v>0</v>
      </c>
      <c r="O13" s="54">
        <v>0</v>
      </c>
      <c r="P13" s="53">
        <v>1197.5899999999999</v>
      </c>
      <c r="Q13" s="53">
        <v>1197.5899999999999</v>
      </c>
      <c r="R13" s="53">
        <v>1197.5899999999999</v>
      </c>
      <c r="S13" s="53">
        <v>0</v>
      </c>
      <c r="T13" s="54">
        <v>0</v>
      </c>
      <c r="U13" s="53">
        <v>1300.3800000000001</v>
      </c>
      <c r="V13" s="53">
        <v>1300.3800000000001</v>
      </c>
      <c r="W13" s="53">
        <v>1300.3800000000001</v>
      </c>
      <c r="X13" s="53">
        <v>0</v>
      </c>
      <c r="Y13" s="54">
        <v>0</v>
      </c>
    </row>
    <row r="14" spans="1:25" x14ac:dyDescent="0.2">
      <c r="A14" s="50" t="s">
        <v>112</v>
      </c>
      <c r="B14" s="51" t="s">
        <v>65</v>
      </c>
      <c r="C14" s="51" t="s">
        <v>104</v>
      </c>
      <c r="D14" s="52">
        <v>24895</v>
      </c>
      <c r="E14" s="51" t="s">
        <v>113</v>
      </c>
      <c r="F14" s="53">
        <v>5144.8599999999997</v>
      </c>
      <c r="G14" s="53">
        <v>2080.1999999999998</v>
      </c>
      <c r="H14" s="53">
        <v>2080.1999999999998</v>
      </c>
      <c r="I14" s="53">
        <v>0</v>
      </c>
      <c r="J14" s="54">
        <v>0</v>
      </c>
      <c r="K14" s="53">
        <v>5193.7</v>
      </c>
      <c r="L14" s="53">
        <v>2099.94</v>
      </c>
      <c r="M14" s="53">
        <v>2099.94</v>
      </c>
      <c r="N14" s="53">
        <v>0</v>
      </c>
      <c r="O14" s="54">
        <v>0</v>
      </c>
      <c r="P14" s="53">
        <v>5227.25</v>
      </c>
      <c r="Q14" s="53">
        <v>2113.5100000000002</v>
      </c>
      <c r="R14" s="53">
        <v>2113.5100000000002</v>
      </c>
      <c r="S14" s="53">
        <v>0</v>
      </c>
      <c r="T14" s="54">
        <v>0</v>
      </c>
      <c r="U14" s="53">
        <v>5675.89</v>
      </c>
      <c r="V14" s="53">
        <v>2294.91</v>
      </c>
      <c r="W14" s="53">
        <v>2294.91</v>
      </c>
      <c r="X14" s="53">
        <v>0</v>
      </c>
      <c r="Y14" s="54">
        <v>0</v>
      </c>
    </row>
    <row r="15" spans="1:25" x14ac:dyDescent="0.2">
      <c r="A15" s="50" t="s">
        <v>114</v>
      </c>
      <c r="B15" s="51" t="s">
        <v>107</v>
      </c>
      <c r="C15" s="51"/>
      <c r="D15" s="52">
        <v>24269</v>
      </c>
      <c r="E15" s="51" t="s">
        <v>113</v>
      </c>
      <c r="F15" s="53"/>
      <c r="G15" s="53">
        <v>2149.98</v>
      </c>
      <c r="H15" s="53">
        <v>2149.98</v>
      </c>
      <c r="I15" s="53">
        <v>0</v>
      </c>
      <c r="J15" s="54"/>
      <c r="K15" s="53"/>
      <c r="L15" s="53">
        <v>2170.39</v>
      </c>
      <c r="M15" s="53">
        <v>2170.39</v>
      </c>
      <c r="N15" s="53">
        <v>0</v>
      </c>
      <c r="O15" s="54"/>
      <c r="P15" s="53"/>
      <c r="Q15" s="53">
        <v>2184.41</v>
      </c>
      <c r="R15" s="53">
        <v>2184.41</v>
      </c>
      <c r="S15" s="53">
        <v>0</v>
      </c>
      <c r="T15" s="54"/>
      <c r="U15" s="53"/>
      <c r="V15" s="53">
        <v>2371.89</v>
      </c>
      <c r="W15" s="53">
        <v>2371.89</v>
      </c>
      <c r="X15" s="53">
        <v>0</v>
      </c>
      <c r="Y15" s="54"/>
    </row>
    <row r="16" spans="1:25" x14ac:dyDescent="0.2">
      <c r="A16" s="50" t="s">
        <v>115</v>
      </c>
      <c r="B16" s="51" t="s">
        <v>109</v>
      </c>
      <c r="C16" s="51"/>
      <c r="D16" s="52">
        <v>38614</v>
      </c>
      <c r="E16" s="51" t="s">
        <v>113</v>
      </c>
      <c r="F16" s="53"/>
      <c r="G16" s="53">
        <v>914.68</v>
      </c>
      <c r="H16" s="53">
        <v>914.68</v>
      </c>
      <c r="I16" s="53">
        <v>0</v>
      </c>
      <c r="J16" s="54"/>
      <c r="K16" s="53"/>
      <c r="L16" s="53">
        <v>923.37</v>
      </c>
      <c r="M16" s="53">
        <v>923.37</v>
      </c>
      <c r="N16" s="53">
        <v>0</v>
      </c>
      <c r="O16" s="54"/>
      <c r="P16" s="53"/>
      <c r="Q16" s="53">
        <v>929.33</v>
      </c>
      <c r="R16" s="53">
        <v>929.33</v>
      </c>
      <c r="S16" s="53">
        <v>0</v>
      </c>
      <c r="T16" s="54"/>
      <c r="U16" s="53"/>
      <c r="V16" s="53">
        <v>1009.09</v>
      </c>
      <c r="W16" s="53">
        <v>1009.09</v>
      </c>
      <c r="X16" s="53">
        <v>0</v>
      </c>
      <c r="Y16" s="54"/>
    </row>
    <row r="17" spans="1:25" x14ac:dyDescent="0.2">
      <c r="A17" s="50" t="s">
        <v>116</v>
      </c>
      <c r="B17" s="51" t="s">
        <v>65</v>
      </c>
      <c r="C17" s="51" t="s">
        <v>117</v>
      </c>
      <c r="D17" s="52">
        <v>18453</v>
      </c>
      <c r="E17" s="51" t="s">
        <v>118</v>
      </c>
      <c r="F17" s="53">
        <v>4299.96</v>
      </c>
      <c r="G17" s="53">
        <v>2149.98</v>
      </c>
      <c r="H17" s="53">
        <v>2149.98</v>
      </c>
      <c r="I17" s="53">
        <v>0</v>
      </c>
      <c r="J17" s="54">
        <v>0</v>
      </c>
      <c r="K17" s="53">
        <v>4340.78</v>
      </c>
      <c r="L17" s="53">
        <v>2170.39</v>
      </c>
      <c r="M17" s="53">
        <v>2170.39</v>
      </c>
      <c r="N17" s="53">
        <v>0</v>
      </c>
      <c r="O17" s="54">
        <v>0</v>
      </c>
      <c r="P17" s="53">
        <v>4368.82</v>
      </c>
      <c r="Q17" s="53">
        <v>2184.41</v>
      </c>
      <c r="R17" s="53">
        <v>2184.41</v>
      </c>
      <c r="S17" s="53">
        <v>0</v>
      </c>
      <c r="T17" s="54">
        <v>0</v>
      </c>
      <c r="U17" s="53">
        <v>4743.78</v>
      </c>
      <c r="V17" s="53">
        <v>2371.89</v>
      </c>
      <c r="W17" s="53">
        <v>2371.89</v>
      </c>
      <c r="X17" s="53">
        <v>0</v>
      </c>
      <c r="Y17" s="54">
        <v>0</v>
      </c>
    </row>
    <row r="18" spans="1:25" x14ac:dyDescent="0.2">
      <c r="A18" s="50" t="s">
        <v>119</v>
      </c>
      <c r="B18" s="51" t="s">
        <v>107</v>
      </c>
      <c r="C18" s="51"/>
      <c r="D18" s="52">
        <v>19761</v>
      </c>
      <c r="E18" s="51" t="s">
        <v>118</v>
      </c>
      <c r="F18" s="53"/>
      <c r="G18" s="53">
        <v>2149.98</v>
      </c>
      <c r="H18" s="53">
        <v>2149.98</v>
      </c>
      <c r="I18" s="53">
        <v>0</v>
      </c>
      <c r="J18" s="54"/>
      <c r="K18" s="53"/>
      <c r="L18" s="53">
        <v>2170.39</v>
      </c>
      <c r="M18" s="53">
        <v>2170.39</v>
      </c>
      <c r="N18" s="53">
        <v>0</v>
      </c>
      <c r="O18" s="54"/>
      <c r="P18" s="53"/>
      <c r="Q18" s="53">
        <v>2184.41</v>
      </c>
      <c r="R18" s="53">
        <v>2184.41</v>
      </c>
      <c r="S18" s="53">
        <v>0</v>
      </c>
      <c r="T18" s="54"/>
      <c r="U18" s="53"/>
      <c r="V18" s="53">
        <v>2371.89</v>
      </c>
      <c r="W18" s="53">
        <v>2371.89</v>
      </c>
      <c r="X18" s="53">
        <v>0</v>
      </c>
      <c r="Y18" s="54"/>
    </row>
    <row r="19" spans="1:25" x14ac:dyDescent="0.2">
      <c r="A19" s="50" t="s">
        <v>120</v>
      </c>
      <c r="B19" s="51" t="s">
        <v>65</v>
      </c>
      <c r="C19" s="51" t="s">
        <v>65</v>
      </c>
      <c r="D19" s="52">
        <v>35733</v>
      </c>
      <c r="E19" s="51" t="s">
        <v>121</v>
      </c>
      <c r="F19" s="53">
        <v>1178.71</v>
      </c>
      <c r="G19" s="53">
        <v>1178.71</v>
      </c>
      <c r="H19" s="53">
        <v>1178.71</v>
      </c>
      <c r="I19" s="53">
        <v>0</v>
      </c>
      <c r="J19" s="54">
        <v>0</v>
      </c>
      <c r="K19" s="53">
        <v>1189.9100000000001</v>
      </c>
      <c r="L19" s="53">
        <v>1189.9100000000001</v>
      </c>
      <c r="M19" s="53">
        <v>1189.9100000000001</v>
      </c>
      <c r="N19" s="53">
        <v>0</v>
      </c>
      <c r="O19" s="54">
        <v>0</v>
      </c>
      <c r="P19" s="53">
        <v>1197.5899999999999</v>
      </c>
      <c r="Q19" s="53">
        <v>1197.5899999999999</v>
      </c>
      <c r="R19" s="53">
        <v>1197.5899999999999</v>
      </c>
      <c r="S19" s="53">
        <v>0</v>
      </c>
      <c r="T19" s="54">
        <v>0</v>
      </c>
      <c r="U19" s="53">
        <v>1300.3800000000001</v>
      </c>
      <c r="V19" s="53">
        <v>1300.3800000000001</v>
      </c>
      <c r="W19" s="53">
        <v>1300.3800000000001</v>
      </c>
      <c r="X19" s="53">
        <v>0</v>
      </c>
      <c r="Y19" s="54">
        <v>0</v>
      </c>
    </row>
    <row r="20" spans="1:25" x14ac:dyDescent="0.2">
      <c r="A20" s="50" t="s">
        <v>122</v>
      </c>
      <c r="B20" s="51" t="s">
        <v>65</v>
      </c>
      <c r="C20" s="51" t="s">
        <v>104</v>
      </c>
      <c r="D20" s="52">
        <v>24958</v>
      </c>
      <c r="E20" s="51" t="s">
        <v>123</v>
      </c>
      <c r="F20" s="53">
        <v>5902.07</v>
      </c>
      <c r="G20" s="53">
        <v>2080.1999999999998</v>
      </c>
      <c r="H20" s="53">
        <v>2080.1999999999998</v>
      </c>
      <c r="I20" s="53">
        <v>0</v>
      </c>
      <c r="J20" s="54">
        <v>0</v>
      </c>
      <c r="K20" s="53">
        <v>5958.09</v>
      </c>
      <c r="L20" s="53">
        <v>2099.94</v>
      </c>
      <c r="M20" s="53">
        <v>2099.94</v>
      </c>
      <c r="N20" s="53">
        <v>0</v>
      </c>
      <c r="O20" s="54">
        <v>0</v>
      </c>
      <c r="P20" s="53">
        <v>5996.59</v>
      </c>
      <c r="Q20" s="53">
        <v>2113.5100000000002</v>
      </c>
      <c r="R20" s="53">
        <v>2113.5100000000002</v>
      </c>
      <c r="S20" s="53">
        <v>0</v>
      </c>
      <c r="T20" s="54">
        <v>0</v>
      </c>
      <c r="U20" s="53">
        <v>6511.26</v>
      </c>
      <c r="V20" s="53">
        <v>2294.91</v>
      </c>
      <c r="W20" s="53">
        <v>2294.91</v>
      </c>
      <c r="X20" s="53">
        <v>0</v>
      </c>
      <c r="Y20" s="54">
        <v>0</v>
      </c>
    </row>
    <row r="21" spans="1:25" x14ac:dyDescent="0.2">
      <c r="A21" s="50" t="s">
        <v>124</v>
      </c>
      <c r="B21" s="51" t="s">
        <v>107</v>
      </c>
      <c r="C21" s="51"/>
      <c r="D21" s="52">
        <v>25342</v>
      </c>
      <c r="E21" s="51" t="s">
        <v>123</v>
      </c>
      <c r="F21" s="53"/>
      <c r="G21" s="53">
        <v>2019.85</v>
      </c>
      <c r="H21" s="53">
        <v>2019.85</v>
      </c>
      <c r="I21" s="53">
        <v>0</v>
      </c>
      <c r="J21" s="54"/>
      <c r="K21" s="53"/>
      <c r="L21" s="53">
        <v>2039.02</v>
      </c>
      <c r="M21" s="53">
        <v>2039.02</v>
      </c>
      <c r="N21" s="53">
        <v>0</v>
      </c>
      <c r="O21" s="54"/>
      <c r="P21" s="53"/>
      <c r="Q21" s="53">
        <v>2052.1999999999998</v>
      </c>
      <c r="R21" s="53">
        <v>2052.1999999999998</v>
      </c>
      <c r="S21" s="53">
        <v>0</v>
      </c>
      <c r="T21" s="54"/>
      <c r="U21" s="53"/>
      <c r="V21" s="53">
        <v>2228.33</v>
      </c>
      <c r="W21" s="53">
        <v>2228.33</v>
      </c>
      <c r="X21" s="53">
        <v>0</v>
      </c>
      <c r="Y21" s="54"/>
    </row>
    <row r="22" spans="1:25" x14ac:dyDescent="0.2">
      <c r="A22" s="50" t="s">
        <v>125</v>
      </c>
      <c r="B22" s="51" t="s">
        <v>109</v>
      </c>
      <c r="C22" s="51"/>
      <c r="D22" s="52">
        <v>38632</v>
      </c>
      <c r="E22" s="51" t="s">
        <v>123</v>
      </c>
      <c r="F22" s="53"/>
      <c r="G22" s="53">
        <v>914.68</v>
      </c>
      <c r="H22" s="53">
        <v>914.68</v>
      </c>
      <c r="I22" s="53">
        <v>0</v>
      </c>
      <c r="J22" s="54"/>
      <c r="K22" s="53"/>
      <c r="L22" s="53">
        <v>923.37</v>
      </c>
      <c r="M22" s="53">
        <v>923.37</v>
      </c>
      <c r="N22" s="53">
        <v>0</v>
      </c>
      <c r="O22" s="54"/>
      <c r="P22" s="53"/>
      <c r="Q22" s="53">
        <v>929.33</v>
      </c>
      <c r="R22" s="53">
        <v>929.33</v>
      </c>
      <c r="S22" s="53">
        <v>0</v>
      </c>
      <c r="T22" s="54"/>
      <c r="U22" s="53"/>
      <c r="V22" s="53">
        <v>1009.09</v>
      </c>
      <c r="W22" s="53">
        <v>1009.09</v>
      </c>
      <c r="X22" s="53">
        <v>0</v>
      </c>
      <c r="Y22" s="54"/>
    </row>
    <row r="23" spans="1:25" x14ac:dyDescent="0.2">
      <c r="A23" s="50" t="s">
        <v>126</v>
      </c>
      <c r="B23" s="51" t="s">
        <v>109</v>
      </c>
      <c r="C23" s="51"/>
      <c r="D23" s="52">
        <v>39092</v>
      </c>
      <c r="E23" s="51" t="s">
        <v>123</v>
      </c>
      <c r="F23" s="53"/>
      <c r="G23" s="53">
        <v>887.34</v>
      </c>
      <c r="H23" s="53">
        <v>887.34</v>
      </c>
      <c r="I23" s="53">
        <v>0</v>
      </c>
      <c r="J23" s="54"/>
      <c r="K23" s="53"/>
      <c r="L23" s="53">
        <v>895.76</v>
      </c>
      <c r="M23" s="53">
        <v>895.76</v>
      </c>
      <c r="N23" s="53">
        <v>0</v>
      </c>
      <c r="O23" s="54"/>
      <c r="P23" s="53"/>
      <c r="Q23" s="53">
        <v>901.55</v>
      </c>
      <c r="R23" s="53">
        <v>901.55</v>
      </c>
      <c r="S23" s="53">
        <v>0</v>
      </c>
      <c r="T23" s="54"/>
      <c r="U23" s="53"/>
      <c r="V23" s="53">
        <v>978.93</v>
      </c>
      <c r="W23" s="53">
        <v>978.93</v>
      </c>
      <c r="X23" s="53">
        <v>0</v>
      </c>
      <c r="Y23" s="54"/>
    </row>
    <row r="24" spans="1:25" x14ac:dyDescent="0.2">
      <c r="A24" s="50" t="s">
        <v>127</v>
      </c>
      <c r="B24" s="51" t="s">
        <v>65</v>
      </c>
      <c r="C24" s="51" t="s">
        <v>117</v>
      </c>
      <c r="D24" s="52">
        <v>21309</v>
      </c>
      <c r="E24" s="51" t="s">
        <v>96</v>
      </c>
      <c r="F24" s="53">
        <v>4299.96</v>
      </c>
      <c r="G24" s="53">
        <v>2149.98</v>
      </c>
      <c r="H24" s="53">
        <v>2149.98</v>
      </c>
      <c r="I24" s="53">
        <v>0</v>
      </c>
      <c r="J24" s="54">
        <v>0</v>
      </c>
      <c r="K24" s="53">
        <v>4340.78</v>
      </c>
      <c r="L24" s="53">
        <v>2170.39</v>
      </c>
      <c r="M24" s="53">
        <v>2170.39</v>
      </c>
      <c r="N24" s="53">
        <v>0</v>
      </c>
      <c r="O24" s="54">
        <v>0</v>
      </c>
      <c r="P24" s="53">
        <v>4368.82</v>
      </c>
      <c r="Q24" s="53">
        <v>2184.41</v>
      </c>
      <c r="R24" s="53">
        <v>2184.41</v>
      </c>
      <c r="S24" s="53">
        <v>0</v>
      </c>
      <c r="T24" s="54">
        <v>0</v>
      </c>
      <c r="U24" s="53">
        <v>4743.78</v>
      </c>
      <c r="V24" s="53">
        <v>2371.89</v>
      </c>
      <c r="W24" s="53">
        <v>2371.89</v>
      </c>
      <c r="X24" s="53">
        <v>0</v>
      </c>
      <c r="Y24" s="54">
        <v>0</v>
      </c>
    </row>
    <row r="25" spans="1:25" x14ac:dyDescent="0.2">
      <c r="A25" s="50" t="s">
        <v>128</v>
      </c>
      <c r="B25" s="51" t="s">
        <v>107</v>
      </c>
      <c r="C25" s="51"/>
      <c r="D25" s="52">
        <v>23570</v>
      </c>
      <c r="E25" s="51" t="s">
        <v>96</v>
      </c>
      <c r="F25" s="53"/>
      <c r="G25" s="53">
        <v>2149.98</v>
      </c>
      <c r="H25" s="53">
        <v>2149.98</v>
      </c>
      <c r="I25" s="53">
        <v>0</v>
      </c>
      <c r="J25" s="54"/>
      <c r="K25" s="53"/>
      <c r="L25" s="53">
        <v>2170.39</v>
      </c>
      <c r="M25" s="53">
        <v>2170.39</v>
      </c>
      <c r="N25" s="53">
        <v>0</v>
      </c>
      <c r="O25" s="54"/>
      <c r="P25" s="53"/>
      <c r="Q25" s="53">
        <v>2184.41</v>
      </c>
      <c r="R25" s="53">
        <v>2184.41</v>
      </c>
      <c r="S25" s="53">
        <v>0</v>
      </c>
      <c r="T25" s="54"/>
      <c r="U25" s="53"/>
      <c r="V25" s="53">
        <v>2371.89</v>
      </c>
      <c r="W25" s="53">
        <v>2371.89</v>
      </c>
      <c r="X25" s="53">
        <v>0</v>
      </c>
      <c r="Y25" s="54"/>
    </row>
    <row r="26" spans="1:25" x14ac:dyDescent="0.2">
      <c r="A26" s="50" t="s">
        <v>129</v>
      </c>
      <c r="B26" s="51" t="s">
        <v>65</v>
      </c>
      <c r="C26" s="51" t="s">
        <v>65</v>
      </c>
      <c r="D26" s="52">
        <v>24147</v>
      </c>
      <c r="E26" s="51" t="s">
        <v>113</v>
      </c>
      <c r="F26" s="53">
        <v>2149.98</v>
      </c>
      <c r="G26" s="53">
        <v>2149.98</v>
      </c>
      <c r="H26" s="53">
        <v>2149.98</v>
      </c>
      <c r="I26" s="53">
        <v>0</v>
      </c>
      <c r="J26" s="54">
        <v>0</v>
      </c>
      <c r="K26" s="53">
        <v>2170.39</v>
      </c>
      <c r="L26" s="53">
        <v>2170.39</v>
      </c>
      <c r="M26" s="53">
        <v>2170.39</v>
      </c>
      <c r="N26" s="53">
        <v>0</v>
      </c>
      <c r="O26" s="54">
        <v>0</v>
      </c>
      <c r="P26" s="53">
        <v>2184.41</v>
      </c>
      <c r="Q26" s="53">
        <v>2184.41</v>
      </c>
      <c r="R26" s="53">
        <v>2184.41</v>
      </c>
      <c r="S26" s="53">
        <v>0</v>
      </c>
      <c r="T26" s="54">
        <v>0</v>
      </c>
      <c r="U26" s="53">
        <v>2371.89</v>
      </c>
      <c r="V26" s="53">
        <v>2371.89</v>
      </c>
      <c r="W26" s="53">
        <v>2371.89</v>
      </c>
      <c r="X26" s="53">
        <v>0</v>
      </c>
      <c r="Y26" s="54">
        <v>0</v>
      </c>
    </row>
    <row r="27" spans="1:25" x14ac:dyDescent="0.2">
      <c r="A27" s="50" t="s">
        <v>130</v>
      </c>
      <c r="B27" s="51" t="s">
        <v>65</v>
      </c>
      <c r="C27" s="51" t="s">
        <v>65</v>
      </c>
      <c r="D27" s="52">
        <v>25210</v>
      </c>
      <c r="E27" s="51" t="s">
        <v>131</v>
      </c>
      <c r="F27" s="53">
        <v>2019.85</v>
      </c>
      <c r="G27" s="53">
        <v>2019.85</v>
      </c>
      <c r="H27" s="53">
        <v>2019.85</v>
      </c>
      <c r="I27" s="53">
        <v>0</v>
      </c>
      <c r="J27" s="54">
        <v>0</v>
      </c>
      <c r="K27" s="53">
        <v>2039.02</v>
      </c>
      <c r="L27" s="53">
        <v>2039.02</v>
      </c>
      <c r="M27" s="53">
        <v>2039.02</v>
      </c>
      <c r="N27" s="53">
        <v>0</v>
      </c>
      <c r="O27" s="54">
        <v>0</v>
      </c>
      <c r="P27" s="53">
        <v>2052.1999999999998</v>
      </c>
      <c r="Q27" s="53">
        <v>2052.1999999999998</v>
      </c>
      <c r="R27" s="53">
        <v>2052.1999999999998</v>
      </c>
      <c r="S27" s="53">
        <v>0</v>
      </c>
      <c r="T27" s="54">
        <v>0</v>
      </c>
      <c r="U27" s="53">
        <v>2228.33</v>
      </c>
      <c r="V27" s="53">
        <v>2228.33</v>
      </c>
      <c r="W27" s="53">
        <v>2228.33</v>
      </c>
      <c r="X27" s="53">
        <v>0</v>
      </c>
      <c r="Y27" s="54">
        <v>0</v>
      </c>
    </row>
    <row r="28" spans="1:25" x14ac:dyDescent="0.2">
      <c r="A28" s="50" t="s">
        <v>132</v>
      </c>
      <c r="B28" s="51" t="s">
        <v>65</v>
      </c>
      <c r="C28" s="51" t="s">
        <v>65</v>
      </c>
      <c r="D28" s="52">
        <v>35103</v>
      </c>
      <c r="E28" s="51" t="s">
        <v>113</v>
      </c>
      <c r="F28" s="53">
        <v>1213.5999999999999</v>
      </c>
      <c r="G28" s="53">
        <v>1213.5999999999999</v>
      </c>
      <c r="H28" s="53">
        <v>1213.5999999999999</v>
      </c>
      <c r="I28" s="53">
        <v>0</v>
      </c>
      <c r="J28" s="54">
        <v>0</v>
      </c>
      <c r="K28" s="53">
        <v>1225.1300000000001</v>
      </c>
      <c r="L28" s="53">
        <v>1225.1300000000001</v>
      </c>
      <c r="M28" s="53">
        <v>1225.1300000000001</v>
      </c>
      <c r="N28" s="53">
        <v>0</v>
      </c>
      <c r="O28" s="54">
        <v>0</v>
      </c>
      <c r="P28" s="53">
        <v>1233.04</v>
      </c>
      <c r="Q28" s="53">
        <v>1233.04</v>
      </c>
      <c r="R28" s="53">
        <v>1233.04</v>
      </c>
      <c r="S28" s="53">
        <v>0</v>
      </c>
      <c r="T28" s="54">
        <v>0</v>
      </c>
      <c r="U28" s="53">
        <v>1338.87</v>
      </c>
      <c r="V28" s="53">
        <v>1338.87</v>
      </c>
      <c r="W28" s="53">
        <v>1338.87</v>
      </c>
      <c r="X28" s="53">
        <v>0</v>
      </c>
      <c r="Y28" s="54">
        <v>0</v>
      </c>
    </row>
    <row r="29" spans="1:25" x14ac:dyDescent="0.2">
      <c r="A29" s="50" t="s">
        <v>133</v>
      </c>
      <c r="B29" s="51" t="s">
        <v>65</v>
      </c>
      <c r="C29" s="51" t="s">
        <v>117</v>
      </c>
      <c r="D29" s="52">
        <v>27399</v>
      </c>
      <c r="E29" s="51" t="s">
        <v>113</v>
      </c>
      <c r="F29" s="53">
        <v>3114.64</v>
      </c>
      <c r="G29" s="53">
        <v>1689.81</v>
      </c>
      <c r="H29" s="53">
        <v>1689.81</v>
      </c>
      <c r="I29" s="53">
        <v>0</v>
      </c>
      <c r="J29" s="54">
        <v>0</v>
      </c>
      <c r="K29" s="53">
        <v>3144.21</v>
      </c>
      <c r="L29" s="53">
        <v>1705.85</v>
      </c>
      <c r="M29" s="53">
        <v>1705.85</v>
      </c>
      <c r="N29" s="53">
        <v>0</v>
      </c>
      <c r="O29" s="54">
        <v>0</v>
      </c>
      <c r="P29" s="53">
        <v>3164.52</v>
      </c>
      <c r="Q29" s="53">
        <v>1716.87</v>
      </c>
      <c r="R29" s="53">
        <v>1716.87</v>
      </c>
      <c r="S29" s="53">
        <v>0</v>
      </c>
      <c r="T29" s="54">
        <v>0</v>
      </c>
      <c r="U29" s="53">
        <v>3436.12</v>
      </c>
      <c r="V29" s="53">
        <v>1864.22</v>
      </c>
      <c r="W29" s="53">
        <v>1864.22</v>
      </c>
      <c r="X29" s="53">
        <v>0</v>
      </c>
      <c r="Y29" s="54">
        <v>0</v>
      </c>
    </row>
    <row r="30" spans="1:25" x14ac:dyDescent="0.2">
      <c r="A30" s="50" t="s">
        <v>134</v>
      </c>
      <c r="B30" s="51" t="s">
        <v>107</v>
      </c>
      <c r="C30" s="51"/>
      <c r="D30" s="52">
        <v>29502</v>
      </c>
      <c r="E30" s="51" t="s">
        <v>113</v>
      </c>
      <c r="F30" s="53"/>
      <c r="G30" s="53">
        <v>1424.83</v>
      </c>
      <c r="H30" s="53">
        <v>1424.83</v>
      </c>
      <c r="I30" s="53">
        <v>0</v>
      </c>
      <c r="J30" s="54"/>
      <c r="K30" s="53"/>
      <c r="L30" s="53">
        <v>1438.36</v>
      </c>
      <c r="M30" s="53">
        <v>1438.36</v>
      </c>
      <c r="N30" s="53">
        <v>0</v>
      </c>
      <c r="O30" s="54"/>
      <c r="P30" s="53"/>
      <c r="Q30" s="53">
        <v>1447.65</v>
      </c>
      <c r="R30" s="53">
        <v>1447.65</v>
      </c>
      <c r="S30" s="53">
        <v>0</v>
      </c>
      <c r="T30" s="54"/>
      <c r="U30" s="53"/>
      <c r="V30" s="53">
        <v>1571.9</v>
      </c>
      <c r="W30" s="53">
        <v>1571.9</v>
      </c>
      <c r="X30" s="53">
        <v>0</v>
      </c>
      <c r="Y30" s="54"/>
    </row>
    <row r="31" spans="1:25" x14ac:dyDescent="0.2">
      <c r="A31" s="50" t="s">
        <v>135</v>
      </c>
      <c r="B31" s="51" t="s">
        <v>65</v>
      </c>
      <c r="C31" s="51" t="s">
        <v>104</v>
      </c>
      <c r="D31" s="52">
        <v>24592</v>
      </c>
      <c r="E31" s="51" t="s">
        <v>111</v>
      </c>
      <c r="F31" s="53">
        <v>5478.67</v>
      </c>
      <c r="G31" s="53">
        <v>2149.98</v>
      </c>
      <c r="H31" s="53">
        <v>2149.98</v>
      </c>
      <c r="I31" s="53">
        <v>0</v>
      </c>
      <c r="J31" s="54">
        <v>0</v>
      </c>
      <c r="K31" s="53">
        <v>5530.69</v>
      </c>
      <c r="L31" s="53">
        <v>2170.39</v>
      </c>
      <c r="M31" s="53">
        <v>2170.39</v>
      </c>
      <c r="N31" s="53">
        <v>0</v>
      </c>
      <c r="O31" s="54">
        <v>0</v>
      </c>
      <c r="P31" s="53">
        <v>5566.41</v>
      </c>
      <c r="Q31" s="53">
        <v>2184.41</v>
      </c>
      <c r="R31" s="53">
        <v>2184.41</v>
      </c>
      <c r="S31" s="53">
        <v>0</v>
      </c>
      <c r="T31" s="54">
        <v>0</v>
      </c>
      <c r="U31" s="53">
        <v>6044.16</v>
      </c>
      <c r="V31" s="53">
        <v>2371.89</v>
      </c>
      <c r="W31" s="53">
        <v>2371.89</v>
      </c>
      <c r="X31" s="53">
        <v>0</v>
      </c>
      <c r="Y31" s="54">
        <v>0</v>
      </c>
    </row>
    <row r="32" spans="1:25" x14ac:dyDescent="0.2">
      <c r="A32" s="50" t="s">
        <v>136</v>
      </c>
      <c r="B32" s="51" t="s">
        <v>107</v>
      </c>
      <c r="C32" s="51"/>
      <c r="D32" s="52">
        <v>22616</v>
      </c>
      <c r="E32" s="51" t="s">
        <v>111</v>
      </c>
      <c r="F32" s="53"/>
      <c r="G32" s="53">
        <v>2149.98</v>
      </c>
      <c r="H32" s="53">
        <v>2149.98</v>
      </c>
      <c r="I32" s="53">
        <v>0</v>
      </c>
      <c r="J32" s="54"/>
      <c r="K32" s="53"/>
      <c r="L32" s="53">
        <v>2170.39</v>
      </c>
      <c r="M32" s="53">
        <v>2170.39</v>
      </c>
      <c r="N32" s="53">
        <v>0</v>
      </c>
      <c r="O32" s="54"/>
      <c r="P32" s="53"/>
      <c r="Q32" s="53">
        <v>2184.41</v>
      </c>
      <c r="R32" s="53">
        <v>2184.41</v>
      </c>
      <c r="S32" s="53">
        <v>0</v>
      </c>
      <c r="T32" s="54"/>
      <c r="U32" s="53"/>
      <c r="V32" s="53">
        <v>2371.89</v>
      </c>
      <c r="W32" s="53">
        <v>2371.89</v>
      </c>
      <c r="X32" s="53">
        <v>0</v>
      </c>
      <c r="Y32" s="54"/>
    </row>
    <row r="33" spans="1:25" x14ac:dyDescent="0.2">
      <c r="A33" s="50" t="s">
        <v>137</v>
      </c>
      <c r="B33" s="51" t="s">
        <v>109</v>
      </c>
      <c r="C33" s="51"/>
      <c r="D33" s="52">
        <v>37842</v>
      </c>
      <c r="E33" s="51" t="s">
        <v>111</v>
      </c>
      <c r="F33" s="53"/>
      <c r="G33" s="53">
        <v>1178.71</v>
      </c>
      <c r="H33" s="53">
        <v>1178.71</v>
      </c>
      <c r="I33" s="53">
        <v>0</v>
      </c>
      <c r="J33" s="54"/>
      <c r="K33" s="53"/>
      <c r="L33" s="53">
        <v>1189.9100000000001</v>
      </c>
      <c r="M33" s="53">
        <v>1189.9100000000001</v>
      </c>
      <c r="N33" s="53">
        <v>0</v>
      </c>
      <c r="O33" s="54"/>
      <c r="P33" s="53"/>
      <c r="Q33" s="53">
        <v>1197.5899999999999</v>
      </c>
      <c r="R33" s="53">
        <v>1197.5899999999999</v>
      </c>
      <c r="S33" s="53">
        <v>0</v>
      </c>
      <c r="T33" s="54"/>
      <c r="U33" s="53"/>
      <c r="V33" s="53">
        <v>1300.3800000000001</v>
      </c>
      <c r="W33" s="53">
        <v>1300.3800000000001</v>
      </c>
      <c r="X33" s="53">
        <v>0</v>
      </c>
      <c r="Y33" s="54"/>
    </row>
    <row r="34" spans="1:25" x14ac:dyDescent="0.2">
      <c r="A34" s="50" t="s">
        <v>138</v>
      </c>
      <c r="B34" s="51" t="s">
        <v>65</v>
      </c>
      <c r="C34" s="51" t="s">
        <v>65</v>
      </c>
      <c r="D34" s="52">
        <v>35401</v>
      </c>
      <c r="E34" s="51" t="s">
        <v>113</v>
      </c>
      <c r="F34" s="53">
        <v>1202.29</v>
      </c>
      <c r="G34" s="53">
        <v>1202.29</v>
      </c>
      <c r="H34" s="53">
        <v>1202.29</v>
      </c>
      <c r="I34" s="53">
        <v>0</v>
      </c>
      <c r="J34" s="54">
        <v>0</v>
      </c>
      <c r="K34" s="53">
        <v>1213.7</v>
      </c>
      <c r="L34" s="53">
        <v>1213.7</v>
      </c>
      <c r="M34" s="53">
        <v>1213.7</v>
      </c>
      <c r="N34" s="53">
        <v>0</v>
      </c>
      <c r="O34" s="54">
        <v>0</v>
      </c>
      <c r="P34" s="53">
        <v>1221.55</v>
      </c>
      <c r="Q34" s="53">
        <v>1221.55</v>
      </c>
      <c r="R34" s="53">
        <v>1221.55</v>
      </c>
      <c r="S34" s="53">
        <v>0</v>
      </c>
      <c r="T34" s="54">
        <v>0</v>
      </c>
      <c r="U34" s="53">
        <v>1326.39</v>
      </c>
      <c r="V34" s="53">
        <v>1326.39</v>
      </c>
      <c r="W34" s="53">
        <v>1326.39</v>
      </c>
      <c r="X34" s="53">
        <v>0</v>
      </c>
      <c r="Y34" s="54">
        <v>0</v>
      </c>
    </row>
    <row r="35" spans="1:25" x14ac:dyDescent="0.2">
      <c r="A35" s="50" t="s">
        <v>139</v>
      </c>
      <c r="B35" s="51" t="s">
        <v>65</v>
      </c>
      <c r="C35" s="51" t="s">
        <v>65</v>
      </c>
      <c r="D35" s="52">
        <v>35453</v>
      </c>
      <c r="E35" s="51" t="s">
        <v>113</v>
      </c>
      <c r="F35" s="53">
        <v>1202.29</v>
      </c>
      <c r="G35" s="53">
        <v>1202.29</v>
      </c>
      <c r="H35" s="53">
        <v>1202.29</v>
      </c>
      <c r="I35" s="53">
        <v>0</v>
      </c>
      <c r="J35" s="54">
        <v>0</v>
      </c>
      <c r="K35" s="53">
        <v>1213.7</v>
      </c>
      <c r="L35" s="53">
        <v>1213.7</v>
      </c>
      <c r="M35" s="53">
        <v>1213.7</v>
      </c>
      <c r="N35" s="53">
        <v>0</v>
      </c>
      <c r="O35" s="54">
        <v>0</v>
      </c>
      <c r="P35" s="53">
        <v>1221.55</v>
      </c>
      <c r="Q35" s="53">
        <v>1221.55</v>
      </c>
      <c r="R35" s="53">
        <v>1221.55</v>
      </c>
      <c r="S35" s="53">
        <v>0</v>
      </c>
      <c r="T35" s="54">
        <v>0</v>
      </c>
      <c r="U35" s="53">
        <v>1326.39</v>
      </c>
      <c r="V35" s="53">
        <v>1326.39</v>
      </c>
      <c r="W35" s="53">
        <v>1326.39</v>
      </c>
      <c r="X35" s="53">
        <v>0</v>
      </c>
      <c r="Y35" s="54">
        <v>0</v>
      </c>
    </row>
    <row r="36" spans="1:25" x14ac:dyDescent="0.2">
      <c r="A36" s="50" t="s">
        <v>140</v>
      </c>
      <c r="B36" s="51" t="s">
        <v>65</v>
      </c>
      <c r="C36" s="51" t="s">
        <v>65</v>
      </c>
      <c r="D36" s="52">
        <v>34864</v>
      </c>
      <c r="E36" s="51" t="s">
        <v>118</v>
      </c>
      <c r="F36" s="53">
        <v>1213.5999999999999</v>
      </c>
      <c r="G36" s="53">
        <v>1213.5999999999999</v>
      </c>
      <c r="H36" s="53">
        <v>1213.5999999999999</v>
      </c>
      <c r="I36" s="53">
        <v>0</v>
      </c>
      <c r="J36" s="54">
        <v>0</v>
      </c>
      <c r="K36" s="53">
        <v>1225.1300000000001</v>
      </c>
      <c r="L36" s="53">
        <v>1225.1300000000001</v>
      </c>
      <c r="M36" s="53">
        <v>1225.1300000000001</v>
      </c>
      <c r="N36" s="53">
        <v>0</v>
      </c>
      <c r="O36" s="54">
        <v>0</v>
      </c>
      <c r="P36" s="53">
        <v>1233.04</v>
      </c>
      <c r="Q36" s="53">
        <v>1233.04</v>
      </c>
      <c r="R36" s="53">
        <v>1233.04</v>
      </c>
      <c r="S36" s="53">
        <v>0</v>
      </c>
      <c r="T36" s="54">
        <v>0</v>
      </c>
      <c r="U36" s="53">
        <v>1338.87</v>
      </c>
      <c r="V36" s="53">
        <v>1338.87</v>
      </c>
      <c r="W36" s="53">
        <v>1338.87</v>
      </c>
      <c r="X36" s="53">
        <v>0</v>
      </c>
      <c r="Y36" s="54">
        <v>0</v>
      </c>
    </row>
    <row r="37" spans="1:25" x14ac:dyDescent="0.2">
      <c r="A37" s="50" t="s">
        <v>141</v>
      </c>
      <c r="B37" s="51" t="s">
        <v>65</v>
      </c>
      <c r="C37" s="51" t="s">
        <v>104</v>
      </c>
      <c r="D37" s="52">
        <v>26666</v>
      </c>
      <c r="E37" s="51" t="s">
        <v>118</v>
      </c>
      <c r="F37" s="53">
        <v>5389.07</v>
      </c>
      <c r="G37" s="53">
        <v>1793.53</v>
      </c>
      <c r="H37" s="53">
        <v>1793.53</v>
      </c>
      <c r="I37" s="53">
        <v>0</v>
      </c>
      <c r="J37" s="54">
        <v>0</v>
      </c>
      <c r="K37" s="53">
        <v>5440.26</v>
      </c>
      <c r="L37" s="53">
        <v>1810.56</v>
      </c>
      <c r="M37" s="53">
        <v>1810.56</v>
      </c>
      <c r="N37" s="53">
        <v>0</v>
      </c>
      <c r="O37" s="54">
        <v>0</v>
      </c>
      <c r="P37" s="53">
        <v>5475.39</v>
      </c>
      <c r="Q37" s="53">
        <v>1822.26</v>
      </c>
      <c r="R37" s="53">
        <v>1822.26</v>
      </c>
      <c r="S37" s="53">
        <v>0</v>
      </c>
      <c r="T37" s="54">
        <v>0</v>
      </c>
      <c r="U37" s="53">
        <v>5945.33</v>
      </c>
      <c r="V37" s="53">
        <v>1978.66</v>
      </c>
      <c r="W37" s="53">
        <v>1978.66</v>
      </c>
      <c r="X37" s="53">
        <v>0</v>
      </c>
      <c r="Y37" s="54">
        <v>0</v>
      </c>
    </row>
    <row r="38" spans="1:25" x14ac:dyDescent="0.2">
      <c r="A38" s="50" t="s">
        <v>142</v>
      </c>
      <c r="B38" s="51" t="s">
        <v>107</v>
      </c>
      <c r="C38" s="51"/>
      <c r="D38" s="52">
        <v>28717</v>
      </c>
      <c r="E38" s="51" t="s">
        <v>118</v>
      </c>
      <c r="F38" s="53"/>
      <c r="G38" s="53">
        <v>1502.15</v>
      </c>
      <c r="H38" s="53">
        <v>1502.15</v>
      </c>
      <c r="I38" s="53">
        <v>0</v>
      </c>
      <c r="J38" s="54"/>
      <c r="K38" s="53"/>
      <c r="L38" s="53">
        <v>1516.42</v>
      </c>
      <c r="M38" s="53">
        <v>1516.42</v>
      </c>
      <c r="N38" s="53">
        <v>0</v>
      </c>
      <c r="O38" s="54"/>
      <c r="P38" s="53"/>
      <c r="Q38" s="53">
        <v>1526.21</v>
      </c>
      <c r="R38" s="53">
        <v>1526.21</v>
      </c>
      <c r="S38" s="53">
        <v>0</v>
      </c>
      <c r="T38" s="54"/>
      <c r="U38" s="53"/>
      <c r="V38" s="53">
        <v>1657.2</v>
      </c>
      <c r="W38" s="53">
        <v>1657.2</v>
      </c>
      <c r="X38" s="53">
        <v>0</v>
      </c>
      <c r="Y38" s="54"/>
    </row>
    <row r="39" spans="1:25" x14ac:dyDescent="0.2">
      <c r="A39" s="50" t="s">
        <v>143</v>
      </c>
      <c r="B39" s="51" t="s">
        <v>109</v>
      </c>
      <c r="C39" s="51"/>
      <c r="D39" s="52">
        <v>37384</v>
      </c>
      <c r="E39" s="51" t="s">
        <v>118</v>
      </c>
      <c r="F39" s="53"/>
      <c r="G39" s="53">
        <v>1178.71</v>
      </c>
      <c r="H39" s="53">
        <v>1178.71</v>
      </c>
      <c r="I39" s="53">
        <v>0</v>
      </c>
      <c r="J39" s="54"/>
      <c r="K39" s="53"/>
      <c r="L39" s="53">
        <v>1189.9100000000001</v>
      </c>
      <c r="M39" s="53">
        <v>1189.9100000000001</v>
      </c>
      <c r="N39" s="53">
        <v>0</v>
      </c>
      <c r="O39" s="54"/>
      <c r="P39" s="53"/>
      <c r="Q39" s="53">
        <v>1197.5899999999999</v>
      </c>
      <c r="R39" s="53">
        <v>1197.5899999999999</v>
      </c>
      <c r="S39" s="53">
        <v>0</v>
      </c>
      <c r="T39" s="54"/>
      <c r="U39" s="53"/>
      <c r="V39" s="53">
        <v>1300.3800000000001</v>
      </c>
      <c r="W39" s="53">
        <v>1300.3800000000001</v>
      </c>
      <c r="X39" s="53">
        <v>0</v>
      </c>
      <c r="Y39" s="54"/>
    </row>
    <row r="40" spans="1:25" x14ac:dyDescent="0.2">
      <c r="A40" s="50" t="s">
        <v>144</v>
      </c>
      <c r="B40" s="51" t="s">
        <v>109</v>
      </c>
      <c r="C40" s="51"/>
      <c r="D40" s="52">
        <v>38688</v>
      </c>
      <c r="E40" s="51" t="s">
        <v>118</v>
      </c>
      <c r="F40" s="53"/>
      <c r="G40" s="53">
        <v>914.68</v>
      </c>
      <c r="H40" s="53">
        <v>914.68</v>
      </c>
      <c r="I40" s="53">
        <v>0</v>
      </c>
      <c r="J40" s="54"/>
      <c r="K40" s="53"/>
      <c r="L40" s="53">
        <v>923.37</v>
      </c>
      <c r="M40" s="53">
        <v>923.37</v>
      </c>
      <c r="N40" s="53">
        <v>0</v>
      </c>
      <c r="O40" s="54"/>
      <c r="P40" s="53"/>
      <c r="Q40" s="53">
        <v>929.33</v>
      </c>
      <c r="R40" s="53">
        <v>929.33</v>
      </c>
      <c r="S40" s="53">
        <v>0</v>
      </c>
      <c r="T40" s="54"/>
      <c r="U40" s="53"/>
      <c r="V40" s="53">
        <v>1009.09</v>
      </c>
      <c r="W40" s="53">
        <v>1009.09</v>
      </c>
      <c r="X40" s="53">
        <v>0</v>
      </c>
      <c r="Y40" s="54"/>
    </row>
    <row r="41" spans="1:25" x14ac:dyDescent="0.2">
      <c r="A41" s="50" t="s">
        <v>145</v>
      </c>
      <c r="B41" s="51" t="s">
        <v>65</v>
      </c>
      <c r="C41" s="51" t="s">
        <v>65</v>
      </c>
      <c r="D41" s="52">
        <v>36146</v>
      </c>
      <c r="E41" s="51" t="s">
        <v>111</v>
      </c>
      <c r="F41" s="53">
        <v>1178.71</v>
      </c>
      <c r="G41" s="53">
        <v>1178.71</v>
      </c>
      <c r="H41" s="53">
        <v>1178.71</v>
      </c>
      <c r="I41" s="53">
        <v>0</v>
      </c>
      <c r="J41" s="54">
        <v>0</v>
      </c>
      <c r="K41" s="53">
        <v>1189.9100000000001</v>
      </c>
      <c r="L41" s="53">
        <v>1189.9100000000001</v>
      </c>
      <c r="M41" s="53">
        <v>1189.9100000000001</v>
      </c>
      <c r="N41" s="53">
        <v>0</v>
      </c>
      <c r="O41" s="54">
        <v>0</v>
      </c>
      <c r="P41" s="53">
        <v>1197.5899999999999</v>
      </c>
      <c r="Q41" s="53">
        <v>1197.5899999999999</v>
      </c>
      <c r="R41" s="53">
        <v>1197.5899999999999</v>
      </c>
      <c r="S41" s="53">
        <v>0</v>
      </c>
      <c r="T41" s="54">
        <v>0</v>
      </c>
      <c r="U41" s="53">
        <v>1300.3800000000001</v>
      </c>
      <c r="V41" s="53">
        <v>1300.3800000000001</v>
      </c>
      <c r="W41" s="53">
        <v>1300.3800000000001</v>
      </c>
      <c r="X41" s="53">
        <v>0</v>
      </c>
      <c r="Y41" s="54">
        <v>0</v>
      </c>
    </row>
    <row r="42" spans="1:25" x14ac:dyDescent="0.2">
      <c r="A42" s="50" t="s">
        <v>146</v>
      </c>
      <c r="B42" s="51" t="s">
        <v>65</v>
      </c>
      <c r="C42" s="51" t="s">
        <v>65</v>
      </c>
      <c r="D42" s="52">
        <v>35249</v>
      </c>
      <c r="E42" s="51" t="s">
        <v>147</v>
      </c>
      <c r="F42" s="53">
        <v>1202.29</v>
      </c>
      <c r="G42" s="53">
        <v>1202.29</v>
      </c>
      <c r="H42" s="53">
        <v>1202.29</v>
      </c>
      <c r="I42" s="53">
        <v>0</v>
      </c>
      <c r="J42" s="54">
        <v>0</v>
      </c>
      <c r="K42" s="53">
        <v>1213.7</v>
      </c>
      <c r="L42" s="53">
        <v>1213.7</v>
      </c>
      <c r="M42" s="53">
        <v>1213.7</v>
      </c>
      <c r="N42" s="53">
        <v>0</v>
      </c>
      <c r="O42" s="54">
        <v>0</v>
      </c>
      <c r="P42" s="53">
        <v>1221.55</v>
      </c>
      <c r="Q42" s="53">
        <v>1221.55</v>
      </c>
      <c r="R42" s="53">
        <v>1221.55</v>
      </c>
      <c r="S42" s="53">
        <v>0</v>
      </c>
      <c r="T42" s="54">
        <v>0</v>
      </c>
      <c r="U42" s="53">
        <v>1326.39</v>
      </c>
      <c r="V42" s="53">
        <v>1326.39</v>
      </c>
      <c r="W42" s="53">
        <v>1326.39</v>
      </c>
      <c r="X42" s="53">
        <v>0</v>
      </c>
      <c r="Y42" s="54">
        <v>0</v>
      </c>
    </row>
    <row r="43" spans="1:25" ht="16.149999999999999" customHeight="1" x14ac:dyDescent="0.2">
      <c r="A43" s="226" t="s">
        <v>81</v>
      </c>
      <c r="B43" s="227"/>
      <c r="C43" s="227"/>
      <c r="D43" s="227"/>
      <c r="E43" s="227"/>
      <c r="F43" s="211" t="s">
        <v>211</v>
      </c>
      <c r="G43" s="212"/>
      <c r="H43" s="212"/>
      <c r="I43" s="212"/>
      <c r="J43" s="213"/>
      <c r="K43" s="211" t="s">
        <v>213</v>
      </c>
      <c r="L43" s="212"/>
      <c r="M43" s="212"/>
      <c r="N43" s="212"/>
      <c r="O43" s="213"/>
      <c r="P43" s="211" t="s">
        <v>215</v>
      </c>
      <c r="Q43" s="212"/>
      <c r="R43" s="212"/>
      <c r="S43" s="212"/>
      <c r="T43" s="213"/>
      <c r="U43" s="211" t="s">
        <v>217</v>
      </c>
      <c r="V43" s="212"/>
      <c r="W43" s="212"/>
      <c r="X43" s="212"/>
      <c r="Y43" s="213"/>
    </row>
    <row r="44" spans="1:25" ht="13.9" customHeight="1" x14ac:dyDescent="0.2">
      <c r="A44" s="228" t="s">
        <v>82</v>
      </c>
      <c r="B44" s="229"/>
      <c r="C44" s="229"/>
      <c r="D44" s="229"/>
      <c r="E44" s="229"/>
      <c r="F44" s="214">
        <v>15329.9</v>
      </c>
      <c r="G44" s="215"/>
      <c r="H44" s="215"/>
      <c r="I44" s="215"/>
      <c r="J44" s="216"/>
      <c r="K44" s="214">
        <v>15475.45</v>
      </c>
      <c r="L44" s="215"/>
      <c r="M44" s="215"/>
      <c r="N44" s="215"/>
      <c r="O44" s="216"/>
      <c r="P44" s="214">
        <v>15575.41</v>
      </c>
      <c r="Q44" s="215"/>
      <c r="R44" s="215"/>
      <c r="S44" s="215"/>
      <c r="T44" s="216"/>
      <c r="U44" s="214">
        <v>16912.2</v>
      </c>
      <c r="V44" s="215"/>
      <c r="W44" s="215"/>
      <c r="X44" s="215"/>
      <c r="Y44" s="216"/>
    </row>
    <row r="45" spans="1:25" ht="13.9" customHeight="1" x14ac:dyDescent="0.2">
      <c r="A45" s="230" t="s">
        <v>83</v>
      </c>
      <c r="B45" s="231"/>
      <c r="C45" s="231"/>
      <c r="D45" s="231"/>
      <c r="E45" s="231"/>
      <c r="F45" s="208">
        <f>F44*12</f>
        <v>183958.8</v>
      </c>
      <c r="G45" s="209"/>
      <c r="H45" s="209"/>
      <c r="I45" s="209"/>
      <c r="J45" s="210"/>
      <c r="K45" s="208">
        <f>K44*12</f>
        <v>185705.40000000002</v>
      </c>
      <c r="L45" s="209"/>
      <c r="M45" s="209"/>
      <c r="N45" s="209"/>
      <c r="O45" s="210"/>
      <c r="P45" s="208">
        <f>P44*12</f>
        <v>186904.91999999998</v>
      </c>
      <c r="Q45" s="209"/>
      <c r="R45" s="209"/>
      <c r="S45" s="209"/>
      <c r="T45" s="210"/>
      <c r="U45" s="208">
        <f>U44*12</f>
        <v>202946.40000000002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700-000000000000}"/>
    <hyperlink ref="F46" r:id="rId2" xr:uid="{00000000-0004-0000-4700-000001000000}"/>
    <hyperlink ref="K7" r:id="rId3" xr:uid="{00000000-0004-0000-4700-000002000000}"/>
    <hyperlink ref="K46" r:id="rId4" xr:uid="{00000000-0004-0000-4700-000003000000}"/>
    <hyperlink ref="P7" r:id="rId5" xr:uid="{00000000-0004-0000-4700-000004000000}"/>
    <hyperlink ref="P46" r:id="rId6" xr:uid="{00000000-0004-0000-4700-000005000000}"/>
    <hyperlink ref="U7" r:id="rId7" xr:uid="{00000000-0004-0000-4700-000006000000}"/>
    <hyperlink ref="U46" r:id="rId8" xr:uid="{00000000-0004-0000-47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1FF8-B214-4B74-8108-8CB2D625B1A7}">
  <sheetPr>
    <pageSetUpPr fitToPage="1"/>
  </sheetPr>
  <dimension ref="A1:J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20" width="10.25" style="29" customWidth="1" collapsed="1"/>
    <col min="21" max="16384" width="8.75" style="29" collapsed="1"/>
  </cols>
  <sheetData>
    <row r="1" spans="1:10" ht="4.9000000000000004" customHeight="1" x14ac:dyDescent="0.2">
      <c r="A1" s="35" t="s">
        <v>56</v>
      </c>
      <c r="B1" s="35"/>
      <c r="C1" s="35"/>
      <c r="D1" s="35"/>
      <c r="E1" s="35"/>
      <c r="F1" s="35"/>
      <c r="G1" s="35"/>
      <c r="H1" s="35"/>
      <c r="I1" s="35"/>
      <c r="J1" s="35"/>
    </row>
    <row r="2" spans="1:10" s="30" customFormat="1" ht="31.15" customHeight="1" x14ac:dyDescent="0.25">
      <c r="A2" s="238" t="str">
        <f>group_name</f>
        <v>Tuckerton Lumber Company</v>
      </c>
      <c r="B2" s="239"/>
      <c r="C2" s="239"/>
      <c r="D2" s="239"/>
      <c r="E2" s="239"/>
      <c r="F2" s="239"/>
      <c r="G2" s="239"/>
      <c r="H2" s="239"/>
      <c r="I2" s="239"/>
      <c r="J2" s="240"/>
    </row>
    <row r="3" spans="1:10" s="30" customFormat="1" ht="31.15" customHeight="1" x14ac:dyDescent="0.25">
      <c r="A3" s="241" t="s">
        <v>34</v>
      </c>
      <c r="B3" s="242"/>
      <c r="C3" s="242"/>
      <c r="D3" s="242"/>
      <c r="E3" s="242"/>
      <c r="F3" s="242"/>
      <c r="G3" s="242"/>
      <c r="H3" s="242"/>
      <c r="I3" s="242"/>
      <c r="J3" s="243"/>
    </row>
    <row r="4" spans="1:10" s="2" customFormat="1" ht="31.15" customHeight="1" x14ac:dyDescent="0.25">
      <c r="A4" s="244" t="str">
        <f>"Effective Date: "&amp;TEXT(effective_date,"MM/DD/YYYY")</f>
        <v>Effective Date: 06/01/2026</v>
      </c>
      <c r="B4" s="245"/>
      <c r="C4" s="245"/>
      <c r="D4" s="245"/>
      <c r="E4" s="245"/>
      <c r="F4" s="245"/>
      <c r="G4" s="245"/>
      <c r="H4" s="245"/>
      <c r="I4" s="245"/>
      <c r="J4" s="246"/>
    </row>
    <row r="5" spans="1:10" ht="19.899999999999999" customHeight="1" x14ac:dyDescent="0.2">
      <c r="A5" s="247" t="s">
        <v>57</v>
      </c>
      <c r="B5" s="248"/>
      <c r="C5" s="248"/>
      <c r="D5" s="248"/>
      <c r="E5" s="248"/>
      <c r="F5" s="117" t="s">
        <v>101</v>
      </c>
      <c r="G5" s="118"/>
      <c r="H5" s="118"/>
      <c r="I5" s="118"/>
      <c r="J5" s="120"/>
    </row>
    <row r="6" spans="1:10" x14ac:dyDescent="0.2">
      <c r="A6" s="247"/>
      <c r="B6" s="248"/>
      <c r="C6" s="248"/>
      <c r="D6" s="248"/>
      <c r="E6" s="248"/>
      <c r="F6" s="121" t="s">
        <v>218</v>
      </c>
      <c r="G6" s="122"/>
      <c r="H6" s="122"/>
      <c r="I6" s="122"/>
      <c r="J6" s="124"/>
    </row>
    <row r="7" spans="1:10" ht="19.899999999999999" customHeight="1" x14ac:dyDescent="0.2">
      <c r="A7" s="247"/>
      <c r="B7" s="248"/>
      <c r="C7" s="248"/>
      <c r="D7" s="248"/>
      <c r="E7" s="248"/>
      <c r="F7" s="235" t="s">
        <v>58</v>
      </c>
      <c r="G7" s="236"/>
      <c r="H7" s="236"/>
      <c r="I7" s="236"/>
      <c r="J7" s="237"/>
    </row>
    <row r="8" spans="1:10" ht="16.149999999999999" customHeight="1" x14ac:dyDescent="0.2">
      <c r="A8" s="43"/>
      <c r="B8" s="44"/>
      <c r="C8" s="44"/>
      <c r="D8" s="44"/>
      <c r="E8" s="44"/>
      <c r="F8" s="232" t="s">
        <v>219</v>
      </c>
      <c r="G8" s="233"/>
      <c r="H8" s="233"/>
      <c r="I8" s="233"/>
      <c r="J8" s="234"/>
    </row>
    <row r="9" spans="1:10" ht="34.15" customHeight="1" x14ac:dyDescent="0.2">
      <c r="A9" s="41" t="s">
        <v>59</v>
      </c>
      <c r="B9" s="31" t="s">
        <v>60</v>
      </c>
      <c r="C9" s="31" t="s">
        <v>61</v>
      </c>
      <c r="D9" s="31" t="s">
        <v>62</v>
      </c>
      <c r="E9" s="31" t="s">
        <v>63</v>
      </c>
      <c r="F9" s="32" t="s">
        <v>68</v>
      </c>
      <c r="G9" s="33" t="s">
        <v>32</v>
      </c>
      <c r="H9" s="33" t="s">
        <v>64</v>
      </c>
      <c r="I9" s="33" t="s">
        <v>65</v>
      </c>
      <c r="J9" s="42" t="s">
        <v>66</v>
      </c>
    </row>
    <row r="10" spans="1:10" x14ac:dyDescent="0.2">
      <c r="A10" s="50" t="s">
        <v>103</v>
      </c>
      <c r="B10" s="51" t="s">
        <v>65</v>
      </c>
      <c r="C10" s="51" t="s">
        <v>104</v>
      </c>
      <c r="D10" s="52">
        <v>21325</v>
      </c>
      <c r="E10" s="51" t="s">
        <v>105</v>
      </c>
      <c r="F10" s="53">
        <v>5198.6099999999997</v>
      </c>
      <c r="G10" s="53">
        <v>2374.84</v>
      </c>
      <c r="H10" s="53">
        <v>2374.84</v>
      </c>
      <c r="I10" s="53">
        <v>0</v>
      </c>
      <c r="J10" s="54">
        <v>0</v>
      </c>
    </row>
    <row r="11" spans="1:10" x14ac:dyDescent="0.2">
      <c r="A11" s="50" t="s">
        <v>106</v>
      </c>
      <c r="B11" s="51" t="s">
        <v>107</v>
      </c>
      <c r="C11" s="51"/>
      <c r="D11" s="52">
        <v>27837</v>
      </c>
      <c r="E11" s="51" t="s">
        <v>105</v>
      </c>
      <c r="F11" s="53"/>
      <c r="G11" s="53">
        <v>1813.42</v>
      </c>
      <c r="H11" s="53">
        <v>1813.42</v>
      </c>
      <c r="I11" s="53">
        <v>0</v>
      </c>
      <c r="J11" s="54"/>
    </row>
    <row r="12" spans="1:10" x14ac:dyDescent="0.2">
      <c r="A12" s="50" t="s">
        <v>108</v>
      </c>
      <c r="B12" s="51" t="s">
        <v>109</v>
      </c>
      <c r="C12" s="51"/>
      <c r="D12" s="52">
        <v>38648</v>
      </c>
      <c r="E12" s="51" t="s">
        <v>105</v>
      </c>
      <c r="F12" s="53"/>
      <c r="G12" s="53">
        <v>1010.35</v>
      </c>
      <c r="H12" s="53">
        <v>1010.35</v>
      </c>
      <c r="I12" s="53">
        <v>0</v>
      </c>
      <c r="J12" s="54"/>
    </row>
    <row r="13" spans="1:10" x14ac:dyDescent="0.2">
      <c r="A13" s="50" t="s">
        <v>110</v>
      </c>
      <c r="B13" s="51" t="s">
        <v>65</v>
      </c>
      <c r="C13" s="51" t="s">
        <v>65</v>
      </c>
      <c r="D13" s="52">
        <v>36345</v>
      </c>
      <c r="E13" s="51" t="s">
        <v>111</v>
      </c>
      <c r="F13" s="53">
        <v>1302</v>
      </c>
      <c r="G13" s="53">
        <v>1302</v>
      </c>
      <c r="H13" s="53">
        <v>1302</v>
      </c>
      <c r="I13" s="53">
        <v>0</v>
      </c>
      <c r="J13" s="54">
        <v>0</v>
      </c>
    </row>
    <row r="14" spans="1:10" x14ac:dyDescent="0.2">
      <c r="A14" s="50" t="s">
        <v>112</v>
      </c>
      <c r="B14" s="51" t="s">
        <v>65</v>
      </c>
      <c r="C14" s="51" t="s">
        <v>104</v>
      </c>
      <c r="D14" s="52">
        <v>24895</v>
      </c>
      <c r="E14" s="51" t="s">
        <v>113</v>
      </c>
      <c r="F14" s="53">
        <v>5682.96</v>
      </c>
      <c r="G14" s="53">
        <v>2297.77</v>
      </c>
      <c r="H14" s="53">
        <v>2297.77</v>
      </c>
      <c r="I14" s="53">
        <v>0</v>
      </c>
      <c r="J14" s="54">
        <v>0</v>
      </c>
    </row>
    <row r="15" spans="1:10" x14ac:dyDescent="0.2">
      <c r="A15" s="50" t="s">
        <v>114</v>
      </c>
      <c r="B15" s="51" t="s">
        <v>107</v>
      </c>
      <c r="C15" s="51"/>
      <c r="D15" s="52">
        <v>24269</v>
      </c>
      <c r="E15" s="51" t="s">
        <v>113</v>
      </c>
      <c r="F15" s="53"/>
      <c r="G15" s="53">
        <v>2374.84</v>
      </c>
      <c r="H15" s="53">
        <v>2374.84</v>
      </c>
      <c r="I15" s="53">
        <v>0</v>
      </c>
      <c r="J15" s="54"/>
    </row>
    <row r="16" spans="1:10" x14ac:dyDescent="0.2">
      <c r="A16" s="50" t="s">
        <v>115</v>
      </c>
      <c r="B16" s="51" t="s">
        <v>109</v>
      </c>
      <c r="C16" s="51"/>
      <c r="D16" s="52">
        <v>38614</v>
      </c>
      <c r="E16" s="51" t="s">
        <v>113</v>
      </c>
      <c r="F16" s="53"/>
      <c r="G16" s="53">
        <v>1010.35</v>
      </c>
      <c r="H16" s="53">
        <v>1010.35</v>
      </c>
      <c r="I16" s="53">
        <v>0</v>
      </c>
      <c r="J16" s="54"/>
    </row>
    <row r="17" spans="1:10" x14ac:dyDescent="0.2">
      <c r="A17" s="50" t="s">
        <v>116</v>
      </c>
      <c r="B17" s="51" t="s">
        <v>65</v>
      </c>
      <c r="C17" s="51" t="s">
        <v>117</v>
      </c>
      <c r="D17" s="52">
        <v>18453</v>
      </c>
      <c r="E17" s="51" t="s">
        <v>118</v>
      </c>
      <c r="F17" s="53">
        <v>4749.68</v>
      </c>
      <c r="G17" s="53">
        <v>2374.84</v>
      </c>
      <c r="H17" s="53">
        <v>2374.84</v>
      </c>
      <c r="I17" s="53">
        <v>0</v>
      </c>
      <c r="J17" s="54">
        <v>0</v>
      </c>
    </row>
    <row r="18" spans="1:10" x14ac:dyDescent="0.2">
      <c r="A18" s="50" t="s">
        <v>119</v>
      </c>
      <c r="B18" s="51" t="s">
        <v>107</v>
      </c>
      <c r="C18" s="51"/>
      <c r="D18" s="52">
        <v>19761</v>
      </c>
      <c r="E18" s="51" t="s">
        <v>118</v>
      </c>
      <c r="F18" s="53"/>
      <c r="G18" s="53">
        <v>2374.84</v>
      </c>
      <c r="H18" s="53">
        <v>2374.84</v>
      </c>
      <c r="I18" s="53">
        <v>0</v>
      </c>
      <c r="J18" s="54"/>
    </row>
    <row r="19" spans="1:10" x14ac:dyDescent="0.2">
      <c r="A19" s="50" t="s">
        <v>120</v>
      </c>
      <c r="B19" s="51" t="s">
        <v>65</v>
      </c>
      <c r="C19" s="51" t="s">
        <v>65</v>
      </c>
      <c r="D19" s="52">
        <v>35733</v>
      </c>
      <c r="E19" s="51" t="s">
        <v>121</v>
      </c>
      <c r="F19" s="53">
        <v>1302</v>
      </c>
      <c r="G19" s="53">
        <v>1302</v>
      </c>
      <c r="H19" s="53">
        <v>1302</v>
      </c>
      <c r="I19" s="53">
        <v>0</v>
      </c>
      <c r="J19" s="54">
        <v>0</v>
      </c>
    </row>
    <row r="20" spans="1:10" x14ac:dyDescent="0.2">
      <c r="A20" s="50" t="s">
        <v>122</v>
      </c>
      <c r="B20" s="51" t="s">
        <v>65</v>
      </c>
      <c r="C20" s="51" t="s">
        <v>104</v>
      </c>
      <c r="D20" s="52">
        <v>24958</v>
      </c>
      <c r="E20" s="51" t="s">
        <v>123</v>
      </c>
      <c r="F20" s="53">
        <v>6519.36</v>
      </c>
      <c r="G20" s="53">
        <v>2297.77</v>
      </c>
      <c r="H20" s="53">
        <v>2297.77</v>
      </c>
      <c r="I20" s="53">
        <v>0</v>
      </c>
      <c r="J20" s="54">
        <v>0</v>
      </c>
    </row>
    <row r="21" spans="1:10" x14ac:dyDescent="0.2">
      <c r="A21" s="50" t="s">
        <v>124</v>
      </c>
      <c r="B21" s="51" t="s">
        <v>107</v>
      </c>
      <c r="C21" s="51"/>
      <c r="D21" s="52">
        <v>25342</v>
      </c>
      <c r="E21" s="51" t="s">
        <v>123</v>
      </c>
      <c r="F21" s="53"/>
      <c r="G21" s="53">
        <v>2231.1</v>
      </c>
      <c r="H21" s="53">
        <v>2231.1</v>
      </c>
      <c r="I21" s="53">
        <v>0</v>
      </c>
      <c r="J21" s="54"/>
    </row>
    <row r="22" spans="1:10" x14ac:dyDescent="0.2">
      <c r="A22" s="50" t="s">
        <v>125</v>
      </c>
      <c r="B22" s="51" t="s">
        <v>109</v>
      </c>
      <c r="C22" s="51"/>
      <c r="D22" s="52">
        <v>38632</v>
      </c>
      <c r="E22" s="51" t="s">
        <v>123</v>
      </c>
      <c r="F22" s="53"/>
      <c r="G22" s="53">
        <v>1010.35</v>
      </c>
      <c r="H22" s="53">
        <v>1010.35</v>
      </c>
      <c r="I22" s="53">
        <v>0</v>
      </c>
      <c r="J22" s="54"/>
    </row>
    <row r="23" spans="1:10" x14ac:dyDescent="0.2">
      <c r="A23" s="50" t="s">
        <v>126</v>
      </c>
      <c r="B23" s="51" t="s">
        <v>109</v>
      </c>
      <c r="C23" s="51"/>
      <c r="D23" s="52">
        <v>39092</v>
      </c>
      <c r="E23" s="51" t="s">
        <v>123</v>
      </c>
      <c r="F23" s="53"/>
      <c r="G23" s="53">
        <v>980.14</v>
      </c>
      <c r="H23" s="53">
        <v>980.14</v>
      </c>
      <c r="I23" s="53">
        <v>0</v>
      </c>
      <c r="J23" s="54"/>
    </row>
    <row r="24" spans="1:10" x14ac:dyDescent="0.2">
      <c r="A24" s="50" t="s">
        <v>127</v>
      </c>
      <c r="B24" s="51" t="s">
        <v>65</v>
      </c>
      <c r="C24" s="51" t="s">
        <v>117</v>
      </c>
      <c r="D24" s="52">
        <v>21309</v>
      </c>
      <c r="E24" s="51" t="s">
        <v>96</v>
      </c>
      <c r="F24" s="53">
        <v>4749.68</v>
      </c>
      <c r="G24" s="53">
        <v>2374.84</v>
      </c>
      <c r="H24" s="53">
        <v>2374.84</v>
      </c>
      <c r="I24" s="53">
        <v>0</v>
      </c>
      <c r="J24" s="54">
        <v>0</v>
      </c>
    </row>
    <row r="25" spans="1:10" x14ac:dyDescent="0.2">
      <c r="A25" s="50" t="s">
        <v>128</v>
      </c>
      <c r="B25" s="51" t="s">
        <v>107</v>
      </c>
      <c r="C25" s="51"/>
      <c r="D25" s="52">
        <v>23570</v>
      </c>
      <c r="E25" s="51" t="s">
        <v>96</v>
      </c>
      <c r="F25" s="53"/>
      <c r="G25" s="53">
        <v>2374.84</v>
      </c>
      <c r="H25" s="53">
        <v>2374.84</v>
      </c>
      <c r="I25" s="53">
        <v>0</v>
      </c>
      <c r="J25" s="54"/>
    </row>
    <row r="26" spans="1:10" x14ac:dyDescent="0.2">
      <c r="A26" s="50" t="s">
        <v>129</v>
      </c>
      <c r="B26" s="51" t="s">
        <v>65</v>
      </c>
      <c r="C26" s="51" t="s">
        <v>65</v>
      </c>
      <c r="D26" s="52">
        <v>24147</v>
      </c>
      <c r="E26" s="51" t="s">
        <v>113</v>
      </c>
      <c r="F26" s="53">
        <v>2374.84</v>
      </c>
      <c r="G26" s="53">
        <v>2374.84</v>
      </c>
      <c r="H26" s="53">
        <v>2374.84</v>
      </c>
      <c r="I26" s="53">
        <v>0</v>
      </c>
      <c r="J26" s="54">
        <v>0</v>
      </c>
    </row>
    <row r="27" spans="1:10" x14ac:dyDescent="0.2">
      <c r="A27" s="50" t="s">
        <v>130</v>
      </c>
      <c r="B27" s="51" t="s">
        <v>65</v>
      </c>
      <c r="C27" s="51" t="s">
        <v>65</v>
      </c>
      <c r="D27" s="52">
        <v>25210</v>
      </c>
      <c r="E27" s="51" t="s">
        <v>131</v>
      </c>
      <c r="F27" s="53">
        <v>2231.1</v>
      </c>
      <c r="G27" s="53">
        <v>2231.1</v>
      </c>
      <c r="H27" s="53">
        <v>2231.1</v>
      </c>
      <c r="I27" s="53">
        <v>0</v>
      </c>
      <c r="J27" s="54">
        <v>0</v>
      </c>
    </row>
    <row r="28" spans="1:10" x14ac:dyDescent="0.2">
      <c r="A28" s="50" t="s">
        <v>132</v>
      </c>
      <c r="B28" s="51" t="s">
        <v>65</v>
      </c>
      <c r="C28" s="51" t="s">
        <v>65</v>
      </c>
      <c r="D28" s="52">
        <v>35103</v>
      </c>
      <c r="E28" s="51" t="s">
        <v>113</v>
      </c>
      <c r="F28" s="53">
        <v>1340.54</v>
      </c>
      <c r="G28" s="53">
        <v>1340.54</v>
      </c>
      <c r="H28" s="53">
        <v>1340.54</v>
      </c>
      <c r="I28" s="53">
        <v>0</v>
      </c>
      <c r="J28" s="54">
        <v>0</v>
      </c>
    </row>
    <row r="29" spans="1:10" x14ac:dyDescent="0.2">
      <c r="A29" s="50" t="s">
        <v>133</v>
      </c>
      <c r="B29" s="51" t="s">
        <v>65</v>
      </c>
      <c r="C29" s="51" t="s">
        <v>117</v>
      </c>
      <c r="D29" s="52">
        <v>27399</v>
      </c>
      <c r="E29" s="51" t="s">
        <v>113</v>
      </c>
      <c r="F29" s="53">
        <v>3440.39</v>
      </c>
      <c r="G29" s="53">
        <v>1866.54</v>
      </c>
      <c r="H29" s="53">
        <v>1866.54</v>
      </c>
      <c r="I29" s="53">
        <v>0</v>
      </c>
      <c r="J29" s="54">
        <v>0</v>
      </c>
    </row>
    <row r="30" spans="1:10" x14ac:dyDescent="0.2">
      <c r="A30" s="50" t="s">
        <v>134</v>
      </c>
      <c r="B30" s="51" t="s">
        <v>107</v>
      </c>
      <c r="C30" s="51"/>
      <c r="D30" s="52">
        <v>29502</v>
      </c>
      <c r="E30" s="51" t="s">
        <v>113</v>
      </c>
      <c r="F30" s="53"/>
      <c r="G30" s="53">
        <v>1573.85</v>
      </c>
      <c r="H30" s="53">
        <v>1573.85</v>
      </c>
      <c r="I30" s="53">
        <v>0</v>
      </c>
      <c r="J30" s="54"/>
    </row>
    <row r="31" spans="1:10" x14ac:dyDescent="0.2">
      <c r="A31" s="50" t="s">
        <v>135</v>
      </c>
      <c r="B31" s="51" t="s">
        <v>65</v>
      </c>
      <c r="C31" s="51" t="s">
        <v>104</v>
      </c>
      <c r="D31" s="52">
        <v>24592</v>
      </c>
      <c r="E31" s="51" t="s">
        <v>111</v>
      </c>
      <c r="F31" s="53">
        <v>6051.68</v>
      </c>
      <c r="G31" s="53">
        <v>2374.84</v>
      </c>
      <c r="H31" s="53">
        <v>2374.84</v>
      </c>
      <c r="I31" s="53">
        <v>0</v>
      </c>
      <c r="J31" s="54">
        <v>0</v>
      </c>
    </row>
    <row r="32" spans="1:10" x14ac:dyDescent="0.2">
      <c r="A32" s="50" t="s">
        <v>136</v>
      </c>
      <c r="B32" s="51" t="s">
        <v>107</v>
      </c>
      <c r="C32" s="51"/>
      <c r="D32" s="52">
        <v>22616</v>
      </c>
      <c r="E32" s="51" t="s">
        <v>111</v>
      </c>
      <c r="F32" s="53"/>
      <c r="G32" s="53">
        <v>2374.84</v>
      </c>
      <c r="H32" s="53">
        <v>2374.84</v>
      </c>
      <c r="I32" s="53">
        <v>0</v>
      </c>
      <c r="J32" s="54"/>
    </row>
    <row r="33" spans="1:10" x14ac:dyDescent="0.2">
      <c r="A33" s="50" t="s">
        <v>137</v>
      </c>
      <c r="B33" s="51" t="s">
        <v>109</v>
      </c>
      <c r="C33" s="51"/>
      <c r="D33" s="52">
        <v>37842</v>
      </c>
      <c r="E33" s="51" t="s">
        <v>111</v>
      </c>
      <c r="F33" s="53"/>
      <c r="G33" s="53">
        <v>1302</v>
      </c>
      <c r="H33" s="53">
        <v>1302</v>
      </c>
      <c r="I33" s="53">
        <v>0</v>
      </c>
      <c r="J33" s="54"/>
    </row>
    <row r="34" spans="1:10" x14ac:dyDescent="0.2">
      <c r="A34" s="50" t="s">
        <v>138</v>
      </c>
      <c r="B34" s="51" t="s">
        <v>65</v>
      </c>
      <c r="C34" s="51" t="s">
        <v>65</v>
      </c>
      <c r="D34" s="52">
        <v>35401</v>
      </c>
      <c r="E34" s="51" t="s">
        <v>113</v>
      </c>
      <c r="F34" s="53">
        <v>1328.04</v>
      </c>
      <c r="G34" s="53">
        <v>1328.04</v>
      </c>
      <c r="H34" s="53">
        <v>1328.04</v>
      </c>
      <c r="I34" s="53">
        <v>0</v>
      </c>
      <c r="J34" s="54">
        <v>0</v>
      </c>
    </row>
    <row r="35" spans="1:10" x14ac:dyDescent="0.2">
      <c r="A35" s="50" t="s">
        <v>139</v>
      </c>
      <c r="B35" s="51" t="s">
        <v>65</v>
      </c>
      <c r="C35" s="51" t="s">
        <v>65</v>
      </c>
      <c r="D35" s="52">
        <v>35453</v>
      </c>
      <c r="E35" s="51" t="s">
        <v>113</v>
      </c>
      <c r="F35" s="53">
        <v>1328.04</v>
      </c>
      <c r="G35" s="53">
        <v>1328.04</v>
      </c>
      <c r="H35" s="53">
        <v>1328.04</v>
      </c>
      <c r="I35" s="53">
        <v>0</v>
      </c>
      <c r="J35" s="54">
        <v>0</v>
      </c>
    </row>
    <row r="36" spans="1:10" x14ac:dyDescent="0.2">
      <c r="A36" s="50" t="s">
        <v>140</v>
      </c>
      <c r="B36" s="51" t="s">
        <v>65</v>
      </c>
      <c r="C36" s="51" t="s">
        <v>65</v>
      </c>
      <c r="D36" s="52">
        <v>34864</v>
      </c>
      <c r="E36" s="51" t="s">
        <v>118</v>
      </c>
      <c r="F36" s="53">
        <v>1340.54</v>
      </c>
      <c r="G36" s="53">
        <v>1340.54</v>
      </c>
      <c r="H36" s="53">
        <v>1340.54</v>
      </c>
      <c r="I36" s="53">
        <v>0</v>
      </c>
      <c r="J36" s="54">
        <v>0</v>
      </c>
    </row>
    <row r="37" spans="1:10" x14ac:dyDescent="0.2">
      <c r="A37" s="50" t="s">
        <v>141</v>
      </c>
      <c r="B37" s="51" t="s">
        <v>65</v>
      </c>
      <c r="C37" s="51" t="s">
        <v>104</v>
      </c>
      <c r="D37" s="52">
        <v>26666</v>
      </c>
      <c r="E37" s="51" t="s">
        <v>118</v>
      </c>
      <c r="F37" s="53">
        <v>5952.74</v>
      </c>
      <c r="G37" s="53">
        <v>1981.12</v>
      </c>
      <c r="H37" s="53">
        <v>1981.12</v>
      </c>
      <c r="I37" s="53">
        <v>0</v>
      </c>
      <c r="J37" s="54">
        <v>0</v>
      </c>
    </row>
    <row r="38" spans="1:10" x14ac:dyDescent="0.2">
      <c r="A38" s="50" t="s">
        <v>142</v>
      </c>
      <c r="B38" s="51" t="s">
        <v>107</v>
      </c>
      <c r="C38" s="51"/>
      <c r="D38" s="52">
        <v>28717</v>
      </c>
      <c r="E38" s="51" t="s">
        <v>118</v>
      </c>
      <c r="F38" s="53"/>
      <c r="G38" s="53">
        <v>1659.27</v>
      </c>
      <c r="H38" s="53">
        <v>1659.27</v>
      </c>
      <c r="I38" s="53">
        <v>0</v>
      </c>
      <c r="J38" s="54"/>
    </row>
    <row r="39" spans="1:10" x14ac:dyDescent="0.2">
      <c r="A39" s="50" t="s">
        <v>143</v>
      </c>
      <c r="B39" s="51" t="s">
        <v>109</v>
      </c>
      <c r="C39" s="51"/>
      <c r="D39" s="52">
        <v>37384</v>
      </c>
      <c r="E39" s="51" t="s">
        <v>118</v>
      </c>
      <c r="F39" s="53"/>
      <c r="G39" s="53">
        <v>1302</v>
      </c>
      <c r="H39" s="53">
        <v>1302</v>
      </c>
      <c r="I39" s="53">
        <v>0</v>
      </c>
      <c r="J39" s="54"/>
    </row>
    <row r="40" spans="1:10" x14ac:dyDescent="0.2">
      <c r="A40" s="50" t="s">
        <v>144</v>
      </c>
      <c r="B40" s="51" t="s">
        <v>109</v>
      </c>
      <c r="C40" s="51"/>
      <c r="D40" s="52">
        <v>38688</v>
      </c>
      <c r="E40" s="51" t="s">
        <v>118</v>
      </c>
      <c r="F40" s="53"/>
      <c r="G40" s="53">
        <v>1010.35</v>
      </c>
      <c r="H40" s="53">
        <v>1010.35</v>
      </c>
      <c r="I40" s="53">
        <v>0</v>
      </c>
      <c r="J40" s="54"/>
    </row>
    <row r="41" spans="1:10" x14ac:dyDescent="0.2">
      <c r="A41" s="50" t="s">
        <v>145</v>
      </c>
      <c r="B41" s="51" t="s">
        <v>65</v>
      </c>
      <c r="C41" s="51" t="s">
        <v>65</v>
      </c>
      <c r="D41" s="52">
        <v>36146</v>
      </c>
      <c r="E41" s="51" t="s">
        <v>111</v>
      </c>
      <c r="F41" s="53">
        <v>1302</v>
      </c>
      <c r="G41" s="53">
        <v>1302</v>
      </c>
      <c r="H41" s="53">
        <v>1302</v>
      </c>
      <c r="I41" s="53">
        <v>0</v>
      </c>
      <c r="J41" s="54">
        <v>0</v>
      </c>
    </row>
    <row r="42" spans="1:10" x14ac:dyDescent="0.2">
      <c r="A42" s="50" t="s">
        <v>146</v>
      </c>
      <c r="B42" s="51" t="s">
        <v>65</v>
      </c>
      <c r="C42" s="51" t="s">
        <v>65</v>
      </c>
      <c r="D42" s="52">
        <v>35249</v>
      </c>
      <c r="E42" s="51" t="s">
        <v>147</v>
      </c>
      <c r="F42" s="53">
        <v>1328.04</v>
      </c>
      <c r="G42" s="53">
        <v>1328.04</v>
      </c>
      <c r="H42" s="53">
        <v>1328.04</v>
      </c>
      <c r="I42" s="53">
        <v>0</v>
      </c>
      <c r="J42" s="54">
        <v>0</v>
      </c>
    </row>
    <row r="43" spans="1:10" ht="16.149999999999999" customHeight="1" x14ac:dyDescent="0.2">
      <c r="A43" s="226" t="s">
        <v>81</v>
      </c>
      <c r="B43" s="227"/>
      <c r="C43" s="227"/>
      <c r="D43" s="227"/>
      <c r="E43" s="227"/>
      <c r="F43" s="211" t="s">
        <v>219</v>
      </c>
      <c r="G43" s="212"/>
      <c r="H43" s="212"/>
      <c r="I43" s="212"/>
      <c r="J43" s="213"/>
    </row>
    <row r="44" spans="1:10" ht="13.9" customHeight="1" x14ac:dyDescent="0.2">
      <c r="A44" s="228" t="s">
        <v>82</v>
      </c>
      <c r="B44" s="229"/>
      <c r="C44" s="229"/>
      <c r="D44" s="229"/>
      <c r="E44" s="229"/>
      <c r="F44" s="214">
        <v>16933.25</v>
      </c>
      <c r="G44" s="215"/>
      <c r="H44" s="215"/>
      <c r="I44" s="215"/>
      <c r="J44" s="216"/>
    </row>
    <row r="45" spans="1:10" ht="13.9" customHeight="1" x14ac:dyDescent="0.2">
      <c r="A45" s="230" t="s">
        <v>83</v>
      </c>
      <c r="B45" s="231"/>
      <c r="C45" s="231"/>
      <c r="D45" s="231"/>
      <c r="E45" s="231"/>
      <c r="F45" s="208">
        <f>F44*12</f>
        <v>203199</v>
      </c>
      <c r="G45" s="209"/>
      <c r="H45" s="209"/>
      <c r="I45" s="209"/>
      <c r="J45" s="210"/>
    </row>
    <row r="46" spans="1:10" ht="18" customHeight="1" x14ac:dyDescent="0.2">
      <c r="A46" s="201" t="s">
        <v>30</v>
      </c>
      <c r="B46" s="202"/>
      <c r="C46" s="202"/>
      <c r="D46" s="202"/>
      <c r="E46" s="202"/>
      <c r="F46" s="203" t="s">
        <v>29</v>
      </c>
      <c r="G46" s="206"/>
      <c r="H46" s="206"/>
      <c r="I46" s="206"/>
      <c r="J46" s="207"/>
    </row>
    <row r="47" spans="1:10" ht="4.9000000000000004" customHeight="1" x14ac:dyDescent="0.2">
      <c r="A47" s="36"/>
      <c r="B47" s="36"/>
      <c r="C47" s="37"/>
      <c r="D47" s="37"/>
      <c r="E47" s="38"/>
      <c r="F47" s="40"/>
      <c r="G47" s="40"/>
      <c r="H47" s="40"/>
      <c r="I47" s="40"/>
      <c r="J47" s="40"/>
    </row>
    <row r="48" spans="1:10" ht="55.15" customHeight="1" x14ac:dyDescent="0.2">
      <c r="A48" s="200" t="s">
        <v>31</v>
      </c>
      <c r="B48" s="200"/>
      <c r="C48" s="200"/>
      <c r="D48" s="200"/>
      <c r="E48" s="200"/>
      <c r="F48" s="200"/>
      <c r="G48" s="200"/>
      <c r="H48" s="200"/>
      <c r="I48" s="200"/>
      <c r="J48" s="200"/>
    </row>
  </sheetData>
  <mergeCells count="15">
    <mergeCell ref="A5:E7"/>
    <mergeCell ref="A2:J2"/>
    <mergeCell ref="A3:J3"/>
    <mergeCell ref="A4:J4"/>
    <mergeCell ref="F8:J8"/>
    <mergeCell ref="F7:J7"/>
    <mergeCell ref="A46:E46"/>
    <mergeCell ref="A48:J48"/>
    <mergeCell ref="F46:J46"/>
    <mergeCell ref="A43:E43"/>
    <mergeCell ref="A44:E44"/>
    <mergeCell ref="A45:E45"/>
    <mergeCell ref="F43:J43"/>
    <mergeCell ref="F44:J44"/>
    <mergeCell ref="F45:J45"/>
  </mergeCells>
  <hyperlinks>
    <hyperlink ref="F7" r:id="rId1" xr:uid="{00000000-0004-0000-4800-000000000000}"/>
    <hyperlink ref="F46" r:id="rId2" xr:uid="{00000000-0004-0000-4800-000001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14A1-E229-4E6E-A4D6-BB89C07A900C}">
  <sheetPr>
    <pageSetUpPr fitToPage="1"/>
  </sheetPr>
  <dimension ref="A1:Y51"/>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25" width="10.25" style="29" customWidth="1" collapsed="1"/>
    <col min="2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39"/>
      <c r="K2" s="239"/>
      <c r="L2" s="239"/>
      <c r="M2" s="239"/>
      <c r="N2" s="239"/>
      <c r="O2" s="239"/>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2"/>
      <c r="K3" s="242"/>
      <c r="L3" s="242"/>
      <c r="M3" s="242"/>
      <c r="N3" s="242"/>
      <c r="O3" s="242"/>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5"/>
      <c r="K4" s="245"/>
      <c r="L4" s="245"/>
      <c r="M4" s="245"/>
      <c r="N4" s="245"/>
      <c r="O4" s="245"/>
      <c r="P4" s="245"/>
      <c r="Q4" s="245"/>
      <c r="R4" s="245"/>
      <c r="S4" s="245"/>
      <c r="T4" s="246"/>
      <c r="U4" s="245"/>
      <c r="V4" s="245"/>
      <c r="W4" s="245"/>
      <c r="X4" s="245"/>
      <c r="Y4" s="246"/>
    </row>
    <row r="5" spans="1:25" ht="19.899999999999999" customHeight="1" x14ac:dyDescent="0.2">
      <c r="A5" s="247" t="s">
        <v>57</v>
      </c>
      <c r="B5" s="248"/>
      <c r="C5" s="248"/>
      <c r="D5" s="248"/>
      <c r="E5" s="248"/>
      <c r="F5" s="117" t="s">
        <v>98</v>
      </c>
      <c r="G5" s="118"/>
      <c r="H5" s="118"/>
      <c r="I5" s="118"/>
      <c r="J5" s="119"/>
      <c r="K5" s="117" t="s">
        <v>98</v>
      </c>
      <c r="L5" s="118"/>
      <c r="M5" s="118"/>
      <c r="N5" s="118"/>
      <c r="O5" s="119"/>
      <c r="P5" s="117" t="s">
        <v>101</v>
      </c>
      <c r="Q5" s="118"/>
      <c r="R5" s="118"/>
      <c r="S5" s="118"/>
      <c r="T5" s="120"/>
      <c r="U5" s="117" t="s">
        <v>101</v>
      </c>
      <c r="V5" s="118"/>
      <c r="W5" s="118"/>
      <c r="X5" s="118"/>
      <c r="Y5" s="120"/>
    </row>
    <row r="6" spans="1:25" ht="28.5" x14ac:dyDescent="0.2">
      <c r="A6" s="247"/>
      <c r="B6" s="248"/>
      <c r="C6" s="248"/>
      <c r="D6" s="248"/>
      <c r="E6" s="248"/>
      <c r="F6" s="121" t="s">
        <v>220</v>
      </c>
      <c r="G6" s="122"/>
      <c r="H6" s="122"/>
      <c r="I6" s="122"/>
      <c r="J6" s="123"/>
      <c r="K6" s="121" t="s">
        <v>221</v>
      </c>
      <c r="L6" s="122"/>
      <c r="M6" s="122"/>
      <c r="N6" s="122"/>
      <c r="O6" s="123"/>
      <c r="P6" s="121" t="s">
        <v>100</v>
      </c>
      <c r="Q6" s="122"/>
      <c r="R6" s="122"/>
      <c r="S6" s="122"/>
      <c r="T6" s="124"/>
      <c r="U6" s="121" t="s">
        <v>102</v>
      </c>
      <c r="V6" s="122"/>
      <c r="W6" s="122"/>
      <c r="X6" s="122"/>
      <c r="Y6" s="124"/>
    </row>
    <row r="7" spans="1:25" ht="19.899999999999999" customHeight="1" x14ac:dyDescent="0.2">
      <c r="A7" s="247"/>
      <c r="B7" s="248"/>
      <c r="C7" s="248"/>
      <c r="D7" s="248"/>
      <c r="E7" s="248"/>
      <c r="F7" s="235"/>
      <c r="G7" s="236"/>
      <c r="H7" s="236"/>
      <c r="I7" s="236"/>
      <c r="J7" s="249"/>
      <c r="K7" s="235" t="s">
        <v>58</v>
      </c>
      <c r="L7" s="236"/>
      <c r="M7" s="236"/>
      <c r="N7" s="236"/>
      <c r="O7" s="249"/>
      <c r="P7" s="235" t="s">
        <v>58</v>
      </c>
      <c r="Q7" s="236"/>
      <c r="R7" s="236"/>
      <c r="S7" s="236"/>
      <c r="T7" s="237"/>
      <c r="U7" s="235" t="s">
        <v>58</v>
      </c>
      <c r="V7" s="236"/>
      <c r="W7" s="236"/>
      <c r="X7" s="236"/>
      <c r="Y7" s="237"/>
    </row>
    <row r="8" spans="1:25" ht="16.149999999999999" customHeight="1" x14ac:dyDescent="0.2">
      <c r="A8" s="43"/>
      <c r="B8" s="44"/>
      <c r="C8" s="44"/>
      <c r="D8" s="44"/>
      <c r="E8" s="44"/>
      <c r="F8" s="211" t="s">
        <v>1</v>
      </c>
      <c r="G8" s="212"/>
      <c r="H8" s="212"/>
      <c r="I8" s="212"/>
      <c r="J8" s="213"/>
      <c r="K8" s="211" t="s">
        <v>2</v>
      </c>
      <c r="L8" s="212"/>
      <c r="M8" s="212"/>
      <c r="N8" s="212"/>
      <c r="O8" s="213"/>
      <c r="P8" s="232" t="s">
        <v>51</v>
      </c>
      <c r="Q8" s="233"/>
      <c r="R8" s="233"/>
      <c r="S8" s="233"/>
      <c r="T8" s="234"/>
      <c r="U8" s="232" t="s">
        <v>36</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34" t="s">
        <v>66</v>
      </c>
      <c r="K9" s="32" t="s">
        <v>68</v>
      </c>
      <c r="L9" s="33" t="s">
        <v>32</v>
      </c>
      <c r="M9" s="33" t="s">
        <v>64</v>
      </c>
      <c r="N9" s="33" t="s">
        <v>65</v>
      </c>
      <c r="O9" s="34"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2347.16</v>
      </c>
      <c r="G10" s="53">
        <v>2347.16</v>
      </c>
      <c r="H10" s="53">
        <v>2347.16</v>
      </c>
      <c r="I10" s="53">
        <v>0</v>
      </c>
      <c r="J10" s="53">
        <v>0</v>
      </c>
      <c r="K10" s="53">
        <v>3483.17</v>
      </c>
      <c r="L10" s="53">
        <v>3483.17</v>
      </c>
      <c r="M10" s="53">
        <v>3483.17</v>
      </c>
      <c r="N10" s="53">
        <v>0</v>
      </c>
      <c r="O10" s="53">
        <v>0</v>
      </c>
      <c r="P10" s="53">
        <v>1386.79</v>
      </c>
      <c r="Q10" s="53">
        <v>633.52</v>
      </c>
      <c r="R10" s="53">
        <v>633.52</v>
      </c>
      <c r="S10" s="53">
        <v>0</v>
      </c>
      <c r="T10" s="54">
        <v>0</v>
      </c>
      <c r="U10" s="53">
        <v>1510.51</v>
      </c>
      <c r="V10" s="53">
        <v>690.03</v>
      </c>
      <c r="W10" s="53">
        <v>690.03</v>
      </c>
      <c r="X10" s="53">
        <v>0</v>
      </c>
      <c r="Y10" s="54">
        <v>0</v>
      </c>
    </row>
    <row r="11" spans="1:25" x14ac:dyDescent="0.2">
      <c r="A11" s="50" t="s">
        <v>106</v>
      </c>
      <c r="B11" s="51" t="s">
        <v>107</v>
      </c>
      <c r="C11" s="51"/>
      <c r="D11" s="52">
        <v>27837</v>
      </c>
      <c r="E11" s="51" t="s">
        <v>105</v>
      </c>
      <c r="F11" s="53"/>
      <c r="G11" s="53"/>
      <c r="H11" s="53">
        <v>0</v>
      </c>
      <c r="I11" s="53">
        <v>0</v>
      </c>
      <c r="J11" s="53"/>
      <c r="K11" s="53"/>
      <c r="L11" s="53"/>
      <c r="M11" s="53">
        <v>0</v>
      </c>
      <c r="N11" s="53">
        <v>0</v>
      </c>
      <c r="O11" s="53"/>
      <c r="P11" s="53"/>
      <c r="Q11" s="53">
        <v>483.75</v>
      </c>
      <c r="R11" s="53">
        <v>483.75</v>
      </c>
      <c r="S11" s="53">
        <v>0</v>
      </c>
      <c r="T11" s="54"/>
      <c r="U11" s="53"/>
      <c r="V11" s="53">
        <v>526.91</v>
      </c>
      <c r="W11" s="53">
        <v>526.91</v>
      </c>
      <c r="X11" s="53">
        <v>0</v>
      </c>
      <c r="Y11" s="54"/>
    </row>
    <row r="12" spans="1:25" x14ac:dyDescent="0.2">
      <c r="A12" s="50" t="s">
        <v>108</v>
      </c>
      <c r="B12" s="51" t="s">
        <v>109</v>
      </c>
      <c r="C12" s="51"/>
      <c r="D12" s="52">
        <v>38648</v>
      </c>
      <c r="E12" s="51" t="s">
        <v>105</v>
      </c>
      <c r="F12" s="53"/>
      <c r="G12" s="53"/>
      <c r="H12" s="53">
        <v>0</v>
      </c>
      <c r="I12" s="53">
        <v>0</v>
      </c>
      <c r="J12" s="53"/>
      <c r="K12" s="53"/>
      <c r="L12" s="53"/>
      <c r="M12" s="53">
        <v>0</v>
      </c>
      <c r="N12" s="53">
        <v>0</v>
      </c>
      <c r="O12" s="53"/>
      <c r="P12" s="53"/>
      <c r="Q12" s="53">
        <v>269.52</v>
      </c>
      <c r="R12" s="53">
        <v>269.52</v>
      </c>
      <c r="S12" s="53">
        <v>0</v>
      </c>
      <c r="T12" s="54"/>
      <c r="U12" s="53"/>
      <c r="V12" s="53">
        <v>293.57</v>
      </c>
      <c r="W12" s="53">
        <v>293.57</v>
      </c>
      <c r="X12" s="53">
        <v>0</v>
      </c>
      <c r="Y12" s="54"/>
    </row>
    <row r="13" spans="1:25" x14ac:dyDescent="0.2">
      <c r="A13" s="50" t="s">
        <v>110</v>
      </c>
      <c r="B13" s="51" t="s">
        <v>65</v>
      </c>
      <c r="C13" s="51" t="s">
        <v>65</v>
      </c>
      <c r="D13" s="52">
        <v>36345</v>
      </c>
      <c r="E13" s="51" t="s">
        <v>111</v>
      </c>
      <c r="F13" s="53">
        <v>746.11</v>
      </c>
      <c r="G13" s="53">
        <v>746.11</v>
      </c>
      <c r="H13" s="53">
        <v>746.11</v>
      </c>
      <c r="I13" s="53">
        <v>0</v>
      </c>
      <c r="J13" s="53">
        <v>0</v>
      </c>
      <c r="K13" s="53">
        <v>1090.3599999999999</v>
      </c>
      <c r="L13" s="53">
        <v>1090.3599999999999</v>
      </c>
      <c r="M13" s="53">
        <v>1090.3599999999999</v>
      </c>
      <c r="N13" s="53">
        <v>0</v>
      </c>
      <c r="O13" s="53">
        <v>0</v>
      </c>
      <c r="P13" s="53">
        <v>347.32</v>
      </c>
      <c r="Q13" s="53">
        <v>347.32</v>
      </c>
      <c r="R13" s="53">
        <v>347.32</v>
      </c>
      <c r="S13" s="53">
        <v>0</v>
      </c>
      <c r="T13" s="54">
        <v>0</v>
      </c>
      <c r="U13" s="53">
        <v>378.31</v>
      </c>
      <c r="V13" s="53">
        <v>378.31</v>
      </c>
      <c r="W13" s="53">
        <v>378.31</v>
      </c>
      <c r="X13" s="53">
        <v>0</v>
      </c>
      <c r="Y13" s="54">
        <v>0</v>
      </c>
    </row>
    <row r="14" spans="1:25" x14ac:dyDescent="0.2">
      <c r="A14" s="50" t="s">
        <v>112</v>
      </c>
      <c r="B14" s="51" t="s">
        <v>65</v>
      </c>
      <c r="C14" s="51" t="s">
        <v>104</v>
      </c>
      <c r="D14" s="52">
        <v>24895</v>
      </c>
      <c r="E14" s="51" t="s">
        <v>113</v>
      </c>
      <c r="F14" s="53">
        <v>2347.16</v>
      </c>
      <c r="G14" s="53">
        <v>2347.16</v>
      </c>
      <c r="H14" s="53">
        <v>2347.16</v>
      </c>
      <c r="I14" s="53">
        <v>0</v>
      </c>
      <c r="J14" s="53">
        <v>0</v>
      </c>
      <c r="K14" s="53">
        <v>3483.17</v>
      </c>
      <c r="L14" s="53">
        <v>3483.17</v>
      </c>
      <c r="M14" s="53">
        <v>3483.17</v>
      </c>
      <c r="N14" s="53">
        <v>0</v>
      </c>
      <c r="O14" s="53">
        <v>0</v>
      </c>
      <c r="P14" s="53">
        <v>1515.99</v>
      </c>
      <c r="Q14" s="53">
        <v>612.95000000000005</v>
      </c>
      <c r="R14" s="53">
        <v>612.95000000000005</v>
      </c>
      <c r="S14" s="53">
        <v>0</v>
      </c>
      <c r="T14" s="54">
        <v>0</v>
      </c>
      <c r="U14" s="53">
        <v>1651.24</v>
      </c>
      <c r="V14" s="53">
        <v>667.64</v>
      </c>
      <c r="W14" s="53">
        <v>667.64</v>
      </c>
      <c r="X14" s="53">
        <v>0</v>
      </c>
      <c r="Y14" s="54">
        <v>0</v>
      </c>
    </row>
    <row r="15" spans="1:25" x14ac:dyDescent="0.2">
      <c r="A15" s="50" t="s">
        <v>114</v>
      </c>
      <c r="B15" s="51" t="s">
        <v>107</v>
      </c>
      <c r="C15" s="51"/>
      <c r="D15" s="52">
        <v>24269</v>
      </c>
      <c r="E15" s="51" t="s">
        <v>113</v>
      </c>
      <c r="F15" s="53"/>
      <c r="G15" s="53"/>
      <c r="H15" s="53">
        <v>0</v>
      </c>
      <c r="I15" s="53">
        <v>0</v>
      </c>
      <c r="J15" s="53"/>
      <c r="K15" s="53"/>
      <c r="L15" s="53"/>
      <c r="M15" s="53">
        <v>0</v>
      </c>
      <c r="N15" s="53">
        <v>0</v>
      </c>
      <c r="O15" s="53"/>
      <c r="P15" s="53"/>
      <c r="Q15" s="53">
        <v>633.52</v>
      </c>
      <c r="R15" s="53">
        <v>633.52</v>
      </c>
      <c r="S15" s="53">
        <v>0</v>
      </c>
      <c r="T15" s="54"/>
      <c r="U15" s="53"/>
      <c r="V15" s="53">
        <v>690.03</v>
      </c>
      <c r="W15" s="53">
        <v>690.03</v>
      </c>
      <c r="X15" s="53">
        <v>0</v>
      </c>
      <c r="Y15" s="54"/>
    </row>
    <row r="16" spans="1:25" x14ac:dyDescent="0.2">
      <c r="A16" s="50" t="s">
        <v>115</v>
      </c>
      <c r="B16" s="51" t="s">
        <v>109</v>
      </c>
      <c r="C16" s="51"/>
      <c r="D16" s="52">
        <v>38614</v>
      </c>
      <c r="E16" s="51" t="s">
        <v>113</v>
      </c>
      <c r="F16" s="53"/>
      <c r="G16" s="53"/>
      <c r="H16" s="53">
        <v>0</v>
      </c>
      <c r="I16" s="53">
        <v>0</v>
      </c>
      <c r="J16" s="53"/>
      <c r="K16" s="53"/>
      <c r="L16" s="53"/>
      <c r="M16" s="53">
        <v>0</v>
      </c>
      <c r="N16" s="53">
        <v>0</v>
      </c>
      <c r="O16" s="53"/>
      <c r="P16" s="53"/>
      <c r="Q16" s="53">
        <v>269.52</v>
      </c>
      <c r="R16" s="53">
        <v>269.52</v>
      </c>
      <c r="S16" s="53">
        <v>0</v>
      </c>
      <c r="T16" s="54"/>
      <c r="U16" s="53"/>
      <c r="V16" s="53">
        <v>293.57</v>
      </c>
      <c r="W16" s="53">
        <v>293.57</v>
      </c>
      <c r="X16" s="53">
        <v>0</v>
      </c>
      <c r="Y16" s="54"/>
    </row>
    <row r="17" spans="1:25" x14ac:dyDescent="0.2">
      <c r="A17" s="50" t="s">
        <v>116</v>
      </c>
      <c r="B17" s="51" t="s">
        <v>65</v>
      </c>
      <c r="C17" s="51" t="s">
        <v>117</v>
      </c>
      <c r="D17" s="52">
        <v>18453</v>
      </c>
      <c r="E17" s="51" t="s">
        <v>118</v>
      </c>
      <c r="F17" s="53">
        <v>1651.05</v>
      </c>
      <c r="G17" s="53">
        <v>1651.05</v>
      </c>
      <c r="H17" s="53">
        <v>1651.05</v>
      </c>
      <c r="I17" s="53">
        <v>0</v>
      </c>
      <c r="J17" s="53">
        <v>0</v>
      </c>
      <c r="K17" s="53">
        <v>2442.8200000000002</v>
      </c>
      <c r="L17" s="53">
        <v>2442.8200000000002</v>
      </c>
      <c r="M17" s="53">
        <v>2442.8200000000002</v>
      </c>
      <c r="N17" s="53">
        <v>0</v>
      </c>
      <c r="O17" s="53">
        <v>0</v>
      </c>
      <c r="P17" s="53">
        <v>1267.04</v>
      </c>
      <c r="Q17" s="53">
        <v>633.52</v>
      </c>
      <c r="R17" s="53">
        <v>633.52</v>
      </c>
      <c r="S17" s="53">
        <v>0</v>
      </c>
      <c r="T17" s="54">
        <v>0</v>
      </c>
      <c r="U17" s="53">
        <v>1380.06</v>
      </c>
      <c r="V17" s="53">
        <v>690.03</v>
      </c>
      <c r="W17" s="53">
        <v>690.03</v>
      </c>
      <c r="X17" s="53">
        <v>0</v>
      </c>
      <c r="Y17" s="54">
        <v>0</v>
      </c>
    </row>
    <row r="18" spans="1:25" x14ac:dyDescent="0.2">
      <c r="A18" s="50" t="s">
        <v>119</v>
      </c>
      <c r="B18" s="51" t="s">
        <v>107</v>
      </c>
      <c r="C18" s="51"/>
      <c r="D18" s="52">
        <v>19761</v>
      </c>
      <c r="E18" s="51" t="s">
        <v>118</v>
      </c>
      <c r="F18" s="53"/>
      <c r="G18" s="53"/>
      <c r="H18" s="53">
        <v>0</v>
      </c>
      <c r="I18" s="53">
        <v>0</v>
      </c>
      <c r="J18" s="53"/>
      <c r="K18" s="53"/>
      <c r="L18" s="53"/>
      <c r="M18" s="53">
        <v>0</v>
      </c>
      <c r="N18" s="53">
        <v>0</v>
      </c>
      <c r="O18" s="53"/>
      <c r="P18" s="53"/>
      <c r="Q18" s="53">
        <v>633.52</v>
      </c>
      <c r="R18" s="53">
        <v>633.52</v>
      </c>
      <c r="S18" s="53">
        <v>0</v>
      </c>
      <c r="T18" s="54"/>
      <c r="U18" s="53"/>
      <c r="V18" s="53">
        <v>690.03</v>
      </c>
      <c r="W18" s="53">
        <v>690.03</v>
      </c>
      <c r="X18" s="53">
        <v>0</v>
      </c>
      <c r="Y18" s="54"/>
    </row>
    <row r="19" spans="1:25" x14ac:dyDescent="0.2">
      <c r="A19" s="50" t="s">
        <v>120</v>
      </c>
      <c r="B19" s="51" t="s">
        <v>65</v>
      </c>
      <c r="C19" s="51" t="s">
        <v>65</v>
      </c>
      <c r="D19" s="52">
        <v>35733</v>
      </c>
      <c r="E19" s="51" t="s">
        <v>121</v>
      </c>
      <c r="F19" s="53">
        <v>746.11</v>
      </c>
      <c r="G19" s="53">
        <v>746.11</v>
      </c>
      <c r="H19" s="53">
        <v>746.11</v>
      </c>
      <c r="I19" s="53">
        <v>0</v>
      </c>
      <c r="J19" s="53">
        <v>0</v>
      </c>
      <c r="K19" s="53">
        <v>1090.3599999999999</v>
      </c>
      <c r="L19" s="53">
        <v>1090.3599999999999</v>
      </c>
      <c r="M19" s="53">
        <v>1090.3599999999999</v>
      </c>
      <c r="N19" s="53">
        <v>0</v>
      </c>
      <c r="O19" s="53">
        <v>0</v>
      </c>
      <c r="P19" s="53">
        <v>347.32</v>
      </c>
      <c r="Q19" s="53">
        <v>347.32</v>
      </c>
      <c r="R19" s="53">
        <v>347.32</v>
      </c>
      <c r="S19" s="53">
        <v>0</v>
      </c>
      <c r="T19" s="54">
        <v>0</v>
      </c>
      <c r="U19" s="53">
        <v>378.31</v>
      </c>
      <c r="V19" s="53">
        <v>378.31</v>
      </c>
      <c r="W19" s="53">
        <v>378.31</v>
      </c>
      <c r="X19" s="53">
        <v>0</v>
      </c>
      <c r="Y19" s="54">
        <v>0</v>
      </c>
    </row>
    <row r="20" spans="1:25" x14ac:dyDescent="0.2">
      <c r="A20" s="50" t="s">
        <v>122</v>
      </c>
      <c r="B20" s="51" t="s">
        <v>65</v>
      </c>
      <c r="C20" s="51" t="s">
        <v>104</v>
      </c>
      <c r="D20" s="52">
        <v>24958</v>
      </c>
      <c r="E20" s="51" t="s">
        <v>123</v>
      </c>
      <c r="F20" s="53">
        <v>2347.16</v>
      </c>
      <c r="G20" s="53">
        <v>2347.16</v>
      </c>
      <c r="H20" s="53">
        <v>2347.16</v>
      </c>
      <c r="I20" s="53">
        <v>0</v>
      </c>
      <c r="J20" s="53">
        <v>0</v>
      </c>
      <c r="K20" s="53">
        <v>3483.17</v>
      </c>
      <c r="L20" s="53">
        <v>3483.17</v>
      </c>
      <c r="M20" s="53">
        <v>3483.17</v>
      </c>
      <c r="N20" s="53">
        <v>0</v>
      </c>
      <c r="O20" s="53">
        <v>0</v>
      </c>
      <c r="P20" s="53">
        <v>1739.1</v>
      </c>
      <c r="Q20" s="53">
        <v>612.95000000000005</v>
      </c>
      <c r="R20" s="53">
        <v>612.95000000000005</v>
      </c>
      <c r="S20" s="53">
        <v>0</v>
      </c>
      <c r="T20" s="54">
        <v>0</v>
      </c>
      <c r="U20" s="53">
        <v>1894.27</v>
      </c>
      <c r="V20" s="53">
        <v>667.64</v>
      </c>
      <c r="W20" s="53">
        <v>667.64</v>
      </c>
      <c r="X20" s="53">
        <v>0</v>
      </c>
      <c r="Y20" s="54">
        <v>0</v>
      </c>
    </row>
    <row r="21" spans="1:25" x14ac:dyDescent="0.2">
      <c r="A21" s="50" t="s">
        <v>124</v>
      </c>
      <c r="B21" s="51" t="s">
        <v>107</v>
      </c>
      <c r="C21" s="51"/>
      <c r="D21" s="52">
        <v>25342</v>
      </c>
      <c r="E21" s="51" t="s">
        <v>123</v>
      </c>
      <c r="F21" s="53"/>
      <c r="G21" s="53"/>
      <c r="H21" s="53">
        <v>0</v>
      </c>
      <c r="I21" s="53">
        <v>0</v>
      </c>
      <c r="J21" s="53"/>
      <c r="K21" s="53"/>
      <c r="L21" s="53"/>
      <c r="M21" s="53">
        <v>0</v>
      </c>
      <c r="N21" s="53">
        <v>0</v>
      </c>
      <c r="O21" s="53"/>
      <c r="P21" s="53"/>
      <c r="Q21" s="53">
        <v>595.16999999999996</v>
      </c>
      <c r="R21" s="53">
        <v>595.16999999999996</v>
      </c>
      <c r="S21" s="53">
        <v>0</v>
      </c>
      <c r="T21" s="54"/>
      <c r="U21" s="53"/>
      <c r="V21" s="53">
        <v>648.27</v>
      </c>
      <c r="W21" s="53">
        <v>648.27</v>
      </c>
      <c r="X21" s="53">
        <v>0</v>
      </c>
      <c r="Y21" s="54"/>
    </row>
    <row r="22" spans="1:25" x14ac:dyDescent="0.2">
      <c r="A22" s="50" t="s">
        <v>125</v>
      </c>
      <c r="B22" s="51" t="s">
        <v>109</v>
      </c>
      <c r="C22" s="51"/>
      <c r="D22" s="52">
        <v>38632</v>
      </c>
      <c r="E22" s="51" t="s">
        <v>123</v>
      </c>
      <c r="F22" s="53"/>
      <c r="G22" s="53"/>
      <c r="H22" s="53">
        <v>0</v>
      </c>
      <c r="I22" s="53">
        <v>0</v>
      </c>
      <c r="J22" s="53"/>
      <c r="K22" s="53"/>
      <c r="L22" s="53"/>
      <c r="M22" s="53">
        <v>0</v>
      </c>
      <c r="N22" s="53">
        <v>0</v>
      </c>
      <c r="O22" s="53"/>
      <c r="P22" s="53"/>
      <c r="Q22" s="53">
        <v>269.52</v>
      </c>
      <c r="R22" s="53">
        <v>269.52</v>
      </c>
      <c r="S22" s="53">
        <v>0</v>
      </c>
      <c r="T22" s="54"/>
      <c r="U22" s="53"/>
      <c r="V22" s="53">
        <v>293.57</v>
      </c>
      <c r="W22" s="53">
        <v>293.57</v>
      </c>
      <c r="X22" s="53">
        <v>0</v>
      </c>
      <c r="Y22" s="54"/>
    </row>
    <row r="23" spans="1:25" x14ac:dyDescent="0.2">
      <c r="A23" s="50" t="s">
        <v>126</v>
      </c>
      <c r="B23" s="51" t="s">
        <v>109</v>
      </c>
      <c r="C23" s="51"/>
      <c r="D23" s="52">
        <v>39092</v>
      </c>
      <c r="E23" s="51" t="s">
        <v>123</v>
      </c>
      <c r="F23" s="53"/>
      <c r="G23" s="53"/>
      <c r="H23" s="53">
        <v>0</v>
      </c>
      <c r="I23" s="53">
        <v>0</v>
      </c>
      <c r="J23" s="53"/>
      <c r="K23" s="53"/>
      <c r="L23" s="53"/>
      <c r="M23" s="53">
        <v>0</v>
      </c>
      <c r="N23" s="53">
        <v>0</v>
      </c>
      <c r="O23" s="53"/>
      <c r="P23" s="53"/>
      <c r="Q23" s="53">
        <v>261.45999999999998</v>
      </c>
      <c r="R23" s="53">
        <v>261.45999999999998</v>
      </c>
      <c r="S23" s="53">
        <v>0</v>
      </c>
      <c r="T23" s="54"/>
      <c r="U23" s="53"/>
      <c r="V23" s="53">
        <v>284.79000000000002</v>
      </c>
      <c r="W23" s="53">
        <v>284.79000000000002</v>
      </c>
      <c r="X23" s="53">
        <v>0</v>
      </c>
      <c r="Y23" s="54"/>
    </row>
    <row r="24" spans="1:25" x14ac:dyDescent="0.2">
      <c r="A24" s="50" t="s">
        <v>127</v>
      </c>
      <c r="B24" s="51" t="s">
        <v>65</v>
      </c>
      <c r="C24" s="51" t="s">
        <v>117</v>
      </c>
      <c r="D24" s="52">
        <v>21309</v>
      </c>
      <c r="E24" s="51" t="s">
        <v>96</v>
      </c>
      <c r="F24" s="53">
        <v>1651.05</v>
      </c>
      <c r="G24" s="53">
        <v>1651.05</v>
      </c>
      <c r="H24" s="53">
        <v>1651.05</v>
      </c>
      <c r="I24" s="53">
        <v>0</v>
      </c>
      <c r="J24" s="53">
        <v>0</v>
      </c>
      <c r="K24" s="53">
        <v>2442.8200000000002</v>
      </c>
      <c r="L24" s="53">
        <v>2442.8200000000002</v>
      </c>
      <c r="M24" s="53">
        <v>2442.8200000000002</v>
      </c>
      <c r="N24" s="53">
        <v>0</v>
      </c>
      <c r="O24" s="53">
        <v>0</v>
      </c>
      <c r="P24" s="53">
        <v>1267.04</v>
      </c>
      <c r="Q24" s="53">
        <v>633.52</v>
      </c>
      <c r="R24" s="53">
        <v>633.52</v>
      </c>
      <c r="S24" s="53">
        <v>0</v>
      </c>
      <c r="T24" s="54">
        <v>0</v>
      </c>
      <c r="U24" s="53">
        <v>1380.06</v>
      </c>
      <c r="V24" s="53">
        <v>690.03</v>
      </c>
      <c r="W24" s="53">
        <v>690.03</v>
      </c>
      <c r="X24" s="53">
        <v>0</v>
      </c>
      <c r="Y24" s="54">
        <v>0</v>
      </c>
    </row>
    <row r="25" spans="1:25" x14ac:dyDescent="0.2">
      <c r="A25" s="50" t="s">
        <v>128</v>
      </c>
      <c r="B25" s="51" t="s">
        <v>107</v>
      </c>
      <c r="C25" s="51"/>
      <c r="D25" s="52">
        <v>23570</v>
      </c>
      <c r="E25" s="51" t="s">
        <v>96</v>
      </c>
      <c r="F25" s="53"/>
      <c r="G25" s="53"/>
      <c r="H25" s="53">
        <v>0</v>
      </c>
      <c r="I25" s="53">
        <v>0</v>
      </c>
      <c r="J25" s="53"/>
      <c r="K25" s="53"/>
      <c r="L25" s="53"/>
      <c r="M25" s="53">
        <v>0</v>
      </c>
      <c r="N25" s="53">
        <v>0</v>
      </c>
      <c r="O25" s="53"/>
      <c r="P25" s="53"/>
      <c r="Q25" s="53">
        <v>633.52</v>
      </c>
      <c r="R25" s="53">
        <v>633.52</v>
      </c>
      <c r="S25" s="53">
        <v>0</v>
      </c>
      <c r="T25" s="54"/>
      <c r="U25" s="53"/>
      <c r="V25" s="53">
        <v>690.03</v>
      </c>
      <c r="W25" s="53">
        <v>690.03</v>
      </c>
      <c r="X25" s="53">
        <v>0</v>
      </c>
      <c r="Y25" s="54"/>
    </row>
    <row r="26" spans="1:25" x14ac:dyDescent="0.2">
      <c r="A26" s="50" t="s">
        <v>129</v>
      </c>
      <c r="B26" s="51" t="s">
        <v>65</v>
      </c>
      <c r="C26" s="51" t="s">
        <v>65</v>
      </c>
      <c r="D26" s="52">
        <v>24147</v>
      </c>
      <c r="E26" s="51" t="s">
        <v>113</v>
      </c>
      <c r="F26" s="53">
        <v>746.11</v>
      </c>
      <c r="G26" s="53">
        <v>746.11</v>
      </c>
      <c r="H26" s="53">
        <v>746.11</v>
      </c>
      <c r="I26" s="53">
        <v>0</v>
      </c>
      <c r="J26" s="53">
        <v>0</v>
      </c>
      <c r="K26" s="53">
        <v>1090.3599999999999</v>
      </c>
      <c r="L26" s="53">
        <v>1090.3599999999999</v>
      </c>
      <c r="M26" s="53">
        <v>1090.3599999999999</v>
      </c>
      <c r="N26" s="53">
        <v>0</v>
      </c>
      <c r="O26" s="53">
        <v>0</v>
      </c>
      <c r="P26" s="53">
        <v>633.52</v>
      </c>
      <c r="Q26" s="53">
        <v>633.52</v>
      </c>
      <c r="R26" s="53">
        <v>633.52</v>
      </c>
      <c r="S26" s="53">
        <v>0</v>
      </c>
      <c r="T26" s="54">
        <v>0</v>
      </c>
      <c r="U26" s="53">
        <v>690.03</v>
      </c>
      <c r="V26" s="53">
        <v>690.03</v>
      </c>
      <c r="W26" s="53">
        <v>690.03</v>
      </c>
      <c r="X26" s="53">
        <v>0</v>
      </c>
      <c r="Y26" s="54">
        <v>0</v>
      </c>
    </row>
    <row r="27" spans="1:25" x14ac:dyDescent="0.2">
      <c r="A27" s="50" t="s">
        <v>130</v>
      </c>
      <c r="B27" s="51" t="s">
        <v>65</v>
      </c>
      <c r="C27" s="51" t="s">
        <v>65</v>
      </c>
      <c r="D27" s="52">
        <v>25210</v>
      </c>
      <c r="E27" s="51" t="s">
        <v>131</v>
      </c>
      <c r="F27" s="53">
        <v>746.11</v>
      </c>
      <c r="G27" s="53">
        <v>746.11</v>
      </c>
      <c r="H27" s="53">
        <v>746.11</v>
      </c>
      <c r="I27" s="53">
        <v>0</v>
      </c>
      <c r="J27" s="53">
        <v>0</v>
      </c>
      <c r="K27" s="53">
        <v>1090.3599999999999</v>
      </c>
      <c r="L27" s="53">
        <v>1090.3599999999999</v>
      </c>
      <c r="M27" s="53">
        <v>1090.3599999999999</v>
      </c>
      <c r="N27" s="53">
        <v>0</v>
      </c>
      <c r="O27" s="53">
        <v>0</v>
      </c>
      <c r="P27" s="53">
        <v>595.16999999999996</v>
      </c>
      <c r="Q27" s="53">
        <v>595.16999999999996</v>
      </c>
      <c r="R27" s="53">
        <v>595.16999999999996</v>
      </c>
      <c r="S27" s="53">
        <v>0</v>
      </c>
      <c r="T27" s="54">
        <v>0</v>
      </c>
      <c r="U27" s="53">
        <v>648.27</v>
      </c>
      <c r="V27" s="53">
        <v>648.27</v>
      </c>
      <c r="W27" s="53">
        <v>648.27</v>
      </c>
      <c r="X27" s="53">
        <v>0</v>
      </c>
      <c r="Y27" s="54">
        <v>0</v>
      </c>
    </row>
    <row r="28" spans="1:25" x14ac:dyDescent="0.2">
      <c r="A28" s="50" t="s">
        <v>132</v>
      </c>
      <c r="B28" s="51" t="s">
        <v>65</v>
      </c>
      <c r="C28" s="51" t="s">
        <v>65</v>
      </c>
      <c r="D28" s="52">
        <v>35103</v>
      </c>
      <c r="E28" s="51" t="s">
        <v>113</v>
      </c>
      <c r="F28" s="53">
        <v>746.11</v>
      </c>
      <c r="G28" s="53">
        <v>746.11</v>
      </c>
      <c r="H28" s="53">
        <v>746.11</v>
      </c>
      <c r="I28" s="53">
        <v>0</v>
      </c>
      <c r="J28" s="53">
        <v>0</v>
      </c>
      <c r="K28" s="53">
        <v>1090.3599999999999</v>
      </c>
      <c r="L28" s="53">
        <v>1090.3599999999999</v>
      </c>
      <c r="M28" s="53">
        <v>1090.3599999999999</v>
      </c>
      <c r="N28" s="53">
        <v>0</v>
      </c>
      <c r="O28" s="53">
        <v>0</v>
      </c>
      <c r="P28" s="53">
        <v>357.6</v>
      </c>
      <c r="Q28" s="53">
        <v>357.6</v>
      </c>
      <c r="R28" s="53">
        <v>357.6</v>
      </c>
      <c r="S28" s="53">
        <v>0</v>
      </c>
      <c r="T28" s="54">
        <v>0</v>
      </c>
      <c r="U28" s="53">
        <v>389.51</v>
      </c>
      <c r="V28" s="53">
        <v>389.51</v>
      </c>
      <c r="W28" s="53">
        <v>389.51</v>
      </c>
      <c r="X28" s="53">
        <v>0</v>
      </c>
      <c r="Y28" s="54">
        <v>0</v>
      </c>
    </row>
    <row r="29" spans="1:25" x14ac:dyDescent="0.2">
      <c r="A29" s="50" t="s">
        <v>133</v>
      </c>
      <c r="B29" s="51" t="s">
        <v>65</v>
      </c>
      <c r="C29" s="51" t="s">
        <v>117</v>
      </c>
      <c r="D29" s="52">
        <v>27399</v>
      </c>
      <c r="E29" s="51" t="s">
        <v>113</v>
      </c>
      <c r="F29" s="53">
        <v>1651.05</v>
      </c>
      <c r="G29" s="53">
        <v>1651.05</v>
      </c>
      <c r="H29" s="53">
        <v>1651.05</v>
      </c>
      <c r="I29" s="53">
        <v>0</v>
      </c>
      <c r="J29" s="53">
        <v>0</v>
      </c>
      <c r="K29" s="53">
        <v>2442.8200000000002</v>
      </c>
      <c r="L29" s="53">
        <v>2442.8200000000002</v>
      </c>
      <c r="M29" s="53">
        <v>2442.8200000000002</v>
      </c>
      <c r="N29" s="53">
        <v>0</v>
      </c>
      <c r="O29" s="53">
        <v>0</v>
      </c>
      <c r="P29" s="53">
        <v>917.76</v>
      </c>
      <c r="Q29" s="53">
        <v>497.92</v>
      </c>
      <c r="R29" s="53">
        <v>497.92</v>
      </c>
      <c r="S29" s="53">
        <v>0</v>
      </c>
      <c r="T29" s="54">
        <v>0</v>
      </c>
      <c r="U29" s="53">
        <v>999.64</v>
      </c>
      <c r="V29" s="53">
        <v>542.34</v>
      </c>
      <c r="W29" s="53">
        <v>542.34</v>
      </c>
      <c r="X29" s="53">
        <v>0</v>
      </c>
      <c r="Y29" s="54">
        <v>0</v>
      </c>
    </row>
    <row r="30" spans="1:25" x14ac:dyDescent="0.2">
      <c r="A30" s="50" t="s">
        <v>134</v>
      </c>
      <c r="B30" s="51" t="s">
        <v>107</v>
      </c>
      <c r="C30" s="51"/>
      <c r="D30" s="52">
        <v>29502</v>
      </c>
      <c r="E30" s="51" t="s">
        <v>113</v>
      </c>
      <c r="F30" s="53"/>
      <c r="G30" s="53"/>
      <c r="H30" s="53">
        <v>0</v>
      </c>
      <c r="I30" s="53">
        <v>0</v>
      </c>
      <c r="J30" s="53"/>
      <c r="K30" s="53"/>
      <c r="L30" s="53"/>
      <c r="M30" s="53">
        <v>0</v>
      </c>
      <c r="N30" s="53">
        <v>0</v>
      </c>
      <c r="O30" s="53"/>
      <c r="P30" s="53"/>
      <c r="Q30" s="53">
        <v>419.84</v>
      </c>
      <c r="R30" s="53">
        <v>419.84</v>
      </c>
      <c r="S30" s="53">
        <v>0</v>
      </c>
      <c r="T30" s="54"/>
      <c r="U30" s="53"/>
      <c r="V30" s="53">
        <v>457.3</v>
      </c>
      <c r="W30" s="53">
        <v>457.3</v>
      </c>
      <c r="X30" s="53">
        <v>0</v>
      </c>
      <c r="Y30" s="54"/>
    </row>
    <row r="31" spans="1:25" x14ac:dyDescent="0.2">
      <c r="A31" s="50" t="s">
        <v>135</v>
      </c>
      <c r="B31" s="51" t="s">
        <v>65</v>
      </c>
      <c r="C31" s="51" t="s">
        <v>104</v>
      </c>
      <c r="D31" s="52">
        <v>24592</v>
      </c>
      <c r="E31" s="51" t="s">
        <v>111</v>
      </c>
      <c r="F31" s="53">
        <v>2347.16</v>
      </c>
      <c r="G31" s="53">
        <v>2347.16</v>
      </c>
      <c r="H31" s="53">
        <v>2347.16</v>
      </c>
      <c r="I31" s="53">
        <v>0</v>
      </c>
      <c r="J31" s="53">
        <v>0</v>
      </c>
      <c r="K31" s="53">
        <v>3483.17</v>
      </c>
      <c r="L31" s="53">
        <v>3483.17</v>
      </c>
      <c r="M31" s="53">
        <v>3483.17</v>
      </c>
      <c r="N31" s="53">
        <v>0</v>
      </c>
      <c r="O31" s="53">
        <v>0</v>
      </c>
      <c r="P31" s="53">
        <v>1614.36</v>
      </c>
      <c r="Q31" s="53">
        <v>633.52</v>
      </c>
      <c r="R31" s="53">
        <v>633.52</v>
      </c>
      <c r="S31" s="53">
        <v>0</v>
      </c>
      <c r="T31" s="54">
        <v>0</v>
      </c>
      <c r="U31" s="53">
        <v>1758.37</v>
      </c>
      <c r="V31" s="53">
        <v>690.03</v>
      </c>
      <c r="W31" s="53">
        <v>690.03</v>
      </c>
      <c r="X31" s="53">
        <v>0</v>
      </c>
      <c r="Y31" s="54">
        <v>0</v>
      </c>
    </row>
    <row r="32" spans="1:25" x14ac:dyDescent="0.2">
      <c r="A32" s="50" t="s">
        <v>136</v>
      </c>
      <c r="B32" s="51" t="s">
        <v>107</v>
      </c>
      <c r="C32" s="51"/>
      <c r="D32" s="52">
        <v>22616</v>
      </c>
      <c r="E32" s="51" t="s">
        <v>111</v>
      </c>
      <c r="F32" s="53"/>
      <c r="G32" s="53"/>
      <c r="H32" s="53">
        <v>0</v>
      </c>
      <c r="I32" s="53">
        <v>0</v>
      </c>
      <c r="J32" s="53"/>
      <c r="K32" s="53"/>
      <c r="L32" s="53"/>
      <c r="M32" s="53">
        <v>0</v>
      </c>
      <c r="N32" s="53">
        <v>0</v>
      </c>
      <c r="O32" s="53"/>
      <c r="P32" s="53"/>
      <c r="Q32" s="53">
        <v>633.52</v>
      </c>
      <c r="R32" s="53">
        <v>633.52</v>
      </c>
      <c r="S32" s="53">
        <v>0</v>
      </c>
      <c r="T32" s="54"/>
      <c r="U32" s="53"/>
      <c r="V32" s="53">
        <v>690.03</v>
      </c>
      <c r="W32" s="53">
        <v>690.03</v>
      </c>
      <c r="X32" s="53">
        <v>0</v>
      </c>
      <c r="Y32" s="54"/>
    </row>
    <row r="33" spans="1:25" x14ac:dyDescent="0.2">
      <c r="A33" s="50" t="s">
        <v>137</v>
      </c>
      <c r="B33" s="51" t="s">
        <v>109</v>
      </c>
      <c r="C33" s="51"/>
      <c r="D33" s="52">
        <v>37842</v>
      </c>
      <c r="E33" s="51" t="s">
        <v>111</v>
      </c>
      <c r="F33" s="53"/>
      <c r="G33" s="53"/>
      <c r="H33" s="53">
        <v>0</v>
      </c>
      <c r="I33" s="53">
        <v>0</v>
      </c>
      <c r="J33" s="53"/>
      <c r="K33" s="53"/>
      <c r="L33" s="53"/>
      <c r="M33" s="53">
        <v>0</v>
      </c>
      <c r="N33" s="53">
        <v>0</v>
      </c>
      <c r="O33" s="53"/>
      <c r="P33" s="53"/>
      <c r="Q33" s="53">
        <v>347.32</v>
      </c>
      <c r="R33" s="53">
        <v>347.32</v>
      </c>
      <c r="S33" s="53">
        <v>0</v>
      </c>
      <c r="T33" s="54"/>
      <c r="U33" s="53"/>
      <c r="V33" s="53">
        <v>378.31</v>
      </c>
      <c r="W33" s="53">
        <v>378.31</v>
      </c>
      <c r="X33" s="53">
        <v>0</v>
      </c>
      <c r="Y33" s="54"/>
    </row>
    <row r="34" spans="1:25" x14ac:dyDescent="0.2">
      <c r="A34" s="50" t="s">
        <v>138</v>
      </c>
      <c r="B34" s="51" t="s">
        <v>65</v>
      </c>
      <c r="C34" s="51" t="s">
        <v>65</v>
      </c>
      <c r="D34" s="52">
        <v>35401</v>
      </c>
      <c r="E34" s="51" t="s">
        <v>113</v>
      </c>
      <c r="F34" s="53">
        <v>746.11</v>
      </c>
      <c r="G34" s="53">
        <v>746.11</v>
      </c>
      <c r="H34" s="53">
        <v>746.11</v>
      </c>
      <c r="I34" s="53">
        <v>0</v>
      </c>
      <c r="J34" s="53">
        <v>0</v>
      </c>
      <c r="K34" s="53">
        <v>1090.3599999999999</v>
      </c>
      <c r="L34" s="53">
        <v>1090.3599999999999</v>
      </c>
      <c r="M34" s="53">
        <v>1090.3599999999999</v>
      </c>
      <c r="N34" s="53">
        <v>0</v>
      </c>
      <c r="O34" s="53">
        <v>0</v>
      </c>
      <c r="P34" s="53">
        <v>354.27</v>
      </c>
      <c r="Q34" s="53">
        <v>354.27</v>
      </c>
      <c r="R34" s="53">
        <v>354.27</v>
      </c>
      <c r="S34" s="53">
        <v>0</v>
      </c>
      <c r="T34" s="54">
        <v>0</v>
      </c>
      <c r="U34" s="53">
        <v>385.87</v>
      </c>
      <c r="V34" s="53">
        <v>385.87</v>
      </c>
      <c r="W34" s="53">
        <v>385.87</v>
      </c>
      <c r="X34" s="53">
        <v>0</v>
      </c>
      <c r="Y34" s="54">
        <v>0</v>
      </c>
    </row>
    <row r="35" spans="1:25" x14ac:dyDescent="0.2">
      <c r="A35" s="50" t="s">
        <v>139</v>
      </c>
      <c r="B35" s="51" t="s">
        <v>65</v>
      </c>
      <c r="C35" s="51" t="s">
        <v>65</v>
      </c>
      <c r="D35" s="52">
        <v>35453</v>
      </c>
      <c r="E35" s="51" t="s">
        <v>113</v>
      </c>
      <c r="F35" s="53">
        <v>746.11</v>
      </c>
      <c r="G35" s="53">
        <v>746.11</v>
      </c>
      <c r="H35" s="53">
        <v>746.11</v>
      </c>
      <c r="I35" s="53">
        <v>0</v>
      </c>
      <c r="J35" s="53">
        <v>0</v>
      </c>
      <c r="K35" s="53">
        <v>1090.3599999999999</v>
      </c>
      <c r="L35" s="53">
        <v>1090.3599999999999</v>
      </c>
      <c r="M35" s="53">
        <v>1090.3599999999999</v>
      </c>
      <c r="N35" s="53">
        <v>0</v>
      </c>
      <c r="O35" s="53">
        <v>0</v>
      </c>
      <c r="P35" s="53">
        <v>354.27</v>
      </c>
      <c r="Q35" s="53">
        <v>354.27</v>
      </c>
      <c r="R35" s="53">
        <v>354.27</v>
      </c>
      <c r="S35" s="53">
        <v>0</v>
      </c>
      <c r="T35" s="54">
        <v>0</v>
      </c>
      <c r="U35" s="53">
        <v>385.87</v>
      </c>
      <c r="V35" s="53">
        <v>385.87</v>
      </c>
      <c r="W35" s="53">
        <v>385.87</v>
      </c>
      <c r="X35" s="53">
        <v>0</v>
      </c>
      <c r="Y35" s="54">
        <v>0</v>
      </c>
    </row>
    <row r="36" spans="1:25" x14ac:dyDescent="0.2">
      <c r="A36" s="50" t="s">
        <v>140</v>
      </c>
      <c r="B36" s="51" t="s">
        <v>65</v>
      </c>
      <c r="C36" s="51" t="s">
        <v>65</v>
      </c>
      <c r="D36" s="52">
        <v>34864</v>
      </c>
      <c r="E36" s="51" t="s">
        <v>118</v>
      </c>
      <c r="F36" s="53">
        <v>746.11</v>
      </c>
      <c r="G36" s="53">
        <v>746.11</v>
      </c>
      <c r="H36" s="53">
        <v>746.11</v>
      </c>
      <c r="I36" s="53">
        <v>0</v>
      </c>
      <c r="J36" s="53">
        <v>0</v>
      </c>
      <c r="K36" s="53">
        <v>1090.3599999999999</v>
      </c>
      <c r="L36" s="53">
        <v>1090.3599999999999</v>
      </c>
      <c r="M36" s="53">
        <v>1090.3599999999999</v>
      </c>
      <c r="N36" s="53">
        <v>0</v>
      </c>
      <c r="O36" s="53">
        <v>0</v>
      </c>
      <c r="P36" s="53">
        <v>357.6</v>
      </c>
      <c r="Q36" s="53">
        <v>357.6</v>
      </c>
      <c r="R36" s="53">
        <v>357.6</v>
      </c>
      <c r="S36" s="53">
        <v>0</v>
      </c>
      <c r="T36" s="54">
        <v>0</v>
      </c>
      <c r="U36" s="53">
        <v>389.51</v>
      </c>
      <c r="V36" s="53">
        <v>389.51</v>
      </c>
      <c r="W36" s="53">
        <v>389.51</v>
      </c>
      <c r="X36" s="53">
        <v>0</v>
      </c>
      <c r="Y36" s="54">
        <v>0</v>
      </c>
    </row>
    <row r="37" spans="1:25" x14ac:dyDescent="0.2">
      <c r="A37" s="50" t="s">
        <v>141</v>
      </c>
      <c r="B37" s="51" t="s">
        <v>65</v>
      </c>
      <c r="C37" s="51" t="s">
        <v>104</v>
      </c>
      <c r="D37" s="52">
        <v>26666</v>
      </c>
      <c r="E37" s="51" t="s">
        <v>118</v>
      </c>
      <c r="F37" s="53">
        <v>2347.16</v>
      </c>
      <c r="G37" s="53">
        <v>2347.16</v>
      </c>
      <c r="H37" s="53">
        <v>2347.16</v>
      </c>
      <c r="I37" s="53">
        <v>0</v>
      </c>
      <c r="J37" s="53">
        <v>0</v>
      </c>
      <c r="K37" s="53">
        <v>3483.17</v>
      </c>
      <c r="L37" s="53">
        <v>3483.17</v>
      </c>
      <c r="M37" s="53">
        <v>3483.17</v>
      </c>
      <c r="N37" s="53">
        <v>0</v>
      </c>
      <c r="O37" s="53">
        <v>0</v>
      </c>
      <c r="P37" s="53">
        <v>1587.96</v>
      </c>
      <c r="Q37" s="53">
        <v>528.49</v>
      </c>
      <c r="R37" s="53">
        <v>528.49</v>
      </c>
      <c r="S37" s="53">
        <v>0</v>
      </c>
      <c r="T37" s="54">
        <v>0</v>
      </c>
      <c r="U37" s="53">
        <v>1729.63</v>
      </c>
      <c r="V37" s="53">
        <v>575.63</v>
      </c>
      <c r="W37" s="53">
        <v>575.63</v>
      </c>
      <c r="X37" s="53">
        <v>0</v>
      </c>
      <c r="Y37" s="54">
        <v>0</v>
      </c>
    </row>
    <row r="38" spans="1:25" x14ac:dyDescent="0.2">
      <c r="A38" s="50" t="s">
        <v>142</v>
      </c>
      <c r="B38" s="51" t="s">
        <v>107</v>
      </c>
      <c r="C38" s="51"/>
      <c r="D38" s="52">
        <v>28717</v>
      </c>
      <c r="E38" s="51" t="s">
        <v>118</v>
      </c>
      <c r="F38" s="53"/>
      <c r="G38" s="53"/>
      <c r="H38" s="53">
        <v>0</v>
      </c>
      <c r="I38" s="53">
        <v>0</v>
      </c>
      <c r="J38" s="53"/>
      <c r="K38" s="53"/>
      <c r="L38" s="53"/>
      <c r="M38" s="53">
        <v>0</v>
      </c>
      <c r="N38" s="53">
        <v>0</v>
      </c>
      <c r="O38" s="53"/>
      <c r="P38" s="53"/>
      <c r="Q38" s="53">
        <v>442.63</v>
      </c>
      <c r="R38" s="53">
        <v>442.63</v>
      </c>
      <c r="S38" s="53">
        <v>0</v>
      </c>
      <c r="T38" s="54"/>
      <c r="U38" s="53"/>
      <c r="V38" s="53">
        <v>482.12</v>
      </c>
      <c r="W38" s="53">
        <v>482.12</v>
      </c>
      <c r="X38" s="53">
        <v>0</v>
      </c>
      <c r="Y38" s="54"/>
    </row>
    <row r="39" spans="1:25" x14ac:dyDescent="0.2">
      <c r="A39" s="50" t="s">
        <v>143</v>
      </c>
      <c r="B39" s="51" t="s">
        <v>109</v>
      </c>
      <c r="C39" s="51"/>
      <c r="D39" s="52">
        <v>37384</v>
      </c>
      <c r="E39" s="51" t="s">
        <v>118</v>
      </c>
      <c r="F39" s="53"/>
      <c r="G39" s="53"/>
      <c r="H39" s="53">
        <v>0</v>
      </c>
      <c r="I39" s="53">
        <v>0</v>
      </c>
      <c r="J39" s="53"/>
      <c r="K39" s="53"/>
      <c r="L39" s="53"/>
      <c r="M39" s="53">
        <v>0</v>
      </c>
      <c r="N39" s="53">
        <v>0</v>
      </c>
      <c r="O39" s="53"/>
      <c r="P39" s="53"/>
      <c r="Q39" s="53">
        <v>347.32</v>
      </c>
      <c r="R39" s="53">
        <v>347.32</v>
      </c>
      <c r="S39" s="53">
        <v>0</v>
      </c>
      <c r="T39" s="54"/>
      <c r="U39" s="53"/>
      <c r="V39" s="53">
        <v>378.31</v>
      </c>
      <c r="W39" s="53">
        <v>378.31</v>
      </c>
      <c r="X39" s="53">
        <v>0</v>
      </c>
      <c r="Y39" s="54"/>
    </row>
    <row r="40" spans="1:25" x14ac:dyDescent="0.2">
      <c r="A40" s="50" t="s">
        <v>144</v>
      </c>
      <c r="B40" s="51" t="s">
        <v>109</v>
      </c>
      <c r="C40" s="51"/>
      <c r="D40" s="52">
        <v>38688</v>
      </c>
      <c r="E40" s="51" t="s">
        <v>118</v>
      </c>
      <c r="F40" s="53"/>
      <c r="G40" s="53"/>
      <c r="H40" s="53">
        <v>0</v>
      </c>
      <c r="I40" s="53">
        <v>0</v>
      </c>
      <c r="J40" s="53"/>
      <c r="K40" s="53"/>
      <c r="L40" s="53"/>
      <c r="M40" s="53">
        <v>0</v>
      </c>
      <c r="N40" s="53">
        <v>0</v>
      </c>
      <c r="O40" s="53"/>
      <c r="P40" s="53"/>
      <c r="Q40" s="53">
        <v>269.52</v>
      </c>
      <c r="R40" s="53">
        <v>269.52</v>
      </c>
      <c r="S40" s="53">
        <v>0</v>
      </c>
      <c r="T40" s="54"/>
      <c r="U40" s="53"/>
      <c r="V40" s="53">
        <v>293.57</v>
      </c>
      <c r="W40" s="53">
        <v>293.57</v>
      </c>
      <c r="X40" s="53">
        <v>0</v>
      </c>
      <c r="Y40" s="54"/>
    </row>
    <row r="41" spans="1:25" x14ac:dyDescent="0.2">
      <c r="A41" s="50" t="s">
        <v>145</v>
      </c>
      <c r="B41" s="51" t="s">
        <v>65</v>
      </c>
      <c r="C41" s="51" t="s">
        <v>65</v>
      </c>
      <c r="D41" s="52">
        <v>36146</v>
      </c>
      <c r="E41" s="51" t="s">
        <v>111</v>
      </c>
      <c r="F41" s="53">
        <v>746.11</v>
      </c>
      <c r="G41" s="53">
        <v>746.11</v>
      </c>
      <c r="H41" s="53">
        <v>746.11</v>
      </c>
      <c r="I41" s="53">
        <v>0</v>
      </c>
      <c r="J41" s="53">
        <v>0</v>
      </c>
      <c r="K41" s="53">
        <v>1090.3599999999999</v>
      </c>
      <c r="L41" s="53">
        <v>1090.3599999999999</v>
      </c>
      <c r="M41" s="53">
        <v>1090.3599999999999</v>
      </c>
      <c r="N41" s="53">
        <v>0</v>
      </c>
      <c r="O41" s="53">
        <v>0</v>
      </c>
      <c r="P41" s="53">
        <v>347.32</v>
      </c>
      <c r="Q41" s="53">
        <v>347.32</v>
      </c>
      <c r="R41" s="53">
        <v>347.32</v>
      </c>
      <c r="S41" s="53">
        <v>0</v>
      </c>
      <c r="T41" s="54">
        <v>0</v>
      </c>
      <c r="U41" s="53">
        <v>378.31</v>
      </c>
      <c r="V41" s="53">
        <v>378.31</v>
      </c>
      <c r="W41" s="53">
        <v>378.31</v>
      </c>
      <c r="X41" s="53">
        <v>0</v>
      </c>
      <c r="Y41" s="54">
        <v>0</v>
      </c>
    </row>
    <row r="42" spans="1:25" x14ac:dyDescent="0.2">
      <c r="A42" s="50" t="s">
        <v>146</v>
      </c>
      <c r="B42" s="51" t="s">
        <v>65</v>
      </c>
      <c r="C42" s="51" t="s">
        <v>65</v>
      </c>
      <c r="D42" s="52">
        <v>35249</v>
      </c>
      <c r="E42" s="51" t="s">
        <v>147</v>
      </c>
      <c r="F42" s="53">
        <v>746.11</v>
      </c>
      <c r="G42" s="53">
        <v>746.11</v>
      </c>
      <c r="H42" s="53">
        <v>746.11</v>
      </c>
      <c r="I42" s="53">
        <v>0</v>
      </c>
      <c r="J42" s="53">
        <v>0</v>
      </c>
      <c r="K42" s="53">
        <v>1090.3599999999999</v>
      </c>
      <c r="L42" s="53">
        <v>1090.3599999999999</v>
      </c>
      <c r="M42" s="53">
        <v>1090.3599999999999</v>
      </c>
      <c r="N42" s="53">
        <v>0</v>
      </c>
      <c r="O42" s="53">
        <v>0</v>
      </c>
      <c r="P42" s="53">
        <v>354.27</v>
      </c>
      <c r="Q42" s="53">
        <v>354.27</v>
      </c>
      <c r="R42" s="53">
        <v>354.27</v>
      </c>
      <c r="S42" s="53">
        <v>0</v>
      </c>
      <c r="T42" s="54">
        <v>0</v>
      </c>
      <c r="U42" s="53">
        <v>385.87</v>
      </c>
      <c r="V42" s="53">
        <v>385.87</v>
      </c>
      <c r="W42" s="53">
        <v>385.87</v>
      </c>
      <c r="X42" s="53">
        <v>0</v>
      </c>
      <c r="Y42" s="54">
        <v>0</v>
      </c>
    </row>
    <row r="43" spans="1:25" ht="16.149999999999999" customHeight="1" x14ac:dyDescent="0.2">
      <c r="A43" s="226" t="s">
        <v>81</v>
      </c>
      <c r="B43" s="227"/>
      <c r="C43" s="227"/>
      <c r="D43" s="227"/>
      <c r="E43" s="227"/>
      <c r="F43" s="212" t="s">
        <v>1</v>
      </c>
      <c r="G43" s="212"/>
      <c r="H43" s="212"/>
      <c r="I43" s="212"/>
      <c r="J43" s="213"/>
      <c r="K43" s="211" t="s">
        <v>2</v>
      </c>
      <c r="L43" s="212"/>
      <c r="M43" s="212"/>
      <c r="N43" s="212"/>
      <c r="O43" s="213"/>
      <c r="P43" s="211" t="s">
        <v>51</v>
      </c>
      <c r="Q43" s="212"/>
      <c r="R43" s="212"/>
      <c r="S43" s="212"/>
      <c r="T43" s="213"/>
      <c r="U43" s="211" t="s">
        <v>36</v>
      </c>
      <c r="V43" s="212"/>
      <c r="W43" s="212"/>
      <c r="X43" s="212"/>
      <c r="Y43" s="213"/>
    </row>
    <row r="44" spans="1:25" ht="13.9" customHeight="1" x14ac:dyDescent="0.2">
      <c r="A44" s="228" t="s">
        <v>82</v>
      </c>
      <c r="B44" s="229"/>
      <c r="C44" s="229"/>
      <c r="D44" s="229"/>
      <c r="E44" s="229"/>
      <c r="F44" s="214">
        <v>5490.43</v>
      </c>
      <c r="G44" s="215"/>
      <c r="H44" s="215"/>
      <c r="I44" s="215"/>
      <c r="J44" s="220"/>
      <c r="K44" s="214">
        <v>8106.71</v>
      </c>
      <c r="L44" s="215"/>
      <c r="M44" s="215"/>
      <c r="N44" s="215"/>
      <c r="O44" s="220"/>
      <c r="P44" s="214">
        <v>3986.98</v>
      </c>
      <c r="Q44" s="215"/>
      <c r="R44" s="215"/>
      <c r="S44" s="215"/>
      <c r="T44" s="216"/>
      <c r="U44" s="214">
        <v>4342.67</v>
      </c>
      <c r="V44" s="215"/>
      <c r="W44" s="215"/>
      <c r="X44" s="215"/>
      <c r="Y44" s="216"/>
    </row>
    <row r="45" spans="1:25" ht="13.9" customHeight="1" x14ac:dyDescent="0.2">
      <c r="A45" s="230" t="s">
        <v>83</v>
      </c>
      <c r="B45" s="231"/>
      <c r="C45" s="231"/>
      <c r="D45" s="231"/>
      <c r="E45" s="231"/>
      <c r="F45" s="208">
        <f>F44*12</f>
        <v>65885.16</v>
      </c>
      <c r="G45" s="209"/>
      <c r="H45" s="209"/>
      <c r="I45" s="209"/>
      <c r="J45" s="221"/>
      <c r="K45" s="208">
        <f>K44*12</f>
        <v>97280.52</v>
      </c>
      <c r="L45" s="209"/>
      <c r="M45" s="209"/>
      <c r="N45" s="209"/>
      <c r="O45" s="221"/>
      <c r="P45" s="208">
        <f>P44*12</f>
        <v>47843.76</v>
      </c>
      <c r="Q45" s="209"/>
      <c r="R45" s="209"/>
      <c r="S45" s="209"/>
      <c r="T45" s="210"/>
      <c r="U45" s="208">
        <f>U44*12</f>
        <v>52112.04</v>
      </c>
      <c r="V45" s="209"/>
      <c r="W45" s="209"/>
      <c r="X45" s="209"/>
      <c r="Y45" s="210"/>
    </row>
    <row r="46" spans="1:25" ht="13.9" customHeight="1" x14ac:dyDescent="0.2">
      <c r="A46" s="230" t="s">
        <v>7</v>
      </c>
      <c r="B46" s="231"/>
      <c r="C46" s="231"/>
      <c r="D46" s="231"/>
      <c r="E46" s="231"/>
      <c r="F46" s="222"/>
      <c r="G46" s="223"/>
      <c r="H46" s="223"/>
      <c r="I46" s="223"/>
      <c r="J46" s="224"/>
      <c r="K46" s="217">
        <f>(K45-F45)/F45</f>
        <v>0.47651641128290495</v>
      </c>
      <c r="L46" s="218"/>
      <c r="M46" s="218"/>
      <c r="N46" s="218"/>
      <c r="O46" s="225"/>
      <c r="P46" s="217">
        <f>(P45-F45)/F45</f>
        <v>-0.27383101141440652</v>
      </c>
      <c r="Q46" s="218"/>
      <c r="R46" s="218"/>
      <c r="S46" s="218"/>
      <c r="T46" s="219"/>
      <c r="U46" s="217">
        <f>(U45-F45)/F45</f>
        <v>-0.20904737880275318</v>
      </c>
      <c r="V46" s="218"/>
      <c r="W46" s="218"/>
      <c r="X46" s="218"/>
      <c r="Y46" s="219"/>
    </row>
    <row r="47" spans="1:25" ht="13.9" customHeight="1" x14ac:dyDescent="0.2">
      <c r="A47" s="201" t="s">
        <v>9</v>
      </c>
      <c r="B47" s="202"/>
      <c r="C47" s="202"/>
      <c r="D47" s="202"/>
      <c r="E47" s="202"/>
      <c r="F47" s="222"/>
      <c r="G47" s="223"/>
      <c r="H47" s="223"/>
      <c r="I47" s="223"/>
      <c r="J47" s="224"/>
      <c r="K47" s="208">
        <f>K45-F45</f>
        <v>31395.360000000001</v>
      </c>
      <c r="L47" s="209"/>
      <c r="M47" s="209"/>
      <c r="N47" s="209"/>
      <c r="O47" s="221"/>
      <c r="P47" s="208">
        <f>P45-F45</f>
        <v>-18041.400000000001</v>
      </c>
      <c r="Q47" s="209"/>
      <c r="R47" s="209"/>
      <c r="S47" s="209"/>
      <c r="T47" s="210"/>
      <c r="U47" s="208">
        <f>U45-F45</f>
        <v>-13773.120000000003</v>
      </c>
      <c r="V47" s="209"/>
      <c r="W47" s="209"/>
      <c r="X47" s="209"/>
      <c r="Y47" s="210"/>
    </row>
    <row r="48" spans="1:25" ht="13.9" customHeight="1" x14ac:dyDescent="0.2">
      <c r="A48" s="201" t="s">
        <v>10</v>
      </c>
      <c r="B48" s="202"/>
      <c r="C48" s="202"/>
      <c r="D48" s="202"/>
      <c r="E48" s="202"/>
      <c r="F48" s="222"/>
      <c r="G48" s="223"/>
      <c r="H48" s="223"/>
      <c r="I48" s="223"/>
      <c r="J48" s="224"/>
      <c r="K48" s="208">
        <f>K44-F44</f>
        <v>2616.2799999999997</v>
      </c>
      <c r="L48" s="209"/>
      <c r="M48" s="209"/>
      <c r="N48" s="209"/>
      <c r="O48" s="221"/>
      <c r="P48" s="208">
        <f>P44-F44</f>
        <v>-1503.4500000000003</v>
      </c>
      <c r="Q48" s="209"/>
      <c r="R48" s="209"/>
      <c r="S48" s="209"/>
      <c r="T48" s="210"/>
      <c r="U48" s="208">
        <f>U44-F44</f>
        <v>-1147.7600000000002</v>
      </c>
      <c r="V48" s="209"/>
      <c r="W48" s="209"/>
      <c r="X48" s="209"/>
      <c r="Y48" s="210"/>
    </row>
    <row r="49" spans="1:25" ht="18" customHeight="1" x14ac:dyDescent="0.2">
      <c r="A49" s="201" t="s">
        <v>30</v>
      </c>
      <c r="B49" s="202"/>
      <c r="C49" s="202"/>
      <c r="D49" s="202"/>
      <c r="E49" s="202"/>
      <c r="F49" s="203" t="s">
        <v>29</v>
      </c>
      <c r="G49" s="204"/>
      <c r="H49" s="204"/>
      <c r="I49" s="204"/>
      <c r="J49" s="205"/>
      <c r="K49" s="203" t="s">
        <v>29</v>
      </c>
      <c r="L49" s="204"/>
      <c r="M49" s="204"/>
      <c r="N49" s="204"/>
      <c r="O49" s="205"/>
      <c r="P49" s="203" t="s">
        <v>29</v>
      </c>
      <c r="Q49" s="206"/>
      <c r="R49" s="206"/>
      <c r="S49" s="206"/>
      <c r="T49" s="207"/>
      <c r="U49" s="203" t="s">
        <v>29</v>
      </c>
      <c r="V49" s="206"/>
      <c r="W49" s="206"/>
      <c r="X49" s="206"/>
      <c r="Y49" s="207"/>
    </row>
    <row r="50" spans="1:25" ht="4.9000000000000004" customHeight="1" x14ac:dyDescent="0.2">
      <c r="A50" s="36"/>
      <c r="B50" s="36"/>
      <c r="C50" s="37"/>
      <c r="D50" s="37"/>
      <c r="E50" s="38"/>
      <c r="F50" s="38"/>
      <c r="G50" s="39"/>
      <c r="H50" s="40"/>
      <c r="I50" s="40"/>
      <c r="J50" s="40"/>
      <c r="K50" s="40"/>
      <c r="L50" s="40"/>
      <c r="M50" s="40"/>
      <c r="N50" s="40"/>
      <c r="O50" s="40"/>
      <c r="P50" s="40"/>
      <c r="Q50" s="40"/>
      <c r="R50" s="40"/>
      <c r="S50" s="40"/>
      <c r="T50" s="40"/>
      <c r="U50" s="40"/>
      <c r="V50" s="40"/>
      <c r="W50" s="40"/>
      <c r="X50" s="40"/>
      <c r="Y50" s="40"/>
    </row>
    <row r="51" spans="1:25" ht="55.15" customHeight="1" x14ac:dyDescent="0.2">
      <c r="A51" s="200" t="s">
        <v>31</v>
      </c>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row>
  </sheetData>
  <mergeCells count="48">
    <mergeCell ref="A2:Y2"/>
    <mergeCell ref="A3:Y3"/>
    <mergeCell ref="A4:Y4"/>
    <mergeCell ref="A5:E7"/>
    <mergeCell ref="F8:J8"/>
    <mergeCell ref="K8:O8"/>
    <mergeCell ref="F7:J7"/>
    <mergeCell ref="K7:O7"/>
    <mergeCell ref="A46:E46"/>
    <mergeCell ref="A47:E47"/>
    <mergeCell ref="U8:Y8"/>
    <mergeCell ref="U7:Y7"/>
    <mergeCell ref="P8:T8"/>
    <mergeCell ref="P7:T7"/>
    <mergeCell ref="A48:E48"/>
    <mergeCell ref="F43:J43"/>
    <mergeCell ref="K43:O43"/>
    <mergeCell ref="F44:J44"/>
    <mergeCell ref="F45:J45"/>
    <mergeCell ref="F46:J46"/>
    <mergeCell ref="F47:J47"/>
    <mergeCell ref="F48:J48"/>
    <mergeCell ref="K44:O44"/>
    <mergeCell ref="K45:O45"/>
    <mergeCell ref="K46:O46"/>
    <mergeCell ref="K47:O47"/>
    <mergeCell ref="K48:O48"/>
    <mergeCell ref="A43:E43"/>
    <mergeCell ref="A44:E44"/>
    <mergeCell ref="A45:E45"/>
    <mergeCell ref="U48:Y48"/>
    <mergeCell ref="P43:T43"/>
    <mergeCell ref="P44:T44"/>
    <mergeCell ref="P45:T45"/>
    <mergeCell ref="P46:T46"/>
    <mergeCell ref="P47:T47"/>
    <mergeCell ref="P48:T48"/>
    <mergeCell ref="U43:Y43"/>
    <mergeCell ref="U44:Y44"/>
    <mergeCell ref="U45:Y45"/>
    <mergeCell ref="U46:Y46"/>
    <mergeCell ref="U47:Y47"/>
    <mergeCell ref="A51:Y51"/>
    <mergeCell ref="A49:E49"/>
    <mergeCell ref="F49:J49"/>
    <mergeCell ref="K49:O49"/>
    <mergeCell ref="U49:Y49"/>
    <mergeCell ref="P49:T49"/>
  </mergeCells>
  <hyperlinks>
    <hyperlink ref="F49" r:id="rId1" xr:uid="{00000000-0004-0000-4900-000000000000}"/>
    <hyperlink ref="K7" r:id="rId2" xr:uid="{00000000-0004-0000-4900-000001000000}"/>
    <hyperlink ref="K49" r:id="rId3" xr:uid="{00000000-0004-0000-4900-000002000000}"/>
    <hyperlink ref="P7" r:id="rId4" xr:uid="{00000000-0004-0000-4900-000003000000}"/>
    <hyperlink ref="P49" r:id="rId5" xr:uid="{00000000-0004-0000-4900-000004000000}"/>
    <hyperlink ref="U7" r:id="rId6" xr:uid="{00000000-0004-0000-4900-000005000000}"/>
    <hyperlink ref="U49" r:id="rId7" xr:uid="{00000000-0004-0000-4900-000006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681D-7E7E-4FC3-B72B-23828C3E82A7}">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148</v>
      </c>
      <c r="G6" s="122"/>
      <c r="H6" s="122"/>
      <c r="I6" s="122"/>
      <c r="J6" s="124"/>
      <c r="K6" s="121" t="s">
        <v>149</v>
      </c>
      <c r="L6" s="122"/>
      <c r="M6" s="122"/>
      <c r="N6" s="122"/>
      <c r="O6" s="124"/>
      <c r="P6" s="121" t="s">
        <v>150</v>
      </c>
      <c r="Q6" s="122"/>
      <c r="R6" s="122"/>
      <c r="S6" s="122"/>
      <c r="T6" s="124"/>
      <c r="U6" s="121" t="s">
        <v>151</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47</v>
      </c>
      <c r="G8" s="233"/>
      <c r="H8" s="233"/>
      <c r="I8" s="233"/>
      <c r="J8" s="234"/>
      <c r="K8" s="232" t="s">
        <v>48</v>
      </c>
      <c r="L8" s="233"/>
      <c r="M8" s="233"/>
      <c r="N8" s="233"/>
      <c r="O8" s="234"/>
      <c r="P8" s="232" t="s">
        <v>49</v>
      </c>
      <c r="Q8" s="233"/>
      <c r="R8" s="233"/>
      <c r="S8" s="233"/>
      <c r="T8" s="234"/>
      <c r="U8" s="232" t="s">
        <v>50</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1521.53</v>
      </c>
      <c r="G10" s="53">
        <v>695.07</v>
      </c>
      <c r="H10" s="53">
        <v>695.07</v>
      </c>
      <c r="I10" s="53">
        <v>0</v>
      </c>
      <c r="J10" s="54">
        <v>0</v>
      </c>
      <c r="K10" s="53">
        <v>1588.6</v>
      </c>
      <c r="L10" s="53">
        <v>725.71</v>
      </c>
      <c r="M10" s="53">
        <v>725.71</v>
      </c>
      <c r="N10" s="53">
        <v>0</v>
      </c>
      <c r="O10" s="54">
        <v>0</v>
      </c>
      <c r="P10" s="53">
        <v>1680.02</v>
      </c>
      <c r="Q10" s="53">
        <v>767.47</v>
      </c>
      <c r="R10" s="53">
        <v>767.47</v>
      </c>
      <c r="S10" s="53">
        <v>0</v>
      </c>
      <c r="T10" s="54">
        <v>0</v>
      </c>
      <c r="U10" s="53">
        <v>1730.94</v>
      </c>
      <c r="V10" s="53">
        <v>790.73</v>
      </c>
      <c r="W10" s="53">
        <v>790.73</v>
      </c>
      <c r="X10" s="53">
        <v>0</v>
      </c>
      <c r="Y10" s="54">
        <v>0</v>
      </c>
    </row>
    <row r="11" spans="1:25" x14ac:dyDescent="0.2">
      <c r="A11" s="50" t="s">
        <v>106</v>
      </c>
      <c r="B11" s="51" t="s">
        <v>107</v>
      </c>
      <c r="C11" s="51"/>
      <c r="D11" s="52">
        <v>27837</v>
      </c>
      <c r="E11" s="51" t="s">
        <v>105</v>
      </c>
      <c r="F11" s="53"/>
      <c r="G11" s="53">
        <v>530.75</v>
      </c>
      <c r="H11" s="53">
        <v>530.75</v>
      </c>
      <c r="I11" s="53">
        <v>0</v>
      </c>
      <c r="J11" s="54"/>
      <c r="K11" s="53"/>
      <c r="L11" s="53">
        <v>554.15</v>
      </c>
      <c r="M11" s="53">
        <v>554.15</v>
      </c>
      <c r="N11" s="53">
        <v>0</v>
      </c>
      <c r="O11" s="54"/>
      <c r="P11" s="53"/>
      <c r="Q11" s="53">
        <v>586.04</v>
      </c>
      <c r="R11" s="53">
        <v>586.04</v>
      </c>
      <c r="S11" s="53">
        <v>0</v>
      </c>
      <c r="T11" s="54"/>
      <c r="U11" s="53"/>
      <c r="V11" s="53">
        <v>603.79999999999995</v>
      </c>
      <c r="W11" s="53">
        <v>603.79999999999995</v>
      </c>
      <c r="X11" s="53">
        <v>0</v>
      </c>
      <c r="Y11" s="54"/>
    </row>
    <row r="12" spans="1:25" x14ac:dyDescent="0.2">
      <c r="A12" s="50" t="s">
        <v>108</v>
      </c>
      <c r="B12" s="51" t="s">
        <v>109</v>
      </c>
      <c r="C12" s="51"/>
      <c r="D12" s="52">
        <v>38648</v>
      </c>
      <c r="E12" s="51" t="s">
        <v>105</v>
      </c>
      <c r="F12" s="53"/>
      <c r="G12" s="53">
        <v>295.70999999999998</v>
      </c>
      <c r="H12" s="53">
        <v>295.70999999999998</v>
      </c>
      <c r="I12" s="53">
        <v>0</v>
      </c>
      <c r="J12" s="54"/>
      <c r="K12" s="53"/>
      <c r="L12" s="53">
        <v>308.74</v>
      </c>
      <c r="M12" s="53">
        <v>308.74</v>
      </c>
      <c r="N12" s="53">
        <v>0</v>
      </c>
      <c r="O12" s="54"/>
      <c r="P12" s="53"/>
      <c r="Q12" s="53">
        <v>326.51</v>
      </c>
      <c r="R12" s="53">
        <v>326.51</v>
      </c>
      <c r="S12" s="53">
        <v>0</v>
      </c>
      <c r="T12" s="54"/>
      <c r="U12" s="53"/>
      <c r="V12" s="53">
        <v>336.41</v>
      </c>
      <c r="W12" s="53">
        <v>336.41</v>
      </c>
      <c r="X12" s="53">
        <v>0</v>
      </c>
      <c r="Y12" s="54"/>
    </row>
    <row r="13" spans="1:25" x14ac:dyDescent="0.2">
      <c r="A13" s="50" t="s">
        <v>110</v>
      </c>
      <c r="B13" s="51" t="s">
        <v>65</v>
      </c>
      <c r="C13" s="51" t="s">
        <v>65</v>
      </c>
      <c r="D13" s="52">
        <v>36345</v>
      </c>
      <c r="E13" s="51" t="s">
        <v>111</v>
      </c>
      <c r="F13" s="53">
        <v>381.07</v>
      </c>
      <c r="G13" s="53">
        <v>381.07</v>
      </c>
      <c r="H13" s="53">
        <v>381.07</v>
      </c>
      <c r="I13" s="53">
        <v>0</v>
      </c>
      <c r="J13" s="54">
        <v>0</v>
      </c>
      <c r="K13" s="53">
        <v>397.86</v>
      </c>
      <c r="L13" s="53">
        <v>397.86</v>
      </c>
      <c r="M13" s="53">
        <v>397.86</v>
      </c>
      <c r="N13" s="53">
        <v>0</v>
      </c>
      <c r="O13" s="54">
        <v>0</v>
      </c>
      <c r="P13" s="53">
        <v>420.76</v>
      </c>
      <c r="Q13" s="53">
        <v>420.76</v>
      </c>
      <c r="R13" s="53">
        <v>420.76</v>
      </c>
      <c r="S13" s="53">
        <v>0</v>
      </c>
      <c r="T13" s="54">
        <v>0</v>
      </c>
      <c r="U13" s="53">
        <v>433.52</v>
      </c>
      <c r="V13" s="53">
        <v>433.52</v>
      </c>
      <c r="W13" s="53">
        <v>433.52</v>
      </c>
      <c r="X13" s="53">
        <v>0</v>
      </c>
      <c r="Y13" s="54">
        <v>0</v>
      </c>
    </row>
    <row r="14" spans="1:25" x14ac:dyDescent="0.2">
      <c r="A14" s="50" t="s">
        <v>112</v>
      </c>
      <c r="B14" s="51" t="s">
        <v>65</v>
      </c>
      <c r="C14" s="51" t="s">
        <v>104</v>
      </c>
      <c r="D14" s="52">
        <v>24895</v>
      </c>
      <c r="E14" s="51" t="s">
        <v>113</v>
      </c>
      <c r="F14" s="53">
        <v>1663.29</v>
      </c>
      <c r="G14" s="53">
        <v>672.51</v>
      </c>
      <c r="H14" s="53">
        <v>672.51</v>
      </c>
      <c r="I14" s="53">
        <v>0</v>
      </c>
      <c r="J14" s="54">
        <v>0</v>
      </c>
      <c r="K14" s="53">
        <v>1736.6</v>
      </c>
      <c r="L14" s="53">
        <v>702.15</v>
      </c>
      <c r="M14" s="53">
        <v>702.15</v>
      </c>
      <c r="N14" s="53">
        <v>0</v>
      </c>
      <c r="O14" s="54">
        <v>0</v>
      </c>
      <c r="P14" s="53">
        <v>1836.54</v>
      </c>
      <c r="Q14" s="53">
        <v>742.56</v>
      </c>
      <c r="R14" s="53">
        <v>742.56</v>
      </c>
      <c r="S14" s="53">
        <v>0</v>
      </c>
      <c r="T14" s="54">
        <v>0</v>
      </c>
      <c r="U14" s="53">
        <v>1892.21</v>
      </c>
      <c r="V14" s="53">
        <v>765.07</v>
      </c>
      <c r="W14" s="53">
        <v>765.07</v>
      </c>
      <c r="X14" s="53">
        <v>0</v>
      </c>
      <c r="Y14" s="54">
        <v>0</v>
      </c>
    </row>
    <row r="15" spans="1:25" x14ac:dyDescent="0.2">
      <c r="A15" s="50" t="s">
        <v>114</v>
      </c>
      <c r="B15" s="51" t="s">
        <v>107</v>
      </c>
      <c r="C15" s="51"/>
      <c r="D15" s="52">
        <v>24269</v>
      </c>
      <c r="E15" s="51" t="s">
        <v>113</v>
      </c>
      <c r="F15" s="53"/>
      <c r="G15" s="53">
        <v>695.07</v>
      </c>
      <c r="H15" s="53">
        <v>695.07</v>
      </c>
      <c r="I15" s="53">
        <v>0</v>
      </c>
      <c r="J15" s="54"/>
      <c r="K15" s="53"/>
      <c r="L15" s="53">
        <v>725.71</v>
      </c>
      <c r="M15" s="53">
        <v>725.71</v>
      </c>
      <c r="N15" s="53">
        <v>0</v>
      </c>
      <c r="O15" s="54"/>
      <c r="P15" s="53"/>
      <c r="Q15" s="53">
        <v>767.47</v>
      </c>
      <c r="R15" s="53">
        <v>767.47</v>
      </c>
      <c r="S15" s="53">
        <v>0</v>
      </c>
      <c r="T15" s="54"/>
      <c r="U15" s="53"/>
      <c r="V15" s="53">
        <v>790.73</v>
      </c>
      <c r="W15" s="53">
        <v>790.73</v>
      </c>
      <c r="X15" s="53">
        <v>0</v>
      </c>
      <c r="Y15" s="54"/>
    </row>
    <row r="16" spans="1:25" x14ac:dyDescent="0.2">
      <c r="A16" s="50" t="s">
        <v>115</v>
      </c>
      <c r="B16" s="51" t="s">
        <v>109</v>
      </c>
      <c r="C16" s="51"/>
      <c r="D16" s="52">
        <v>38614</v>
      </c>
      <c r="E16" s="51" t="s">
        <v>113</v>
      </c>
      <c r="F16" s="53"/>
      <c r="G16" s="53">
        <v>295.70999999999998</v>
      </c>
      <c r="H16" s="53">
        <v>295.70999999999998</v>
      </c>
      <c r="I16" s="53">
        <v>0</v>
      </c>
      <c r="J16" s="54"/>
      <c r="K16" s="53"/>
      <c r="L16" s="53">
        <v>308.74</v>
      </c>
      <c r="M16" s="53">
        <v>308.74</v>
      </c>
      <c r="N16" s="53">
        <v>0</v>
      </c>
      <c r="O16" s="54"/>
      <c r="P16" s="53"/>
      <c r="Q16" s="53">
        <v>326.51</v>
      </c>
      <c r="R16" s="53">
        <v>326.51</v>
      </c>
      <c r="S16" s="53">
        <v>0</v>
      </c>
      <c r="T16" s="54"/>
      <c r="U16" s="53"/>
      <c r="V16" s="53">
        <v>336.41</v>
      </c>
      <c r="W16" s="53">
        <v>336.41</v>
      </c>
      <c r="X16" s="53">
        <v>0</v>
      </c>
      <c r="Y16" s="54"/>
    </row>
    <row r="17" spans="1:25" x14ac:dyDescent="0.2">
      <c r="A17" s="50" t="s">
        <v>116</v>
      </c>
      <c r="B17" s="51" t="s">
        <v>65</v>
      </c>
      <c r="C17" s="51" t="s">
        <v>117</v>
      </c>
      <c r="D17" s="52">
        <v>18453</v>
      </c>
      <c r="E17" s="51" t="s">
        <v>118</v>
      </c>
      <c r="F17" s="53">
        <v>1390.14</v>
      </c>
      <c r="G17" s="53">
        <v>695.07</v>
      </c>
      <c r="H17" s="53">
        <v>695.07</v>
      </c>
      <c r="I17" s="53">
        <v>0</v>
      </c>
      <c r="J17" s="54">
        <v>0</v>
      </c>
      <c r="K17" s="53">
        <v>1451.42</v>
      </c>
      <c r="L17" s="53">
        <v>725.71</v>
      </c>
      <c r="M17" s="53">
        <v>725.71</v>
      </c>
      <c r="N17" s="53">
        <v>0</v>
      </c>
      <c r="O17" s="54">
        <v>0</v>
      </c>
      <c r="P17" s="53">
        <v>1534.94</v>
      </c>
      <c r="Q17" s="53">
        <v>767.47</v>
      </c>
      <c r="R17" s="53">
        <v>767.47</v>
      </c>
      <c r="S17" s="53">
        <v>0</v>
      </c>
      <c r="T17" s="54">
        <v>0</v>
      </c>
      <c r="U17" s="53">
        <v>1581.46</v>
      </c>
      <c r="V17" s="53">
        <v>790.73</v>
      </c>
      <c r="W17" s="53">
        <v>790.73</v>
      </c>
      <c r="X17" s="53">
        <v>0</v>
      </c>
      <c r="Y17" s="54">
        <v>0</v>
      </c>
    </row>
    <row r="18" spans="1:25" x14ac:dyDescent="0.2">
      <c r="A18" s="50" t="s">
        <v>119</v>
      </c>
      <c r="B18" s="51" t="s">
        <v>107</v>
      </c>
      <c r="C18" s="51"/>
      <c r="D18" s="52">
        <v>19761</v>
      </c>
      <c r="E18" s="51" t="s">
        <v>118</v>
      </c>
      <c r="F18" s="53"/>
      <c r="G18" s="53">
        <v>695.07</v>
      </c>
      <c r="H18" s="53">
        <v>695.07</v>
      </c>
      <c r="I18" s="53">
        <v>0</v>
      </c>
      <c r="J18" s="54"/>
      <c r="K18" s="53"/>
      <c r="L18" s="53">
        <v>725.71</v>
      </c>
      <c r="M18" s="53">
        <v>725.71</v>
      </c>
      <c r="N18" s="53">
        <v>0</v>
      </c>
      <c r="O18" s="54"/>
      <c r="P18" s="53"/>
      <c r="Q18" s="53">
        <v>767.47</v>
      </c>
      <c r="R18" s="53">
        <v>767.47</v>
      </c>
      <c r="S18" s="53">
        <v>0</v>
      </c>
      <c r="T18" s="54"/>
      <c r="U18" s="53"/>
      <c r="V18" s="53">
        <v>790.73</v>
      </c>
      <c r="W18" s="53">
        <v>790.73</v>
      </c>
      <c r="X18" s="53">
        <v>0</v>
      </c>
      <c r="Y18" s="54"/>
    </row>
    <row r="19" spans="1:25" x14ac:dyDescent="0.2">
      <c r="A19" s="50" t="s">
        <v>120</v>
      </c>
      <c r="B19" s="51" t="s">
        <v>65</v>
      </c>
      <c r="C19" s="51" t="s">
        <v>65</v>
      </c>
      <c r="D19" s="52">
        <v>35733</v>
      </c>
      <c r="E19" s="51" t="s">
        <v>121</v>
      </c>
      <c r="F19" s="53">
        <v>381.07</v>
      </c>
      <c r="G19" s="53">
        <v>381.07</v>
      </c>
      <c r="H19" s="53">
        <v>381.07</v>
      </c>
      <c r="I19" s="53">
        <v>0</v>
      </c>
      <c r="J19" s="54">
        <v>0</v>
      </c>
      <c r="K19" s="53">
        <v>397.86</v>
      </c>
      <c r="L19" s="53">
        <v>397.86</v>
      </c>
      <c r="M19" s="53">
        <v>397.86</v>
      </c>
      <c r="N19" s="53">
        <v>0</v>
      </c>
      <c r="O19" s="54">
        <v>0</v>
      </c>
      <c r="P19" s="53">
        <v>420.76</v>
      </c>
      <c r="Q19" s="53">
        <v>420.76</v>
      </c>
      <c r="R19" s="53">
        <v>420.76</v>
      </c>
      <c r="S19" s="53">
        <v>0</v>
      </c>
      <c r="T19" s="54">
        <v>0</v>
      </c>
      <c r="U19" s="53">
        <v>433.52</v>
      </c>
      <c r="V19" s="53">
        <v>433.52</v>
      </c>
      <c r="W19" s="53">
        <v>433.52</v>
      </c>
      <c r="X19" s="53">
        <v>0</v>
      </c>
      <c r="Y19" s="54">
        <v>0</v>
      </c>
    </row>
    <row r="20" spans="1:25" x14ac:dyDescent="0.2">
      <c r="A20" s="50" t="s">
        <v>122</v>
      </c>
      <c r="B20" s="51" t="s">
        <v>65</v>
      </c>
      <c r="C20" s="51" t="s">
        <v>104</v>
      </c>
      <c r="D20" s="52">
        <v>24958</v>
      </c>
      <c r="E20" s="51" t="s">
        <v>123</v>
      </c>
      <c r="F20" s="53">
        <v>1908.09</v>
      </c>
      <c r="G20" s="53">
        <v>672.51</v>
      </c>
      <c r="H20" s="53">
        <v>672.51</v>
      </c>
      <c r="I20" s="53">
        <v>0</v>
      </c>
      <c r="J20" s="54">
        <v>0</v>
      </c>
      <c r="K20" s="53">
        <v>1992.18</v>
      </c>
      <c r="L20" s="53">
        <v>702.15</v>
      </c>
      <c r="M20" s="53">
        <v>702.15</v>
      </c>
      <c r="N20" s="53">
        <v>0</v>
      </c>
      <c r="O20" s="54">
        <v>0</v>
      </c>
      <c r="P20" s="53">
        <v>2106.84</v>
      </c>
      <c r="Q20" s="53">
        <v>742.56</v>
      </c>
      <c r="R20" s="53">
        <v>742.56</v>
      </c>
      <c r="S20" s="53">
        <v>0</v>
      </c>
      <c r="T20" s="54">
        <v>0</v>
      </c>
      <c r="U20" s="53">
        <v>2170.6999999999998</v>
      </c>
      <c r="V20" s="53">
        <v>765.07</v>
      </c>
      <c r="W20" s="53">
        <v>765.07</v>
      </c>
      <c r="X20" s="53">
        <v>0</v>
      </c>
      <c r="Y20" s="54">
        <v>0</v>
      </c>
    </row>
    <row r="21" spans="1:25" x14ac:dyDescent="0.2">
      <c r="A21" s="50" t="s">
        <v>124</v>
      </c>
      <c r="B21" s="51" t="s">
        <v>107</v>
      </c>
      <c r="C21" s="51"/>
      <c r="D21" s="52">
        <v>25342</v>
      </c>
      <c r="E21" s="51" t="s">
        <v>123</v>
      </c>
      <c r="F21" s="53"/>
      <c r="G21" s="53">
        <v>653</v>
      </c>
      <c r="H21" s="53">
        <v>653</v>
      </c>
      <c r="I21" s="53">
        <v>0</v>
      </c>
      <c r="J21" s="54"/>
      <c r="K21" s="53"/>
      <c r="L21" s="53">
        <v>681.78</v>
      </c>
      <c r="M21" s="53">
        <v>681.78</v>
      </c>
      <c r="N21" s="53">
        <v>0</v>
      </c>
      <c r="O21" s="54"/>
      <c r="P21" s="53"/>
      <c r="Q21" s="53">
        <v>721.02</v>
      </c>
      <c r="R21" s="53">
        <v>721.02</v>
      </c>
      <c r="S21" s="53">
        <v>0</v>
      </c>
      <c r="T21" s="54"/>
      <c r="U21" s="53"/>
      <c r="V21" s="53">
        <v>742.87</v>
      </c>
      <c r="W21" s="53">
        <v>742.87</v>
      </c>
      <c r="X21" s="53">
        <v>0</v>
      </c>
      <c r="Y21" s="54"/>
    </row>
    <row r="22" spans="1:25" x14ac:dyDescent="0.2">
      <c r="A22" s="50" t="s">
        <v>125</v>
      </c>
      <c r="B22" s="51" t="s">
        <v>109</v>
      </c>
      <c r="C22" s="51"/>
      <c r="D22" s="52">
        <v>38632</v>
      </c>
      <c r="E22" s="51" t="s">
        <v>123</v>
      </c>
      <c r="F22" s="53"/>
      <c r="G22" s="53">
        <v>295.70999999999998</v>
      </c>
      <c r="H22" s="53">
        <v>295.70999999999998</v>
      </c>
      <c r="I22" s="53">
        <v>0</v>
      </c>
      <c r="J22" s="54"/>
      <c r="K22" s="53"/>
      <c r="L22" s="53">
        <v>308.74</v>
      </c>
      <c r="M22" s="53">
        <v>308.74</v>
      </c>
      <c r="N22" s="53">
        <v>0</v>
      </c>
      <c r="O22" s="54"/>
      <c r="P22" s="53"/>
      <c r="Q22" s="53">
        <v>326.51</v>
      </c>
      <c r="R22" s="53">
        <v>326.51</v>
      </c>
      <c r="S22" s="53">
        <v>0</v>
      </c>
      <c r="T22" s="54"/>
      <c r="U22" s="53"/>
      <c r="V22" s="53">
        <v>336.41</v>
      </c>
      <c r="W22" s="53">
        <v>336.41</v>
      </c>
      <c r="X22" s="53">
        <v>0</v>
      </c>
      <c r="Y22" s="54"/>
    </row>
    <row r="23" spans="1:25" x14ac:dyDescent="0.2">
      <c r="A23" s="50" t="s">
        <v>126</v>
      </c>
      <c r="B23" s="51" t="s">
        <v>109</v>
      </c>
      <c r="C23" s="51"/>
      <c r="D23" s="52">
        <v>39092</v>
      </c>
      <c r="E23" s="51" t="s">
        <v>123</v>
      </c>
      <c r="F23" s="53"/>
      <c r="G23" s="53">
        <v>286.87</v>
      </c>
      <c r="H23" s="53">
        <v>286.87</v>
      </c>
      <c r="I23" s="53">
        <v>0</v>
      </c>
      <c r="J23" s="54"/>
      <c r="K23" s="53"/>
      <c r="L23" s="53">
        <v>299.51</v>
      </c>
      <c r="M23" s="53">
        <v>299.51</v>
      </c>
      <c r="N23" s="53">
        <v>0</v>
      </c>
      <c r="O23" s="54"/>
      <c r="P23" s="53"/>
      <c r="Q23" s="53">
        <v>316.75</v>
      </c>
      <c r="R23" s="53">
        <v>316.75</v>
      </c>
      <c r="S23" s="53">
        <v>0</v>
      </c>
      <c r="T23" s="54"/>
      <c r="U23" s="53"/>
      <c r="V23" s="53">
        <v>326.35000000000002</v>
      </c>
      <c r="W23" s="53">
        <v>326.35000000000002</v>
      </c>
      <c r="X23" s="53">
        <v>0</v>
      </c>
      <c r="Y23" s="54"/>
    </row>
    <row r="24" spans="1:25" x14ac:dyDescent="0.2">
      <c r="A24" s="50" t="s">
        <v>127</v>
      </c>
      <c r="B24" s="51" t="s">
        <v>65</v>
      </c>
      <c r="C24" s="51" t="s">
        <v>117</v>
      </c>
      <c r="D24" s="52">
        <v>21309</v>
      </c>
      <c r="E24" s="51" t="s">
        <v>96</v>
      </c>
      <c r="F24" s="53">
        <v>1390.14</v>
      </c>
      <c r="G24" s="53">
        <v>695.07</v>
      </c>
      <c r="H24" s="53">
        <v>695.07</v>
      </c>
      <c r="I24" s="53">
        <v>0</v>
      </c>
      <c r="J24" s="54">
        <v>0</v>
      </c>
      <c r="K24" s="53">
        <v>1451.42</v>
      </c>
      <c r="L24" s="53">
        <v>725.71</v>
      </c>
      <c r="M24" s="53">
        <v>725.71</v>
      </c>
      <c r="N24" s="53">
        <v>0</v>
      </c>
      <c r="O24" s="54">
        <v>0</v>
      </c>
      <c r="P24" s="53">
        <v>1534.94</v>
      </c>
      <c r="Q24" s="53">
        <v>767.47</v>
      </c>
      <c r="R24" s="53">
        <v>767.47</v>
      </c>
      <c r="S24" s="53">
        <v>0</v>
      </c>
      <c r="T24" s="54">
        <v>0</v>
      </c>
      <c r="U24" s="53">
        <v>1581.46</v>
      </c>
      <c r="V24" s="53">
        <v>790.73</v>
      </c>
      <c r="W24" s="53">
        <v>790.73</v>
      </c>
      <c r="X24" s="53">
        <v>0</v>
      </c>
      <c r="Y24" s="54">
        <v>0</v>
      </c>
    </row>
    <row r="25" spans="1:25" x14ac:dyDescent="0.2">
      <c r="A25" s="50" t="s">
        <v>128</v>
      </c>
      <c r="B25" s="51" t="s">
        <v>107</v>
      </c>
      <c r="C25" s="51"/>
      <c r="D25" s="52">
        <v>23570</v>
      </c>
      <c r="E25" s="51" t="s">
        <v>96</v>
      </c>
      <c r="F25" s="53"/>
      <c r="G25" s="53">
        <v>695.07</v>
      </c>
      <c r="H25" s="53">
        <v>695.07</v>
      </c>
      <c r="I25" s="53">
        <v>0</v>
      </c>
      <c r="J25" s="54"/>
      <c r="K25" s="53"/>
      <c r="L25" s="53">
        <v>725.71</v>
      </c>
      <c r="M25" s="53">
        <v>725.71</v>
      </c>
      <c r="N25" s="53">
        <v>0</v>
      </c>
      <c r="O25" s="54"/>
      <c r="P25" s="53"/>
      <c r="Q25" s="53">
        <v>767.47</v>
      </c>
      <c r="R25" s="53">
        <v>767.47</v>
      </c>
      <c r="S25" s="53">
        <v>0</v>
      </c>
      <c r="T25" s="54"/>
      <c r="U25" s="53"/>
      <c r="V25" s="53">
        <v>790.73</v>
      </c>
      <c r="W25" s="53">
        <v>790.73</v>
      </c>
      <c r="X25" s="53">
        <v>0</v>
      </c>
      <c r="Y25" s="54"/>
    </row>
    <row r="26" spans="1:25" x14ac:dyDescent="0.2">
      <c r="A26" s="50" t="s">
        <v>129</v>
      </c>
      <c r="B26" s="51" t="s">
        <v>65</v>
      </c>
      <c r="C26" s="51" t="s">
        <v>65</v>
      </c>
      <c r="D26" s="52">
        <v>24147</v>
      </c>
      <c r="E26" s="51" t="s">
        <v>113</v>
      </c>
      <c r="F26" s="53">
        <v>695.07</v>
      </c>
      <c r="G26" s="53">
        <v>695.07</v>
      </c>
      <c r="H26" s="53">
        <v>695.07</v>
      </c>
      <c r="I26" s="53">
        <v>0</v>
      </c>
      <c r="J26" s="54">
        <v>0</v>
      </c>
      <c r="K26" s="53">
        <v>725.71</v>
      </c>
      <c r="L26" s="53">
        <v>725.71</v>
      </c>
      <c r="M26" s="53">
        <v>725.71</v>
      </c>
      <c r="N26" s="53">
        <v>0</v>
      </c>
      <c r="O26" s="54">
        <v>0</v>
      </c>
      <c r="P26" s="53">
        <v>767.47</v>
      </c>
      <c r="Q26" s="53">
        <v>767.47</v>
      </c>
      <c r="R26" s="53">
        <v>767.47</v>
      </c>
      <c r="S26" s="53">
        <v>0</v>
      </c>
      <c r="T26" s="54">
        <v>0</v>
      </c>
      <c r="U26" s="53">
        <v>790.73</v>
      </c>
      <c r="V26" s="53">
        <v>790.73</v>
      </c>
      <c r="W26" s="53">
        <v>790.73</v>
      </c>
      <c r="X26" s="53">
        <v>0</v>
      </c>
      <c r="Y26" s="54">
        <v>0</v>
      </c>
    </row>
    <row r="27" spans="1:25" x14ac:dyDescent="0.2">
      <c r="A27" s="50" t="s">
        <v>130</v>
      </c>
      <c r="B27" s="51" t="s">
        <v>65</v>
      </c>
      <c r="C27" s="51" t="s">
        <v>65</v>
      </c>
      <c r="D27" s="52">
        <v>25210</v>
      </c>
      <c r="E27" s="51" t="s">
        <v>131</v>
      </c>
      <c r="F27" s="53">
        <v>653</v>
      </c>
      <c r="G27" s="53">
        <v>653</v>
      </c>
      <c r="H27" s="53">
        <v>653</v>
      </c>
      <c r="I27" s="53">
        <v>0</v>
      </c>
      <c r="J27" s="54">
        <v>0</v>
      </c>
      <c r="K27" s="53">
        <v>681.78</v>
      </c>
      <c r="L27" s="53">
        <v>681.78</v>
      </c>
      <c r="M27" s="53">
        <v>681.78</v>
      </c>
      <c r="N27" s="53">
        <v>0</v>
      </c>
      <c r="O27" s="54">
        <v>0</v>
      </c>
      <c r="P27" s="53">
        <v>721.02</v>
      </c>
      <c r="Q27" s="53">
        <v>721.02</v>
      </c>
      <c r="R27" s="53">
        <v>721.02</v>
      </c>
      <c r="S27" s="53">
        <v>0</v>
      </c>
      <c r="T27" s="54">
        <v>0</v>
      </c>
      <c r="U27" s="53">
        <v>742.87</v>
      </c>
      <c r="V27" s="53">
        <v>742.87</v>
      </c>
      <c r="W27" s="53">
        <v>742.87</v>
      </c>
      <c r="X27" s="53">
        <v>0</v>
      </c>
      <c r="Y27" s="54">
        <v>0</v>
      </c>
    </row>
    <row r="28" spans="1:25" x14ac:dyDescent="0.2">
      <c r="A28" s="50" t="s">
        <v>132</v>
      </c>
      <c r="B28" s="51" t="s">
        <v>65</v>
      </c>
      <c r="C28" s="51" t="s">
        <v>65</v>
      </c>
      <c r="D28" s="52">
        <v>35103</v>
      </c>
      <c r="E28" s="51" t="s">
        <v>113</v>
      </c>
      <c r="F28" s="53">
        <v>392.35</v>
      </c>
      <c r="G28" s="53">
        <v>392.35</v>
      </c>
      <c r="H28" s="53">
        <v>392.35</v>
      </c>
      <c r="I28" s="53">
        <v>0</v>
      </c>
      <c r="J28" s="54">
        <v>0</v>
      </c>
      <c r="K28" s="53">
        <v>409.64</v>
      </c>
      <c r="L28" s="53">
        <v>409.64</v>
      </c>
      <c r="M28" s="53">
        <v>409.64</v>
      </c>
      <c r="N28" s="53">
        <v>0</v>
      </c>
      <c r="O28" s="54">
        <v>0</v>
      </c>
      <c r="P28" s="53">
        <v>433.22</v>
      </c>
      <c r="Q28" s="53">
        <v>433.22</v>
      </c>
      <c r="R28" s="53">
        <v>433.22</v>
      </c>
      <c r="S28" s="53">
        <v>0</v>
      </c>
      <c r="T28" s="54">
        <v>0</v>
      </c>
      <c r="U28" s="53">
        <v>446.35</v>
      </c>
      <c r="V28" s="53">
        <v>446.35</v>
      </c>
      <c r="W28" s="53">
        <v>446.35</v>
      </c>
      <c r="X28" s="53">
        <v>0</v>
      </c>
      <c r="Y28" s="54">
        <v>0</v>
      </c>
    </row>
    <row r="29" spans="1:25" x14ac:dyDescent="0.2">
      <c r="A29" s="50" t="s">
        <v>133</v>
      </c>
      <c r="B29" s="51" t="s">
        <v>65</v>
      </c>
      <c r="C29" s="51" t="s">
        <v>117</v>
      </c>
      <c r="D29" s="52">
        <v>27399</v>
      </c>
      <c r="E29" s="51" t="s">
        <v>113</v>
      </c>
      <c r="F29" s="53">
        <v>1006.93</v>
      </c>
      <c r="G29" s="53">
        <v>546.29999999999995</v>
      </c>
      <c r="H29" s="53">
        <v>546.29999999999995</v>
      </c>
      <c r="I29" s="53">
        <v>0</v>
      </c>
      <c r="J29" s="54">
        <v>0</v>
      </c>
      <c r="K29" s="53">
        <v>1051.32</v>
      </c>
      <c r="L29" s="53">
        <v>570.38</v>
      </c>
      <c r="M29" s="53">
        <v>570.38</v>
      </c>
      <c r="N29" s="53">
        <v>0</v>
      </c>
      <c r="O29" s="54">
        <v>0</v>
      </c>
      <c r="P29" s="53">
        <v>1111.83</v>
      </c>
      <c r="Q29" s="53">
        <v>603.21</v>
      </c>
      <c r="R29" s="53">
        <v>603.21</v>
      </c>
      <c r="S29" s="53">
        <v>0</v>
      </c>
      <c r="T29" s="54">
        <v>0</v>
      </c>
      <c r="U29" s="53">
        <v>1145.53</v>
      </c>
      <c r="V29" s="53">
        <v>621.49</v>
      </c>
      <c r="W29" s="53">
        <v>621.49</v>
      </c>
      <c r="X29" s="53">
        <v>0</v>
      </c>
      <c r="Y29" s="54">
        <v>0</v>
      </c>
    </row>
    <row r="30" spans="1:25" x14ac:dyDescent="0.2">
      <c r="A30" s="50" t="s">
        <v>134</v>
      </c>
      <c r="B30" s="51" t="s">
        <v>107</v>
      </c>
      <c r="C30" s="51"/>
      <c r="D30" s="52">
        <v>29502</v>
      </c>
      <c r="E30" s="51" t="s">
        <v>113</v>
      </c>
      <c r="F30" s="53"/>
      <c r="G30" s="53">
        <v>460.63</v>
      </c>
      <c r="H30" s="53">
        <v>460.63</v>
      </c>
      <c r="I30" s="53">
        <v>0</v>
      </c>
      <c r="J30" s="54"/>
      <c r="K30" s="53"/>
      <c r="L30" s="53">
        <v>480.94</v>
      </c>
      <c r="M30" s="53">
        <v>480.94</v>
      </c>
      <c r="N30" s="53">
        <v>0</v>
      </c>
      <c r="O30" s="54"/>
      <c r="P30" s="53"/>
      <c r="Q30" s="53">
        <v>508.62</v>
      </c>
      <c r="R30" s="53">
        <v>508.62</v>
      </c>
      <c r="S30" s="53">
        <v>0</v>
      </c>
      <c r="T30" s="54"/>
      <c r="U30" s="53"/>
      <c r="V30" s="53">
        <v>524.04</v>
      </c>
      <c r="W30" s="53">
        <v>524.04</v>
      </c>
      <c r="X30" s="53">
        <v>0</v>
      </c>
      <c r="Y30" s="54"/>
    </row>
    <row r="31" spans="1:25" x14ac:dyDescent="0.2">
      <c r="A31" s="50" t="s">
        <v>135</v>
      </c>
      <c r="B31" s="51" t="s">
        <v>65</v>
      </c>
      <c r="C31" s="51" t="s">
        <v>104</v>
      </c>
      <c r="D31" s="52">
        <v>24592</v>
      </c>
      <c r="E31" s="51" t="s">
        <v>111</v>
      </c>
      <c r="F31" s="53">
        <v>1771.21</v>
      </c>
      <c r="G31" s="53">
        <v>695.07</v>
      </c>
      <c r="H31" s="53">
        <v>695.07</v>
      </c>
      <c r="I31" s="53">
        <v>0</v>
      </c>
      <c r="J31" s="54">
        <v>0</v>
      </c>
      <c r="K31" s="53">
        <v>1849.28</v>
      </c>
      <c r="L31" s="53">
        <v>725.71</v>
      </c>
      <c r="M31" s="53">
        <v>725.71</v>
      </c>
      <c r="N31" s="53">
        <v>0</v>
      </c>
      <c r="O31" s="54">
        <v>0</v>
      </c>
      <c r="P31" s="53">
        <v>1955.7</v>
      </c>
      <c r="Q31" s="53">
        <v>767.47</v>
      </c>
      <c r="R31" s="53">
        <v>767.47</v>
      </c>
      <c r="S31" s="53">
        <v>0</v>
      </c>
      <c r="T31" s="54">
        <v>0</v>
      </c>
      <c r="U31" s="53">
        <v>2014.98</v>
      </c>
      <c r="V31" s="53">
        <v>790.73</v>
      </c>
      <c r="W31" s="53">
        <v>790.73</v>
      </c>
      <c r="X31" s="53">
        <v>0</v>
      </c>
      <c r="Y31" s="54">
        <v>0</v>
      </c>
    </row>
    <row r="32" spans="1:25" x14ac:dyDescent="0.2">
      <c r="A32" s="50" t="s">
        <v>136</v>
      </c>
      <c r="B32" s="51" t="s">
        <v>107</v>
      </c>
      <c r="C32" s="51"/>
      <c r="D32" s="52">
        <v>22616</v>
      </c>
      <c r="E32" s="51" t="s">
        <v>111</v>
      </c>
      <c r="F32" s="53"/>
      <c r="G32" s="53">
        <v>695.07</v>
      </c>
      <c r="H32" s="53">
        <v>695.07</v>
      </c>
      <c r="I32" s="53">
        <v>0</v>
      </c>
      <c r="J32" s="54"/>
      <c r="K32" s="53"/>
      <c r="L32" s="53">
        <v>725.71</v>
      </c>
      <c r="M32" s="53">
        <v>725.71</v>
      </c>
      <c r="N32" s="53">
        <v>0</v>
      </c>
      <c r="O32" s="54"/>
      <c r="P32" s="53"/>
      <c r="Q32" s="53">
        <v>767.47</v>
      </c>
      <c r="R32" s="53">
        <v>767.47</v>
      </c>
      <c r="S32" s="53">
        <v>0</v>
      </c>
      <c r="T32" s="54"/>
      <c r="U32" s="53"/>
      <c r="V32" s="53">
        <v>790.73</v>
      </c>
      <c r="W32" s="53">
        <v>790.73</v>
      </c>
      <c r="X32" s="53">
        <v>0</v>
      </c>
      <c r="Y32" s="54"/>
    </row>
    <row r="33" spans="1:25" x14ac:dyDescent="0.2">
      <c r="A33" s="50" t="s">
        <v>137</v>
      </c>
      <c r="B33" s="51" t="s">
        <v>109</v>
      </c>
      <c r="C33" s="51"/>
      <c r="D33" s="52">
        <v>37842</v>
      </c>
      <c r="E33" s="51" t="s">
        <v>111</v>
      </c>
      <c r="F33" s="53"/>
      <c r="G33" s="53">
        <v>381.07</v>
      </c>
      <c r="H33" s="53">
        <v>381.07</v>
      </c>
      <c r="I33" s="53">
        <v>0</v>
      </c>
      <c r="J33" s="54"/>
      <c r="K33" s="53"/>
      <c r="L33" s="53">
        <v>397.86</v>
      </c>
      <c r="M33" s="53">
        <v>397.86</v>
      </c>
      <c r="N33" s="53">
        <v>0</v>
      </c>
      <c r="O33" s="54"/>
      <c r="P33" s="53"/>
      <c r="Q33" s="53">
        <v>420.76</v>
      </c>
      <c r="R33" s="53">
        <v>420.76</v>
      </c>
      <c r="S33" s="53">
        <v>0</v>
      </c>
      <c r="T33" s="54"/>
      <c r="U33" s="53"/>
      <c r="V33" s="53">
        <v>433.52</v>
      </c>
      <c r="W33" s="53">
        <v>433.52</v>
      </c>
      <c r="X33" s="53">
        <v>0</v>
      </c>
      <c r="Y33" s="54"/>
    </row>
    <row r="34" spans="1:25" x14ac:dyDescent="0.2">
      <c r="A34" s="50" t="s">
        <v>138</v>
      </c>
      <c r="B34" s="51" t="s">
        <v>65</v>
      </c>
      <c r="C34" s="51" t="s">
        <v>65</v>
      </c>
      <c r="D34" s="52">
        <v>35401</v>
      </c>
      <c r="E34" s="51" t="s">
        <v>113</v>
      </c>
      <c r="F34" s="53">
        <v>388.69</v>
      </c>
      <c r="G34" s="53">
        <v>388.69</v>
      </c>
      <c r="H34" s="53">
        <v>388.69</v>
      </c>
      <c r="I34" s="53">
        <v>0</v>
      </c>
      <c r="J34" s="54">
        <v>0</v>
      </c>
      <c r="K34" s="53">
        <v>405.82</v>
      </c>
      <c r="L34" s="53">
        <v>405.82</v>
      </c>
      <c r="M34" s="53">
        <v>405.82</v>
      </c>
      <c r="N34" s="53">
        <v>0</v>
      </c>
      <c r="O34" s="54">
        <v>0</v>
      </c>
      <c r="P34" s="53">
        <v>429.18</v>
      </c>
      <c r="Q34" s="53">
        <v>429.18</v>
      </c>
      <c r="R34" s="53">
        <v>429.18</v>
      </c>
      <c r="S34" s="53">
        <v>0</v>
      </c>
      <c r="T34" s="54">
        <v>0</v>
      </c>
      <c r="U34" s="53">
        <v>442.19</v>
      </c>
      <c r="V34" s="53">
        <v>442.19</v>
      </c>
      <c r="W34" s="53">
        <v>442.19</v>
      </c>
      <c r="X34" s="53">
        <v>0</v>
      </c>
      <c r="Y34" s="54">
        <v>0</v>
      </c>
    </row>
    <row r="35" spans="1:25" x14ac:dyDescent="0.2">
      <c r="A35" s="50" t="s">
        <v>139</v>
      </c>
      <c r="B35" s="51" t="s">
        <v>65</v>
      </c>
      <c r="C35" s="51" t="s">
        <v>65</v>
      </c>
      <c r="D35" s="52">
        <v>35453</v>
      </c>
      <c r="E35" s="51" t="s">
        <v>113</v>
      </c>
      <c r="F35" s="53">
        <v>388.69</v>
      </c>
      <c r="G35" s="53">
        <v>388.69</v>
      </c>
      <c r="H35" s="53">
        <v>388.69</v>
      </c>
      <c r="I35" s="53">
        <v>0</v>
      </c>
      <c r="J35" s="54">
        <v>0</v>
      </c>
      <c r="K35" s="53">
        <v>405.82</v>
      </c>
      <c r="L35" s="53">
        <v>405.82</v>
      </c>
      <c r="M35" s="53">
        <v>405.82</v>
      </c>
      <c r="N35" s="53">
        <v>0</v>
      </c>
      <c r="O35" s="54">
        <v>0</v>
      </c>
      <c r="P35" s="53">
        <v>429.18</v>
      </c>
      <c r="Q35" s="53">
        <v>429.18</v>
      </c>
      <c r="R35" s="53">
        <v>429.18</v>
      </c>
      <c r="S35" s="53">
        <v>0</v>
      </c>
      <c r="T35" s="54">
        <v>0</v>
      </c>
      <c r="U35" s="53">
        <v>442.19</v>
      </c>
      <c r="V35" s="53">
        <v>442.19</v>
      </c>
      <c r="W35" s="53">
        <v>442.19</v>
      </c>
      <c r="X35" s="53">
        <v>0</v>
      </c>
      <c r="Y35" s="54">
        <v>0</v>
      </c>
    </row>
    <row r="36" spans="1:25" x14ac:dyDescent="0.2">
      <c r="A36" s="50" t="s">
        <v>140</v>
      </c>
      <c r="B36" s="51" t="s">
        <v>65</v>
      </c>
      <c r="C36" s="51" t="s">
        <v>65</v>
      </c>
      <c r="D36" s="52">
        <v>34864</v>
      </c>
      <c r="E36" s="51" t="s">
        <v>118</v>
      </c>
      <c r="F36" s="53">
        <v>392.35</v>
      </c>
      <c r="G36" s="53">
        <v>392.35</v>
      </c>
      <c r="H36" s="53">
        <v>392.35</v>
      </c>
      <c r="I36" s="53">
        <v>0</v>
      </c>
      <c r="J36" s="54">
        <v>0</v>
      </c>
      <c r="K36" s="53">
        <v>409.64</v>
      </c>
      <c r="L36" s="53">
        <v>409.64</v>
      </c>
      <c r="M36" s="53">
        <v>409.64</v>
      </c>
      <c r="N36" s="53">
        <v>0</v>
      </c>
      <c r="O36" s="54">
        <v>0</v>
      </c>
      <c r="P36" s="53">
        <v>433.22</v>
      </c>
      <c r="Q36" s="53">
        <v>433.22</v>
      </c>
      <c r="R36" s="53">
        <v>433.22</v>
      </c>
      <c r="S36" s="53">
        <v>0</v>
      </c>
      <c r="T36" s="54">
        <v>0</v>
      </c>
      <c r="U36" s="53">
        <v>446.35</v>
      </c>
      <c r="V36" s="53">
        <v>446.35</v>
      </c>
      <c r="W36" s="53">
        <v>446.35</v>
      </c>
      <c r="X36" s="53">
        <v>0</v>
      </c>
      <c r="Y36" s="54">
        <v>0</v>
      </c>
    </row>
    <row r="37" spans="1:25" x14ac:dyDescent="0.2">
      <c r="A37" s="50" t="s">
        <v>141</v>
      </c>
      <c r="B37" s="51" t="s">
        <v>65</v>
      </c>
      <c r="C37" s="51" t="s">
        <v>104</v>
      </c>
      <c r="D37" s="52">
        <v>26666</v>
      </c>
      <c r="E37" s="51" t="s">
        <v>118</v>
      </c>
      <c r="F37" s="53">
        <v>1742.24</v>
      </c>
      <c r="G37" s="53">
        <v>579.83000000000004</v>
      </c>
      <c r="H37" s="53">
        <v>579.83000000000004</v>
      </c>
      <c r="I37" s="53">
        <v>0</v>
      </c>
      <c r="J37" s="54">
        <v>0</v>
      </c>
      <c r="K37" s="53">
        <v>1819.03</v>
      </c>
      <c r="L37" s="53">
        <v>605.39</v>
      </c>
      <c r="M37" s="53">
        <v>605.39</v>
      </c>
      <c r="N37" s="53">
        <v>0</v>
      </c>
      <c r="O37" s="54">
        <v>0</v>
      </c>
      <c r="P37" s="53">
        <v>1923.72</v>
      </c>
      <c r="Q37" s="53">
        <v>640.23</v>
      </c>
      <c r="R37" s="53">
        <v>640.23</v>
      </c>
      <c r="S37" s="53">
        <v>0</v>
      </c>
      <c r="T37" s="54">
        <v>0</v>
      </c>
      <c r="U37" s="53">
        <v>1982.04</v>
      </c>
      <c r="V37" s="53">
        <v>659.64</v>
      </c>
      <c r="W37" s="53">
        <v>659.64</v>
      </c>
      <c r="X37" s="53">
        <v>0</v>
      </c>
      <c r="Y37" s="54">
        <v>0</v>
      </c>
    </row>
    <row r="38" spans="1:25" x14ac:dyDescent="0.2">
      <c r="A38" s="50" t="s">
        <v>142</v>
      </c>
      <c r="B38" s="51" t="s">
        <v>107</v>
      </c>
      <c r="C38" s="51"/>
      <c r="D38" s="52">
        <v>28717</v>
      </c>
      <c r="E38" s="51" t="s">
        <v>118</v>
      </c>
      <c r="F38" s="53"/>
      <c r="G38" s="53">
        <v>485.63</v>
      </c>
      <c r="H38" s="53">
        <v>485.63</v>
      </c>
      <c r="I38" s="53">
        <v>0</v>
      </c>
      <c r="J38" s="54"/>
      <c r="K38" s="53"/>
      <c r="L38" s="53">
        <v>507.04</v>
      </c>
      <c r="M38" s="53">
        <v>507.04</v>
      </c>
      <c r="N38" s="53">
        <v>0</v>
      </c>
      <c r="O38" s="54"/>
      <c r="P38" s="53"/>
      <c r="Q38" s="53">
        <v>536.22</v>
      </c>
      <c r="R38" s="53">
        <v>536.22</v>
      </c>
      <c r="S38" s="53">
        <v>0</v>
      </c>
      <c r="T38" s="54"/>
      <c r="U38" s="53"/>
      <c r="V38" s="53">
        <v>552.47</v>
      </c>
      <c r="W38" s="53">
        <v>552.47</v>
      </c>
      <c r="X38" s="53">
        <v>0</v>
      </c>
      <c r="Y38" s="54"/>
    </row>
    <row r="39" spans="1:25" x14ac:dyDescent="0.2">
      <c r="A39" s="50" t="s">
        <v>143</v>
      </c>
      <c r="B39" s="51" t="s">
        <v>109</v>
      </c>
      <c r="C39" s="51"/>
      <c r="D39" s="52">
        <v>37384</v>
      </c>
      <c r="E39" s="51" t="s">
        <v>118</v>
      </c>
      <c r="F39" s="53"/>
      <c r="G39" s="53">
        <v>381.07</v>
      </c>
      <c r="H39" s="53">
        <v>381.07</v>
      </c>
      <c r="I39" s="53">
        <v>0</v>
      </c>
      <c r="J39" s="54"/>
      <c r="K39" s="53"/>
      <c r="L39" s="53">
        <v>397.86</v>
      </c>
      <c r="M39" s="53">
        <v>397.86</v>
      </c>
      <c r="N39" s="53">
        <v>0</v>
      </c>
      <c r="O39" s="54"/>
      <c r="P39" s="53"/>
      <c r="Q39" s="53">
        <v>420.76</v>
      </c>
      <c r="R39" s="53">
        <v>420.76</v>
      </c>
      <c r="S39" s="53">
        <v>0</v>
      </c>
      <c r="T39" s="54"/>
      <c r="U39" s="53"/>
      <c r="V39" s="53">
        <v>433.52</v>
      </c>
      <c r="W39" s="53">
        <v>433.52</v>
      </c>
      <c r="X39" s="53">
        <v>0</v>
      </c>
      <c r="Y39" s="54"/>
    </row>
    <row r="40" spans="1:25" x14ac:dyDescent="0.2">
      <c r="A40" s="50" t="s">
        <v>144</v>
      </c>
      <c r="B40" s="51" t="s">
        <v>109</v>
      </c>
      <c r="C40" s="51"/>
      <c r="D40" s="52">
        <v>38688</v>
      </c>
      <c r="E40" s="51" t="s">
        <v>118</v>
      </c>
      <c r="F40" s="53"/>
      <c r="G40" s="53">
        <v>295.70999999999998</v>
      </c>
      <c r="H40" s="53">
        <v>295.70999999999998</v>
      </c>
      <c r="I40" s="53">
        <v>0</v>
      </c>
      <c r="J40" s="54"/>
      <c r="K40" s="53"/>
      <c r="L40" s="53">
        <v>308.74</v>
      </c>
      <c r="M40" s="53">
        <v>308.74</v>
      </c>
      <c r="N40" s="53">
        <v>0</v>
      </c>
      <c r="O40" s="54"/>
      <c r="P40" s="53"/>
      <c r="Q40" s="53">
        <v>326.51</v>
      </c>
      <c r="R40" s="53">
        <v>326.51</v>
      </c>
      <c r="S40" s="53">
        <v>0</v>
      </c>
      <c r="T40" s="54"/>
      <c r="U40" s="53"/>
      <c r="V40" s="53">
        <v>336.41</v>
      </c>
      <c r="W40" s="53">
        <v>336.41</v>
      </c>
      <c r="X40" s="53">
        <v>0</v>
      </c>
      <c r="Y40" s="54"/>
    </row>
    <row r="41" spans="1:25" x14ac:dyDescent="0.2">
      <c r="A41" s="50" t="s">
        <v>145</v>
      </c>
      <c r="B41" s="51" t="s">
        <v>65</v>
      </c>
      <c r="C41" s="51" t="s">
        <v>65</v>
      </c>
      <c r="D41" s="52">
        <v>36146</v>
      </c>
      <c r="E41" s="51" t="s">
        <v>111</v>
      </c>
      <c r="F41" s="53">
        <v>381.07</v>
      </c>
      <c r="G41" s="53">
        <v>381.07</v>
      </c>
      <c r="H41" s="53">
        <v>381.07</v>
      </c>
      <c r="I41" s="53">
        <v>0</v>
      </c>
      <c r="J41" s="54">
        <v>0</v>
      </c>
      <c r="K41" s="53">
        <v>397.86</v>
      </c>
      <c r="L41" s="53">
        <v>397.86</v>
      </c>
      <c r="M41" s="53">
        <v>397.86</v>
      </c>
      <c r="N41" s="53">
        <v>0</v>
      </c>
      <c r="O41" s="54">
        <v>0</v>
      </c>
      <c r="P41" s="53">
        <v>420.76</v>
      </c>
      <c r="Q41" s="53">
        <v>420.76</v>
      </c>
      <c r="R41" s="53">
        <v>420.76</v>
      </c>
      <c r="S41" s="53">
        <v>0</v>
      </c>
      <c r="T41" s="54">
        <v>0</v>
      </c>
      <c r="U41" s="53">
        <v>433.52</v>
      </c>
      <c r="V41" s="53">
        <v>433.52</v>
      </c>
      <c r="W41" s="53">
        <v>433.52</v>
      </c>
      <c r="X41" s="53">
        <v>0</v>
      </c>
      <c r="Y41" s="54">
        <v>0</v>
      </c>
    </row>
    <row r="42" spans="1:25" x14ac:dyDescent="0.2">
      <c r="A42" s="50" t="s">
        <v>146</v>
      </c>
      <c r="B42" s="51" t="s">
        <v>65</v>
      </c>
      <c r="C42" s="51" t="s">
        <v>65</v>
      </c>
      <c r="D42" s="52">
        <v>35249</v>
      </c>
      <c r="E42" s="51" t="s">
        <v>147</v>
      </c>
      <c r="F42" s="53">
        <v>388.69</v>
      </c>
      <c r="G42" s="53">
        <v>388.69</v>
      </c>
      <c r="H42" s="53">
        <v>388.69</v>
      </c>
      <c r="I42" s="53">
        <v>0</v>
      </c>
      <c r="J42" s="54">
        <v>0</v>
      </c>
      <c r="K42" s="53">
        <v>405.82</v>
      </c>
      <c r="L42" s="53">
        <v>405.82</v>
      </c>
      <c r="M42" s="53">
        <v>405.82</v>
      </c>
      <c r="N42" s="53">
        <v>0</v>
      </c>
      <c r="O42" s="54">
        <v>0</v>
      </c>
      <c r="P42" s="53">
        <v>429.18</v>
      </c>
      <c r="Q42" s="53">
        <v>429.18</v>
      </c>
      <c r="R42" s="53">
        <v>429.18</v>
      </c>
      <c r="S42" s="53">
        <v>0</v>
      </c>
      <c r="T42" s="54">
        <v>0</v>
      </c>
      <c r="U42" s="53">
        <v>442.19</v>
      </c>
      <c r="V42" s="53">
        <v>442.19</v>
      </c>
      <c r="W42" s="53">
        <v>442.19</v>
      </c>
      <c r="X42" s="53">
        <v>0</v>
      </c>
      <c r="Y42" s="54">
        <v>0</v>
      </c>
    </row>
    <row r="43" spans="1:25" ht="16.149999999999999" customHeight="1" x14ac:dyDescent="0.2">
      <c r="A43" s="226" t="s">
        <v>81</v>
      </c>
      <c r="B43" s="227"/>
      <c r="C43" s="227"/>
      <c r="D43" s="227"/>
      <c r="E43" s="227"/>
      <c r="F43" s="211" t="s">
        <v>47</v>
      </c>
      <c r="G43" s="212"/>
      <c r="H43" s="212"/>
      <c r="I43" s="212"/>
      <c r="J43" s="213"/>
      <c r="K43" s="211" t="s">
        <v>48</v>
      </c>
      <c r="L43" s="212"/>
      <c r="M43" s="212"/>
      <c r="N43" s="212"/>
      <c r="O43" s="213"/>
      <c r="P43" s="211" t="s">
        <v>49</v>
      </c>
      <c r="Q43" s="212"/>
      <c r="R43" s="212"/>
      <c r="S43" s="212"/>
      <c r="T43" s="213"/>
      <c r="U43" s="211" t="s">
        <v>50</v>
      </c>
      <c r="V43" s="212"/>
      <c r="W43" s="212"/>
      <c r="X43" s="212"/>
      <c r="Y43" s="213"/>
    </row>
    <row r="44" spans="1:25" ht="13.9" customHeight="1" x14ac:dyDescent="0.2">
      <c r="A44" s="228" t="s">
        <v>82</v>
      </c>
      <c r="B44" s="229"/>
      <c r="C44" s="229"/>
      <c r="D44" s="229"/>
      <c r="E44" s="229"/>
      <c r="F44" s="214">
        <v>4374.37</v>
      </c>
      <c r="G44" s="215"/>
      <c r="H44" s="215"/>
      <c r="I44" s="215"/>
      <c r="J44" s="216"/>
      <c r="K44" s="214">
        <v>4567.17</v>
      </c>
      <c r="L44" s="215"/>
      <c r="M44" s="215"/>
      <c r="N44" s="215"/>
      <c r="O44" s="216"/>
      <c r="P44" s="214">
        <v>4830.01</v>
      </c>
      <c r="Q44" s="215"/>
      <c r="R44" s="215"/>
      <c r="S44" s="215"/>
      <c r="T44" s="216"/>
      <c r="U44" s="214">
        <v>4976.41</v>
      </c>
      <c r="V44" s="215"/>
      <c r="W44" s="215"/>
      <c r="X44" s="215"/>
      <c r="Y44" s="216"/>
    </row>
    <row r="45" spans="1:25" ht="13.9" customHeight="1" x14ac:dyDescent="0.2">
      <c r="A45" s="230" t="s">
        <v>83</v>
      </c>
      <c r="B45" s="231"/>
      <c r="C45" s="231"/>
      <c r="D45" s="231"/>
      <c r="E45" s="231"/>
      <c r="F45" s="208">
        <f>F44*12</f>
        <v>52492.44</v>
      </c>
      <c r="G45" s="209"/>
      <c r="H45" s="209"/>
      <c r="I45" s="209"/>
      <c r="J45" s="210"/>
      <c r="K45" s="208">
        <f>K44*12</f>
        <v>54806.04</v>
      </c>
      <c r="L45" s="209"/>
      <c r="M45" s="209"/>
      <c r="N45" s="209"/>
      <c r="O45" s="210"/>
      <c r="P45" s="208">
        <f>P44*12</f>
        <v>57960.12</v>
      </c>
      <c r="Q45" s="209"/>
      <c r="R45" s="209"/>
      <c r="S45" s="209"/>
      <c r="T45" s="210"/>
      <c r="U45" s="208">
        <f>U44*12</f>
        <v>59716.92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A00-000000000000}"/>
    <hyperlink ref="F46" r:id="rId2" xr:uid="{00000000-0004-0000-4A00-000001000000}"/>
    <hyperlink ref="K7" r:id="rId3" xr:uid="{00000000-0004-0000-4A00-000002000000}"/>
    <hyperlink ref="K46" r:id="rId4" xr:uid="{00000000-0004-0000-4A00-000003000000}"/>
    <hyperlink ref="P7" r:id="rId5" xr:uid="{00000000-0004-0000-4A00-000004000000}"/>
    <hyperlink ref="P46" r:id="rId6" xr:uid="{00000000-0004-0000-4A00-000005000000}"/>
    <hyperlink ref="U7" r:id="rId7" xr:uid="{00000000-0004-0000-4A00-000006000000}"/>
    <hyperlink ref="U46" r:id="rId8" xr:uid="{00000000-0004-0000-4A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3CEC-30A3-4176-B949-04D6F3114584}">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152</v>
      </c>
      <c r="G6" s="122"/>
      <c r="H6" s="122"/>
      <c r="I6" s="122"/>
      <c r="J6" s="124"/>
      <c r="K6" s="121" t="s">
        <v>154</v>
      </c>
      <c r="L6" s="122"/>
      <c r="M6" s="122"/>
      <c r="N6" s="122"/>
      <c r="O6" s="124"/>
      <c r="P6" s="121" t="s">
        <v>156</v>
      </c>
      <c r="Q6" s="122"/>
      <c r="R6" s="122"/>
      <c r="S6" s="122"/>
      <c r="T6" s="124"/>
      <c r="U6" s="121" t="s">
        <v>158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153</v>
      </c>
      <c r="G8" s="233"/>
      <c r="H8" s="233"/>
      <c r="I8" s="233"/>
      <c r="J8" s="234"/>
      <c r="K8" s="232" t="s">
        <v>155</v>
      </c>
      <c r="L8" s="233"/>
      <c r="M8" s="233"/>
      <c r="N8" s="233"/>
      <c r="O8" s="234"/>
      <c r="P8" s="232" t="s">
        <v>157</v>
      </c>
      <c r="Q8" s="233"/>
      <c r="R8" s="233"/>
      <c r="S8" s="233"/>
      <c r="T8" s="234"/>
      <c r="U8" s="232" t="s">
        <v>159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1754.01</v>
      </c>
      <c r="G10" s="53">
        <v>801.27</v>
      </c>
      <c r="H10" s="53">
        <v>801.27</v>
      </c>
      <c r="I10" s="53">
        <v>0</v>
      </c>
      <c r="J10" s="54">
        <v>0</v>
      </c>
      <c r="K10" s="53">
        <v>1911.09</v>
      </c>
      <c r="L10" s="53">
        <v>873.03</v>
      </c>
      <c r="M10" s="53">
        <v>873.03</v>
      </c>
      <c r="N10" s="53">
        <v>0</v>
      </c>
      <c r="O10" s="54">
        <v>0</v>
      </c>
      <c r="P10" s="53">
        <v>2152.44</v>
      </c>
      <c r="Q10" s="53">
        <v>983.28</v>
      </c>
      <c r="R10" s="53">
        <v>983.28</v>
      </c>
      <c r="S10" s="53">
        <v>0</v>
      </c>
      <c r="T10" s="54">
        <v>0</v>
      </c>
      <c r="U10" s="53">
        <v>2228.04</v>
      </c>
      <c r="V10" s="53">
        <v>1017.82</v>
      </c>
      <c r="W10" s="53">
        <v>1017.82</v>
      </c>
      <c r="X10" s="53">
        <v>0</v>
      </c>
      <c r="Y10" s="54">
        <v>0</v>
      </c>
    </row>
    <row r="11" spans="1:25" x14ac:dyDescent="0.2">
      <c r="A11" s="50" t="s">
        <v>106</v>
      </c>
      <c r="B11" s="51" t="s">
        <v>107</v>
      </c>
      <c r="C11" s="51"/>
      <c r="D11" s="52">
        <v>27837</v>
      </c>
      <c r="E11" s="51" t="s">
        <v>105</v>
      </c>
      <c r="F11" s="53"/>
      <c r="G11" s="53">
        <v>611.85</v>
      </c>
      <c r="H11" s="53">
        <v>611.85</v>
      </c>
      <c r="I11" s="53">
        <v>0</v>
      </c>
      <c r="J11" s="54"/>
      <c r="K11" s="53"/>
      <c r="L11" s="53">
        <v>666.64</v>
      </c>
      <c r="M11" s="53">
        <v>666.64</v>
      </c>
      <c r="N11" s="53">
        <v>0</v>
      </c>
      <c r="O11" s="54"/>
      <c r="P11" s="53"/>
      <c r="Q11" s="53">
        <v>750.83</v>
      </c>
      <c r="R11" s="53">
        <v>750.83</v>
      </c>
      <c r="S11" s="53">
        <v>0</v>
      </c>
      <c r="T11" s="54"/>
      <c r="U11" s="53"/>
      <c r="V11" s="53">
        <v>777.2</v>
      </c>
      <c r="W11" s="53">
        <v>777.2</v>
      </c>
      <c r="X11" s="53">
        <v>0</v>
      </c>
      <c r="Y11" s="54"/>
    </row>
    <row r="12" spans="1:25" x14ac:dyDescent="0.2">
      <c r="A12" s="50" t="s">
        <v>108</v>
      </c>
      <c r="B12" s="51" t="s">
        <v>109</v>
      </c>
      <c r="C12" s="51"/>
      <c r="D12" s="52">
        <v>38648</v>
      </c>
      <c r="E12" s="51" t="s">
        <v>105</v>
      </c>
      <c r="F12" s="53"/>
      <c r="G12" s="53">
        <v>340.89</v>
      </c>
      <c r="H12" s="53">
        <v>340.89</v>
      </c>
      <c r="I12" s="53">
        <v>0</v>
      </c>
      <c r="J12" s="54"/>
      <c r="K12" s="53"/>
      <c r="L12" s="53">
        <v>371.42</v>
      </c>
      <c r="M12" s="53">
        <v>371.42</v>
      </c>
      <c r="N12" s="53">
        <v>0</v>
      </c>
      <c r="O12" s="54"/>
      <c r="P12" s="53"/>
      <c r="Q12" s="53">
        <v>418.33</v>
      </c>
      <c r="R12" s="53">
        <v>418.33</v>
      </c>
      <c r="S12" s="53">
        <v>0</v>
      </c>
      <c r="T12" s="54"/>
      <c r="U12" s="53"/>
      <c r="V12" s="53">
        <v>433.02</v>
      </c>
      <c r="W12" s="53">
        <v>433.02</v>
      </c>
      <c r="X12" s="53">
        <v>0</v>
      </c>
      <c r="Y12" s="54"/>
    </row>
    <row r="13" spans="1:25" x14ac:dyDescent="0.2">
      <c r="A13" s="50" t="s">
        <v>110</v>
      </c>
      <c r="B13" s="51" t="s">
        <v>65</v>
      </c>
      <c r="C13" s="51" t="s">
        <v>65</v>
      </c>
      <c r="D13" s="52">
        <v>36345</v>
      </c>
      <c r="E13" s="51" t="s">
        <v>111</v>
      </c>
      <c r="F13" s="53">
        <v>439.29</v>
      </c>
      <c r="G13" s="53">
        <v>439.29</v>
      </c>
      <c r="H13" s="53">
        <v>439.29</v>
      </c>
      <c r="I13" s="53">
        <v>0</v>
      </c>
      <c r="J13" s="54">
        <v>0</v>
      </c>
      <c r="K13" s="53">
        <v>478.64</v>
      </c>
      <c r="L13" s="53">
        <v>478.64</v>
      </c>
      <c r="M13" s="53">
        <v>478.64</v>
      </c>
      <c r="N13" s="53">
        <v>0</v>
      </c>
      <c r="O13" s="54">
        <v>0</v>
      </c>
      <c r="P13" s="53">
        <v>539.08000000000004</v>
      </c>
      <c r="Q13" s="53">
        <v>539.08000000000004</v>
      </c>
      <c r="R13" s="53">
        <v>539.08000000000004</v>
      </c>
      <c r="S13" s="53">
        <v>0</v>
      </c>
      <c r="T13" s="54">
        <v>0</v>
      </c>
      <c r="U13" s="53">
        <v>558.01</v>
      </c>
      <c r="V13" s="53">
        <v>558.01</v>
      </c>
      <c r="W13" s="53">
        <v>558.01</v>
      </c>
      <c r="X13" s="53">
        <v>0</v>
      </c>
      <c r="Y13" s="54">
        <v>0</v>
      </c>
    </row>
    <row r="14" spans="1:25" x14ac:dyDescent="0.2">
      <c r="A14" s="50" t="s">
        <v>112</v>
      </c>
      <c r="B14" s="51" t="s">
        <v>65</v>
      </c>
      <c r="C14" s="51" t="s">
        <v>104</v>
      </c>
      <c r="D14" s="52">
        <v>24895</v>
      </c>
      <c r="E14" s="51" t="s">
        <v>113</v>
      </c>
      <c r="F14" s="53">
        <v>1917.42</v>
      </c>
      <c r="G14" s="53">
        <v>775.26</v>
      </c>
      <c r="H14" s="53">
        <v>775.26</v>
      </c>
      <c r="I14" s="53">
        <v>0</v>
      </c>
      <c r="J14" s="54">
        <v>0</v>
      </c>
      <c r="K14" s="53">
        <v>2089.15</v>
      </c>
      <c r="L14" s="53">
        <v>844.7</v>
      </c>
      <c r="M14" s="53">
        <v>844.7</v>
      </c>
      <c r="N14" s="53">
        <v>0</v>
      </c>
      <c r="O14" s="54">
        <v>0</v>
      </c>
      <c r="P14" s="53">
        <v>2352.98</v>
      </c>
      <c r="Q14" s="53">
        <v>951.37</v>
      </c>
      <c r="R14" s="53">
        <v>951.37</v>
      </c>
      <c r="S14" s="53">
        <v>0</v>
      </c>
      <c r="T14" s="54">
        <v>0</v>
      </c>
      <c r="U14" s="53">
        <v>2435.62</v>
      </c>
      <c r="V14" s="53">
        <v>984.78</v>
      </c>
      <c r="W14" s="53">
        <v>984.78</v>
      </c>
      <c r="X14" s="53">
        <v>0</v>
      </c>
      <c r="Y14" s="54">
        <v>0</v>
      </c>
    </row>
    <row r="15" spans="1:25" x14ac:dyDescent="0.2">
      <c r="A15" s="50" t="s">
        <v>114</v>
      </c>
      <c r="B15" s="51" t="s">
        <v>107</v>
      </c>
      <c r="C15" s="51"/>
      <c r="D15" s="52">
        <v>24269</v>
      </c>
      <c r="E15" s="51" t="s">
        <v>113</v>
      </c>
      <c r="F15" s="53"/>
      <c r="G15" s="53">
        <v>801.27</v>
      </c>
      <c r="H15" s="53">
        <v>801.27</v>
      </c>
      <c r="I15" s="53">
        <v>0</v>
      </c>
      <c r="J15" s="54"/>
      <c r="K15" s="53"/>
      <c r="L15" s="53">
        <v>873.03</v>
      </c>
      <c r="M15" s="53">
        <v>873.03</v>
      </c>
      <c r="N15" s="53">
        <v>0</v>
      </c>
      <c r="O15" s="54"/>
      <c r="P15" s="53"/>
      <c r="Q15" s="53">
        <v>983.28</v>
      </c>
      <c r="R15" s="53">
        <v>983.28</v>
      </c>
      <c r="S15" s="53">
        <v>0</v>
      </c>
      <c r="T15" s="54"/>
      <c r="U15" s="53"/>
      <c r="V15" s="53">
        <v>1017.82</v>
      </c>
      <c r="W15" s="53">
        <v>1017.82</v>
      </c>
      <c r="X15" s="53">
        <v>0</v>
      </c>
      <c r="Y15" s="54"/>
    </row>
    <row r="16" spans="1:25" x14ac:dyDescent="0.2">
      <c r="A16" s="50" t="s">
        <v>115</v>
      </c>
      <c r="B16" s="51" t="s">
        <v>109</v>
      </c>
      <c r="C16" s="51"/>
      <c r="D16" s="52">
        <v>38614</v>
      </c>
      <c r="E16" s="51" t="s">
        <v>113</v>
      </c>
      <c r="F16" s="53"/>
      <c r="G16" s="53">
        <v>340.89</v>
      </c>
      <c r="H16" s="53">
        <v>340.89</v>
      </c>
      <c r="I16" s="53">
        <v>0</v>
      </c>
      <c r="J16" s="54"/>
      <c r="K16" s="53"/>
      <c r="L16" s="53">
        <v>371.42</v>
      </c>
      <c r="M16" s="53">
        <v>371.42</v>
      </c>
      <c r="N16" s="53">
        <v>0</v>
      </c>
      <c r="O16" s="54"/>
      <c r="P16" s="53"/>
      <c r="Q16" s="53">
        <v>418.33</v>
      </c>
      <c r="R16" s="53">
        <v>418.33</v>
      </c>
      <c r="S16" s="53">
        <v>0</v>
      </c>
      <c r="T16" s="54"/>
      <c r="U16" s="53"/>
      <c r="V16" s="53">
        <v>433.02</v>
      </c>
      <c r="W16" s="53">
        <v>433.02</v>
      </c>
      <c r="X16" s="53">
        <v>0</v>
      </c>
      <c r="Y16" s="54"/>
    </row>
    <row r="17" spans="1:25" x14ac:dyDescent="0.2">
      <c r="A17" s="50" t="s">
        <v>116</v>
      </c>
      <c r="B17" s="51" t="s">
        <v>65</v>
      </c>
      <c r="C17" s="51" t="s">
        <v>117</v>
      </c>
      <c r="D17" s="52">
        <v>18453</v>
      </c>
      <c r="E17" s="51" t="s">
        <v>118</v>
      </c>
      <c r="F17" s="53">
        <v>1602.54</v>
      </c>
      <c r="G17" s="53">
        <v>801.27</v>
      </c>
      <c r="H17" s="53">
        <v>801.27</v>
      </c>
      <c r="I17" s="53">
        <v>0</v>
      </c>
      <c r="J17" s="54">
        <v>0</v>
      </c>
      <c r="K17" s="53">
        <v>1746.06</v>
      </c>
      <c r="L17" s="53">
        <v>873.03</v>
      </c>
      <c r="M17" s="53">
        <v>873.03</v>
      </c>
      <c r="N17" s="53">
        <v>0</v>
      </c>
      <c r="O17" s="54">
        <v>0</v>
      </c>
      <c r="P17" s="53">
        <v>1966.56</v>
      </c>
      <c r="Q17" s="53">
        <v>983.28</v>
      </c>
      <c r="R17" s="53">
        <v>983.28</v>
      </c>
      <c r="S17" s="53">
        <v>0</v>
      </c>
      <c r="T17" s="54">
        <v>0</v>
      </c>
      <c r="U17" s="53">
        <v>2035.64</v>
      </c>
      <c r="V17" s="53">
        <v>1017.82</v>
      </c>
      <c r="W17" s="53">
        <v>1017.82</v>
      </c>
      <c r="X17" s="53">
        <v>0</v>
      </c>
      <c r="Y17" s="54">
        <v>0</v>
      </c>
    </row>
    <row r="18" spans="1:25" x14ac:dyDescent="0.2">
      <c r="A18" s="50" t="s">
        <v>119</v>
      </c>
      <c r="B18" s="51" t="s">
        <v>107</v>
      </c>
      <c r="C18" s="51"/>
      <c r="D18" s="52">
        <v>19761</v>
      </c>
      <c r="E18" s="51" t="s">
        <v>118</v>
      </c>
      <c r="F18" s="53"/>
      <c r="G18" s="53">
        <v>801.27</v>
      </c>
      <c r="H18" s="53">
        <v>801.27</v>
      </c>
      <c r="I18" s="53">
        <v>0</v>
      </c>
      <c r="J18" s="54"/>
      <c r="K18" s="53"/>
      <c r="L18" s="53">
        <v>873.03</v>
      </c>
      <c r="M18" s="53">
        <v>873.03</v>
      </c>
      <c r="N18" s="53">
        <v>0</v>
      </c>
      <c r="O18" s="54"/>
      <c r="P18" s="53"/>
      <c r="Q18" s="53">
        <v>983.28</v>
      </c>
      <c r="R18" s="53">
        <v>983.28</v>
      </c>
      <c r="S18" s="53">
        <v>0</v>
      </c>
      <c r="T18" s="54"/>
      <c r="U18" s="53"/>
      <c r="V18" s="53">
        <v>1017.82</v>
      </c>
      <c r="W18" s="53">
        <v>1017.82</v>
      </c>
      <c r="X18" s="53">
        <v>0</v>
      </c>
      <c r="Y18" s="54"/>
    </row>
    <row r="19" spans="1:25" x14ac:dyDescent="0.2">
      <c r="A19" s="50" t="s">
        <v>120</v>
      </c>
      <c r="B19" s="51" t="s">
        <v>65</v>
      </c>
      <c r="C19" s="51" t="s">
        <v>65</v>
      </c>
      <c r="D19" s="52">
        <v>35733</v>
      </c>
      <c r="E19" s="51" t="s">
        <v>121</v>
      </c>
      <c r="F19" s="53">
        <v>439.29</v>
      </c>
      <c r="G19" s="53">
        <v>439.29</v>
      </c>
      <c r="H19" s="53">
        <v>439.29</v>
      </c>
      <c r="I19" s="53">
        <v>0</v>
      </c>
      <c r="J19" s="54">
        <v>0</v>
      </c>
      <c r="K19" s="53">
        <v>478.64</v>
      </c>
      <c r="L19" s="53">
        <v>478.64</v>
      </c>
      <c r="M19" s="53">
        <v>478.64</v>
      </c>
      <c r="N19" s="53">
        <v>0</v>
      </c>
      <c r="O19" s="54">
        <v>0</v>
      </c>
      <c r="P19" s="53">
        <v>539.08000000000004</v>
      </c>
      <c r="Q19" s="53">
        <v>539.08000000000004</v>
      </c>
      <c r="R19" s="53">
        <v>539.08000000000004</v>
      </c>
      <c r="S19" s="53">
        <v>0</v>
      </c>
      <c r="T19" s="54">
        <v>0</v>
      </c>
      <c r="U19" s="53">
        <v>558.01</v>
      </c>
      <c r="V19" s="53">
        <v>558.01</v>
      </c>
      <c r="W19" s="53">
        <v>558.01</v>
      </c>
      <c r="X19" s="53">
        <v>0</v>
      </c>
      <c r="Y19" s="54">
        <v>0</v>
      </c>
    </row>
    <row r="20" spans="1:25" x14ac:dyDescent="0.2">
      <c r="A20" s="50" t="s">
        <v>122</v>
      </c>
      <c r="B20" s="51" t="s">
        <v>65</v>
      </c>
      <c r="C20" s="51" t="s">
        <v>104</v>
      </c>
      <c r="D20" s="52">
        <v>24958</v>
      </c>
      <c r="E20" s="51" t="s">
        <v>123</v>
      </c>
      <c r="F20" s="53">
        <v>2199.62</v>
      </c>
      <c r="G20" s="53">
        <v>775.26</v>
      </c>
      <c r="H20" s="53">
        <v>775.26</v>
      </c>
      <c r="I20" s="53">
        <v>0</v>
      </c>
      <c r="J20" s="54">
        <v>0</v>
      </c>
      <c r="K20" s="53">
        <v>2396.63</v>
      </c>
      <c r="L20" s="53">
        <v>844.7</v>
      </c>
      <c r="M20" s="53">
        <v>844.7</v>
      </c>
      <c r="N20" s="53">
        <v>0</v>
      </c>
      <c r="O20" s="54">
        <v>0</v>
      </c>
      <c r="P20" s="53">
        <v>2699.29</v>
      </c>
      <c r="Q20" s="53">
        <v>951.37</v>
      </c>
      <c r="R20" s="53">
        <v>951.37</v>
      </c>
      <c r="S20" s="53">
        <v>0</v>
      </c>
      <c r="T20" s="54">
        <v>0</v>
      </c>
      <c r="U20" s="53">
        <v>2794.08</v>
      </c>
      <c r="V20" s="53">
        <v>984.78</v>
      </c>
      <c r="W20" s="53">
        <v>984.78</v>
      </c>
      <c r="X20" s="53">
        <v>0</v>
      </c>
      <c r="Y20" s="54">
        <v>0</v>
      </c>
    </row>
    <row r="21" spans="1:25" x14ac:dyDescent="0.2">
      <c r="A21" s="50" t="s">
        <v>124</v>
      </c>
      <c r="B21" s="51" t="s">
        <v>107</v>
      </c>
      <c r="C21" s="51"/>
      <c r="D21" s="52">
        <v>25342</v>
      </c>
      <c r="E21" s="51" t="s">
        <v>123</v>
      </c>
      <c r="F21" s="53"/>
      <c r="G21" s="53">
        <v>752.77</v>
      </c>
      <c r="H21" s="53">
        <v>752.77</v>
      </c>
      <c r="I21" s="53">
        <v>0</v>
      </c>
      <c r="J21" s="54"/>
      <c r="K21" s="53"/>
      <c r="L21" s="53">
        <v>820.19</v>
      </c>
      <c r="M21" s="53">
        <v>820.19</v>
      </c>
      <c r="N21" s="53">
        <v>0</v>
      </c>
      <c r="O21" s="54"/>
      <c r="P21" s="53"/>
      <c r="Q21" s="53">
        <v>923.77</v>
      </c>
      <c r="R21" s="53">
        <v>923.77</v>
      </c>
      <c r="S21" s="53">
        <v>0</v>
      </c>
      <c r="T21" s="54"/>
      <c r="U21" s="53"/>
      <c r="V21" s="53">
        <v>956.21</v>
      </c>
      <c r="W21" s="53">
        <v>956.21</v>
      </c>
      <c r="X21" s="53">
        <v>0</v>
      </c>
      <c r="Y21" s="54"/>
    </row>
    <row r="22" spans="1:25" x14ac:dyDescent="0.2">
      <c r="A22" s="50" t="s">
        <v>125</v>
      </c>
      <c r="B22" s="51" t="s">
        <v>109</v>
      </c>
      <c r="C22" s="51"/>
      <c r="D22" s="52">
        <v>38632</v>
      </c>
      <c r="E22" s="51" t="s">
        <v>123</v>
      </c>
      <c r="F22" s="53"/>
      <c r="G22" s="53">
        <v>340.89</v>
      </c>
      <c r="H22" s="53">
        <v>340.89</v>
      </c>
      <c r="I22" s="53">
        <v>0</v>
      </c>
      <c r="J22" s="54"/>
      <c r="K22" s="53"/>
      <c r="L22" s="53">
        <v>371.42</v>
      </c>
      <c r="M22" s="53">
        <v>371.42</v>
      </c>
      <c r="N22" s="53">
        <v>0</v>
      </c>
      <c r="O22" s="54"/>
      <c r="P22" s="53"/>
      <c r="Q22" s="53">
        <v>418.33</v>
      </c>
      <c r="R22" s="53">
        <v>418.33</v>
      </c>
      <c r="S22" s="53">
        <v>0</v>
      </c>
      <c r="T22" s="54"/>
      <c r="U22" s="53"/>
      <c r="V22" s="53">
        <v>433.02</v>
      </c>
      <c r="W22" s="53">
        <v>433.02</v>
      </c>
      <c r="X22" s="53">
        <v>0</v>
      </c>
      <c r="Y22" s="54"/>
    </row>
    <row r="23" spans="1:25" x14ac:dyDescent="0.2">
      <c r="A23" s="50" t="s">
        <v>126</v>
      </c>
      <c r="B23" s="51" t="s">
        <v>109</v>
      </c>
      <c r="C23" s="51"/>
      <c r="D23" s="52">
        <v>39092</v>
      </c>
      <c r="E23" s="51" t="s">
        <v>123</v>
      </c>
      <c r="F23" s="53"/>
      <c r="G23" s="53">
        <v>330.7</v>
      </c>
      <c r="H23" s="53">
        <v>330.7</v>
      </c>
      <c r="I23" s="53">
        <v>0</v>
      </c>
      <c r="J23" s="54"/>
      <c r="K23" s="53"/>
      <c r="L23" s="53">
        <v>360.32</v>
      </c>
      <c r="M23" s="53">
        <v>360.32</v>
      </c>
      <c r="N23" s="53">
        <v>0</v>
      </c>
      <c r="O23" s="54"/>
      <c r="P23" s="53"/>
      <c r="Q23" s="53">
        <v>405.82</v>
      </c>
      <c r="R23" s="53">
        <v>405.82</v>
      </c>
      <c r="S23" s="53">
        <v>0</v>
      </c>
      <c r="T23" s="54"/>
      <c r="U23" s="53"/>
      <c r="V23" s="53">
        <v>420.07</v>
      </c>
      <c r="W23" s="53">
        <v>420.07</v>
      </c>
      <c r="X23" s="53">
        <v>0</v>
      </c>
      <c r="Y23" s="54"/>
    </row>
    <row r="24" spans="1:25" x14ac:dyDescent="0.2">
      <c r="A24" s="50" t="s">
        <v>127</v>
      </c>
      <c r="B24" s="51" t="s">
        <v>65</v>
      </c>
      <c r="C24" s="51" t="s">
        <v>117</v>
      </c>
      <c r="D24" s="52">
        <v>21309</v>
      </c>
      <c r="E24" s="51" t="s">
        <v>96</v>
      </c>
      <c r="F24" s="53">
        <v>1602.54</v>
      </c>
      <c r="G24" s="53">
        <v>801.27</v>
      </c>
      <c r="H24" s="53">
        <v>801.27</v>
      </c>
      <c r="I24" s="53">
        <v>0</v>
      </c>
      <c r="J24" s="54">
        <v>0</v>
      </c>
      <c r="K24" s="53">
        <v>1746.06</v>
      </c>
      <c r="L24" s="53">
        <v>873.03</v>
      </c>
      <c r="M24" s="53">
        <v>873.03</v>
      </c>
      <c r="N24" s="53">
        <v>0</v>
      </c>
      <c r="O24" s="54">
        <v>0</v>
      </c>
      <c r="P24" s="53">
        <v>1966.56</v>
      </c>
      <c r="Q24" s="53">
        <v>983.28</v>
      </c>
      <c r="R24" s="53">
        <v>983.28</v>
      </c>
      <c r="S24" s="53">
        <v>0</v>
      </c>
      <c r="T24" s="54">
        <v>0</v>
      </c>
      <c r="U24" s="53">
        <v>2035.64</v>
      </c>
      <c r="V24" s="53">
        <v>1017.82</v>
      </c>
      <c r="W24" s="53">
        <v>1017.82</v>
      </c>
      <c r="X24" s="53">
        <v>0</v>
      </c>
      <c r="Y24" s="54">
        <v>0</v>
      </c>
    </row>
    <row r="25" spans="1:25" x14ac:dyDescent="0.2">
      <c r="A25" s="50" t="s">
        <v>128</v>
      </c>
      <c r="B25" s="51" t="s">
        <v>107</v>
      </c>
      <c r="C25" s="51"/>
      <c r="D25" s="52">
        <v>23570</v>
      </c>
      <c r="E25" s="51" t="s">
        <v>96</v>
      </c>
      <c r="F25" s="53"/>
      <c r="G25" s="53">
        <v>801.27</v>
      </c>
      <c r="H25" s="53">
        <v>801.27</v>
      </c>
      <c r="I25" s="53">
        <v>0</v>
      </c>
      <c r="J25" s="54"/>
      <c r="K25" s="53"/>
      <c r="L25" s="53">
        <v>873.03</v>
      </c>
      <c r="M25" s="53">
        <v>873.03</v>
      </c>
      <c r="N25" s="53">
        <v>0</v>
      </c>
      <c r="O25" s="54"/>
      <c r="P25" s="53"/>
      <c r="Q25" s="53">
        <v>983.28</v>
      </c>
      <c r="R25" s="53">
        <v>983.28</v>
      </c>
      <c r="S25" s="53">
        <v>0</v>
      </c>
      <c r="T25" s="54"/>
      <c r="U25" s="53"/>
      <c r="V25" s="53">
        <v>1017.82</v>
      </c>
      <c r="W25" s="53">
        <v>1017.82</v>
      </c>
      <c r="X25" s="53">
        <v>0</v>
      </c>
      <c r="Y25" s="54"/>
    </row>
    <row r="26" spans="1:25" x14ac:dyDescent="0.2">
      <c r="A26" s="50" t="s">
        <v>129</v>
      </c>
      <c r="B26" s="51" t="s">
        <v>65</v>
      </c>
      <c r="C26" s="51" t="s">
        <v>65</v>
      </c>
      <c r="D26" s="52">
        <v>24147</v>
      </c>
      <c r="E26" s="51" t="s">
        <v>113</v>
      </c>
      <c r="F26" s="53">
        <v>801.27</v>
      </c>
      <c r="G26" s="53">
        <v>801.27</v>
      </c>
      <c r="H26" s="53">
        <v>801.27</v>
      </c>
      <c r="I26" s="53">
        <v>0</v>
      </c>
      <c r="J26" s="54">
        <v>0</v>
      </c>
      <c r="K26" s="53">
        <v>873.03</v>
      </c>
      <c r="L26" s="53">
        <v>873.03</v>
      </c>
      <c r="M26" s="53">
        <v>873.03</v>
      </c>
      <c r="N26" s="53">
        <v>0</v>
      </c>
      <c r="O26" s="54">
        <v>0</v>
      </c>
      <c r="P26" s="53">
        <v>983.28</v>
      </c>
      <c r="Q26" s="53">
        <v>983.28</v>
      </c>
      <c r="R26" s="53">
        <v>983.28</v>
      </c>
      <c r="S26" s="53">
        <v>0</v>
      </c>
      <c r="T26" s="54">
        <v>0</v>
      </c>
      <c r="U26" s="53">
        <v>1017.82</v>
      </c>
      <c r="V26" s="53">
        <v>1017.82</v>
      </c>
      <c r="W26" s="53">
        <v>1017.82</v>
      </c>
      <c r="X26" s="53">
        <v>0</v>
      </c>
      <c r="Y26" s="54">
        <v>0</v>
      </c>
    </row>
    <row r="27" spans="1:25" x14ac:dyDescent="0.2">
      <c r="A27" s="50" t="s">
        <v>130</v>
      </c>
      <c r="B27" s="51" t="s">
        <v>65</v>
      </c>
      <c r="C27" s="51" t="s">
        <v>65</v>
      </c>
      <c r="D27" s="52">
        <v>25210</v>
      </c>
      <c r="E27" s="51" t="s">
        <v>131</v>
      </c>
      <c r="F27" s="53">
        <v>752.77</v>
      </c>
      <c r="G27" s="53">
        <v>752.77</v>
      </c>
      <c r="H27" s="53">
        <v>752.77</v>
      </c>
      <c r="I27" s="53">
        <v>0</v>
      </c>
      <c r="J27" s="54">
        <v>0</v>
      </c>
      <c r="K27" s="53">
        <v>820.19</v>
      </c>
      <c r="L27" s="53">
        <v>820.19</v>
      </c>
      <c r="M27" s="53">
        <v>820.19</v>
      </c>
      <c r="N27" s="53">
        <v>0</v>
      </c>
      <c r="O27" s="54">
        <v>0</v>
      </c>
      <c r="P27" s="53">
        <v>923.77</v>
      </c>
      <c r="Q27" s="53">
        <v>923.77</v>
      </c>
      <c r="R27" s="53">
        <v>923.77</v>
      </c>
      <c r="S27" s="53">
        <v>0</v>
      </c>
      <c r="T27" s="54">
        <v>0</v>
      </c>
      <c r="U27" s="53">
        <v>956.21</v>
      </c>
      <c r="V27" s="53">
        <v>956.21</v>
      </c>
      <c r="W27" s="53">
        <v>956.21</v>
      </c>
      <c r="X27" s="53">
        <v>0</v>
      </c>
      <c r="Y27" s="54">
        <v>0</v>
      </c>
    </row>
    <row r="28" spans="1:25" x14ac:dyDescent="0.2">
      <c r="A28" s="50" t="s">
        <v>132</v>
      </c>
      <c r="B28" s="51" t="s">
        <v>65</v>
      </c>
      <c r="C28" s="51" t="s">
        <v>65</v>
      </c>
      <c r="D28" s="52">
        <v>35103</v>
      </c>
      <c r="E28" s="51" t="s">
        <v>113</v>
      </c>
      <c r="F28" s="53">
        <v>452.3</v>
      </c>
      <c r="G28" s="53">
        <v>452.3</v>
      </c>
      <c r="H28" s="53">
        <v>452.3</v>
      </c>
      <c r="I28" s="53">
        <v>0</v>
      </c>
      <c r="J28" s="54">
        <v>0</v>
      </c>
      <c r="K28" s="53">
        <v>492.8</v>
      </c>
      <c r="L28" s="53">
        <v>492.8</v>
      </c>
      <c r="M28" s="53">
        <v>492.8</v>
      </c>
      <c r="N28" s="53">
        <v>0</v>
      </c>
      <c r="O28" s="54">
        <v>0</v>
      </c>
      <c r="P28" s="53">
        <v>555.04</v>
      </c>
      <c r="Q28" s="53">
        <v>555.04</v>
      </c>
      <c r="R28" s="53">
        <v>555.04</v>
      </c>
      <c r="S28" s="53">
        <v>0</v>
      </c>
      <c r="T28" s="54">
        <v>0</v>
      </c>
      <c r="U28" s="53">
        <v>574.53</v>
      </c>
      <c r="V28" s="53">
        <v>574.53</v>
      </c>
      <c r="W28" s="53">
        <v>574.53</v>
      </c>
      <c r="X28" s="53">
        <v>0</v>
      </c>
      <c r="Y28" s="54">
        <v>0</v>
      </c>
    </row>
    <row r="29" spans="1:25" x14ac:dyDescent="0.2">
      <c r="A29" s="50" t="s">
        <v>133</v>
      </c>
      <c r="B29" s="51" t="s">
        <v>65</v>
      </c>
      <c r="C29" s="51" t="s">
        <v>117</v>
      </c>
      <c r="D29" s="52">
        <v>27399</v>
      </c>
      <c r="E29" s="51" t="s">
        <v>113</v>
      </c>
      <c r="F29" s="53">
        <v>1160.79</v>
      </c>
      <c r="G29" s="53">
        <v>629.77</v>
      </c>
      <c r="H29" s="53">
        <v>629.77</v>
      </c>
      <c r="I29" s="53">
        <v>0</v>
      </c>
      <c r="J29" s="54">
        <v>0</v>
      </c>
      <c r="K29" s="53">
        <v>1264.75</v>
      </c>
      <c r="L29" s="53">
        <v>686.17</v>
      </c>
      <c r="M29" s="53">
        <v>686.17</v>
      </c>
      <c r="N29" s="53">
        <v>0</v>
      </c>
      <c r="O29" s="54">
        <v>0</v>
      </c>
      <c r="P29" s="53">
        <v>1424.46</v>
      </c>
      <c r="Q29" s="53">
        <v>772.82</v>
      </c>
      <c r="R29" s="53">
        <v>772.82</v>
      </c>
      <c r="S29" s="53">
        <v>0</v>
      </c>
      <c r="T29" s="54">
        <v>0</v>
      </c>
      <c r="U29" s="53">
        <v>1474.5</v>
      </c>
      <c r="V29" s="53">
        <v>799.97</v>
      </c>
      <c r="W29" s="53">
        <v>799.97</v>
      </c>
      <c r="X29" s="53">
        <v>0</v>
      </c>
      <c r="Y29" s="54">
        <v>0</v>
      </c>
    </row>
    <row r="30" spans="1:25" x14ac:dyDescent="0.2">
      <c r="A30" s="50" t="s">
        <v>134</v>
      </c>
      <c r="B30" s="51" t="s">
        <v>107</v>
      </c>
      <c r="C30" s="51"/>
      <c r="D30" s="52">
        <v>29502</v>
      </c>
      <c r="E30" s="51" t="s">
        <v>113</v>
      </c>
      <c r="F30" s="53"/>
      <c r="G30" s="53">
        <v>531.02</v>
      </c>
      <c r="H30" s="53">
        <v>531.02</v>
      </c>
      <c r="I30" s="53">
        <v>0</v>
      </c>
      <c r="J30" s="54"/>
      <c r="K30" s="53"/>
      <c r="L30" s="53">
        <v>578.58000000000004</v>
      </c>
      <c r="M30" s="53">
        <v>578.58000000000004</v>
      </c>
      <c r="N30" s="53">
        <v>0</v>
      </c>
      <c r="O30" s="54"/>
      <c r="P30" s="53"/>
      <c r="Q30" s="53">
        <v>651.64</v>
      </c>
      <c r="R30" s="53">
        <v>651.64</v>
      </c>
      <c r="S30" s="53">
        <v>0</v>
      </c>
      <c r="T30" s="54"/>
      <c r="U30" s="53"/>
      <c r="V30" s="53">
        <v>674.53</v>
      </c>
      <c r="W30" s="53">
        <v>674.53</v>
      </c>
      <c r="X30" s="53">
        <v>0</v>
      </c>
      <c r="Y30" s="54"/>
    </row>
    <row r="31" spans="1:25" x14ac:dyDescent="0.2">
      <c r="A31" s="50" t="s">
        <v>135</v>
      </c>
      <c r="B31" s="51" t="s">
        <v>65</v>
      </c>
      <c r="C31" s="51" t="s">
        <v>104</v>
      </c>
      <c r="D31" s="52">
        <v>24592</v>
      </c>
      <c r="E31" s="51" t="s">
        <v>111</v>
      </c>
      <c r="F31" s="53">
        <v>2041.83</v>
      </c>
      <c r="G31" s="53">
        <v>801.27</v>
      </c>
      <c r="H31" s="53">
        <v>801.27</v>
      </c>
      <c r="I31" s="53">
        <v>0</v>
      </c>
      <c r="J31" s="54">
        <v>0</v>
      </c>
      <c r="K31" s="53">
        <v>2224.6999999999998</v>
      </c>
      <c r="L31" s="53">
        <v>873.03</v>
      </c>
      <c r="M31" s="53">
        <v>873.03</v>
      </c>
      <c r="N31" s="53">
        <v>0</v>
      </c>
      <c r="O31" s="54">
        <v>0</v>
      </c>
      <c r="P31" s="53">
        <v>2505.64</v>
      </c>
      <c r="Q31" s="53">
        <v>983.28</v>
      </c>
      <c r="R31" s="53">
        <v>983.28</v>
      </c>
      <c r="S31" s="53">
        <v>0</v>
      </c>
      <c r="T31" s="54">
        <v>0</v>
      </c>
      <c r="U31" s="53">
        <v>2593.65</v>
      </c>
      <c r="V31" s="53">
        <v>1017.82</v>
      </c>
      <c r="W31" s="53">
        <v>1017.82</v>
      </c>
      <c r="X31" s="53">
        <v>0</v>
      </c>
      <c r="Y31" s="54">
        <v>0</v>
      </c>
    </row>
    <row r="32" spans="1:25" x14ac:dyDescent="0.2">
      <c r="A32" s="50" t="s">
        <v>136</v>
      </c>
      <c r="B32" s="51" t="s">
        <v>107</v>
      </c>
      <c r="C32" s="51"/>
      <c r="D32" s="52">
        <v>22616</v>
      </c>
      <c r="E32" s="51" t="s">
        <v>111</v>
      </c>
      <c r="F32" s="53"/>
      <c r="G32" s="53">
        <v>801.27</v>
      </c>
      <c r="H32" s="53">
        <v>801.27</v>
      </c>
      <c r="I32" s="53">
        <v>0</v>
      </c>
      <c r="J32" s="54"/>
      <c r="K32" s="53"/>
      <c r="L32" s="53">
        <v>873.03</v>
      </c>
      <c r="M32" s="53">
        <v>873.03</v>
      </c>
      <c r="N32" s="53">
        <v>0</v>
      </c>
      <c r="O32" s="54"/>
      <c r="P32" s="53"/>
      <c r="Q32" s="53">
        <v>983.28</v>
      </c>
      <c r="R32" s="53">
        <v>983.28</v>
      </c>
      <c r="S32" s="53">
        <v>0</v>
      </c>
      <c r="T32" s="54"/>
      <c r="U32" s="53"/>
      <c r="V32" s="53">
        <v>1017.82</v>
      </c>
      <c r="W32" s="53">
        <v>1017.82</v>
      </c>
      <c r="X32" s="53">
        <v>0</v>
      </c>
      <c r="Y32" s="54"/>
    </row>
    <row r="33" spans="1:25" x14ac:dyDescent="0.2">
      <c r="A33" s="50" t="s">
        <v>137</v>
      </c>
      <c r="B33" s="51" t="s">
        <v>109</v>
      </c>
      <c r="C33" s="51"/>
      <c r="D33" s="52">
        <v>37842</v>
      </c>
      <c r="E33" s="51" t="s">
        <v>111</v>
      </c>
      <c r="F33" s="53"/>
      <c r="G33" s="53">
        <v>439.29</v>
      </c>
      <c r="H33" s="53">
        <v>439.29</v>
      </c>
      <c r="I33" s="53">
        <v>0</v>
      </c>
      <c r="J33" s="54"/>
      <c r="K33" s="53"/>
      <c r="L33" s="53">
        <v>478.64</v>
      </c>
      <c r="M33" s="53">
        <v>478.64</v>
      </c>
      <c r="N33" s="53">
        <v>0</v>
      </c>
      <c r="O33" s="54"/>
      <c r="P33" s="53"/>
      <c r="Q33" s="53">
        <v>539.08000000000004</v>
      </c>
      <c r="R33" s="53">
        <v>539.08000000000004</v>
      </c>
      <c r="S33" s="53">
        <v>0</v>
      </c>
      <c r="T33" s="54"/>
      <c r="U33" s="53"/>
      <c r="V33" s="53">
        <v>558.01</v>
      </c>
      <c r="W33" s="53">
        <v>558.01</v>
      </c>
      <c r="X33" s="53">
        <v>0</v>
      </c>
      <c r="Y33" s="54"/>
    </row>
    <row r="34" spans="1:25" x14ac:dyDescent="0.2">
      <c r="A34" s="50" t="s">
        <v>138</v>
      </c>
      <c r="B34" s="51" t="s">
        <v>65</v>
      </c>
      <c r="C34" s="51" t="s">
        <v>65</v>
      </c>
      <c r="D34" s="52">
        <v>35401</v>
      </c>
      <c r="E34" s="51" t="s">
        <v>113</v>
      </c>
      <c r="F34" s="53">
        <v>448.08</v>
      </c>
      <c r="G34" s="53">
        <v>448.08</v>
      </c>
      <c r="H34" s="53">
        <v>448.08</v>
      </c>
      <c r="I34" s="53">
        <v>0</v>
      </c>
      <c r="J34" s="54">
        <v>0</v>
      </c>
      <c r="K34" s="53">
        <v>488.21</v>
      </c>
      <c r="L34" s="53">
        <v>488.21</v>
      </c>
      <c r="M34" s="53">
        <v>488.21</v>
      </c>
      <c r="N34" s="53">
        <v>0</v>
      </c>
      <c r="O34" s="54">
        <v>0</v>
      </c>
      <c r="P34" s="53">
        <v>549.86</v>
      </c>
      <c r="Q34" s="53">
        <v>549.86</v>
      </c>
      <c r="R34" s="53">
        <v>549.86</v>
      </c>
      <c r="S34" s="53">
        <v>0</v>
      </c>
      <c r="T34" s="54">
        <v>0</v>
      </c>
      <c r="U34" s="53">
        <v>569.16999999999996</v>
      </c>
      <c r="V34" s="53">
        <v>569.16999999999996</v>
      </c>
      <c r="W34" s="53">
        <v>569.16999999999996</v>
      </c>
      <c r="X34" s="53">
        <v>0</v>
      </c>
      <c r="Y34" s="54">
        <v>0</v>
      </c>
    </row>
    <row r="35" spans="1:25" x14ac:dyDescent="0.2">
      <c r="A35" s="50" t="s">
        <v>139</v>
      </c>
      <c r="B35" s="51" t="s">
        <v>65</v>
      </c>
      <c r="C35" s="51" t="s">
        <v>65</v>
      </c>
      <c r="D35" s="52">
        <v>35453</v>
      </c>
      <c r="E35" s="51" t="s">
        <v>113</v>
      </c>
      <c r="F35" s="53">
        <v>448.08</v>
      </c>
      <c r="G35" s="53">
        <v>448.08</v>
      </c>
      <c r="H35" s="53">
        <v>448.08</v>
      </c>
      <c r="I35" s="53">
        <v>0</v>
      </c>
      <c r="J35" s="54">
        <v>0</v>
      </c>
      <c r="K35" s="53">
        <v>488.21</v>
      </c>
      <c r="L35" s="53">
        <v>488.21</v>
      </c>
      <c r="M35" s="53">
        <v>488.21</v>
      </c>
      <c r="N35" s="53">
        <v>0</v>
      </c>
      <c r="O35" s="54">
        <v>0</v>
      </c>
      <c r="P35" s="53">
        <v>549.86</v>
      </c>
      <c r="Q35" s="53">
        <v>549.86</v>
      </c>
      <c r="R35" s="53">
        <v>549.86</v>
      </c>
      <c r="S35" s="53">
        <v>0</v>
      </c>
      <c r="T35" s="54">
        <v>0</v>
      </c>
      <c r="U35" s="53">
        <v>569.16999999999996</v>
      </c>
      <c r="V35" s="53">
        <v>569.16999999999996</v>
      </c>
      <c r="W35" s="53">
        <v>569.16999999999996</v>
      </c>
      <c r="X35" s="53">
        <v>0</v>
      </c>
      <c r="Y35" s="54">
        <v>0</v>
      </c>
    </row>
    <row r="36" spans="1:25" x14ac:dyDescent="0.2">
      <c r="A36" s="50" t="s">
        <v>140</v>
      </c>
      <c r="B36" s="51" t="s">
        <v>65</v>
      </c>
      <c r="C36" s="51" t="s">
        <v>65</v>
      </c>
      <c r="D36" s="52">
        <v>34864</v>
      </c>
      <c r="E36" s="51" t="s">
        <v>118</v>
      </c>
      <c r="F36" s="53">
        <v>452.3</v>
      </c>
      <c r="G36" s="53">
        <v>452.3</v>
      </c>
      <c r="H36" s="53">
        <v>452.3</v>
      </c>
      <c r="I36" s="53">
        <v>0</v>
      </c>
      <c r="J36" s="54">
        <v>0</v>
      </c>
      <c r="K36" s="53">
        <v>492.8</v>
      </c>
      <c r="L36" s="53">
        <v>492.8</v>
      </c>
      <c r="M36" s="53">
        <v>492.8</v>
      </c>
      <c r="N36" s="53">
        <v>0</v>
      </c>
      <c r="O36" s="54">
        <v>0</v>
      </c>
      <c r="P36" s="53">
        <v>555.04</v>
      </c>
      <c r="Q36" s="53">
        <v>555.04</v>
      </c>
      <c r="R36" s="53">
        <v>555.04</v>
      </c>
      <c r="S36" s="53">
        <v>0</v>
      </c>
      <c r="T36" s="54">
        <v>0</v>
      </c>
      <c r="U36" s="53">
        <v>574.53</v>
      </c>
      <c r="V36" s="53">
        <v>574.53</v>
      </c>
      <c r="W36" s="53">
        <v>574.53</v>
      </c>
      <c r="X36" s="53">
        <v>0</v>
      </c>
      <c r="Y36" s="54">
        <v>0</v>
      </c>
    </row>
    <row r="37" spans="1:25" x14ac:dyDescent="0.2">
      <c r="A37" s="50" t="s">
        <v>141</v>
      </c>
      <c r="B37" s="51" t="s">
        <v>65</v>
      </c>
      <c r="C37" s="51" t="s">
        <v>104</v>
      </c>
      <c r="D37" s="52">
        <v>26666</v>
      </c>
      <c r="E37" s="51" t="s">
        <v>118</v>
      </c>
      <c r="F37" s="53">
        <v>2008.44</v>
      </c>
      <c r="G37" s="53">
        <v>668.43</v>
      </c>
      <c r="H37" s="53">
        <v>668.43</v>
      </c>
      <c r="I37" s="53">
        <v>0</v>
      </c>
      <c r="J37" s="54">
        <v>0</v>
      </c>
      <c r="K37" s="53">
        <v>2188.3200000000002</v>
      </c>
      <c r="L37" s="53">
        <v>728.29</v>
      </c>
      <c r="M37" s="53">
        <v>728.29</v>
      </c>
      <c r="N37" s="53">
        <v>0</v>
      </c>
      <c r="O37" s="54">
        <v>0</v>
      </c>
      <c r="P37" s="53">
        <v>2464.67</v>
      </c>
      <c r="Q37" s="53">
        <v>820.26</v>
      </c>
      <c r="R37" s="53">
        <v>820.26</v>
      </c>
      <c r="S37" s="53">
        <v>0</v>
      </c>
      <c r="T37" s="54">
        <v>0</v>
      </c>
      <c r="U37" s="53">
        <v>2551.23</v>
      </c>
      <c r="V37" s="53">
        <v>849.07</v>
      </c>
      <c r="W37" s="53">
        <v>849.07</v>
      </c>
      <c r="X37" s="53">
        <v>0</v>
      </c>
      <c r="Y37" s="54">
        <v>0</v>
      </c>
    </row>
    <row r="38" spans="1:25" x14ac:dyDescent="0.2">
      <c r="A38" s="50" t="s">
        <v>142</v>
      </c>
      <c r="B38" s="51" t="s">
        <v>107</v>
      </c>
      <c r="C38" s="51"/>
      <c r="D38" s="52">
        <v>28717</v>
      </c>
      <c r="E38" s="51" t="s">
        <v>118</v>
      </c>
      <c r="F38" s="53"/>
      <c r="G38" s="53">
        <v>559.83000000000004</v>
      </c>
      <c r="H38" s="53">
        <v>559.83000000000004</v>
      </c>
      <c r="I38" s="53">
        <v>0</v>
      </c>
      <c r="J38" s="54"/>
      <c r="K38" s="53"/>
      <c r="L38" s="53">
        <v>609.97</v>
      </c>
      <c r="M38" s="53">
        <v>609.97</v>
      </c>
      <c r="N38" s="53">
        <v>0</v>
      </c>
      <c r="O38" s="54"/>
      <c r="P38" s="53"/>
      <c r="Q38" s="53">
        <v>687</v>
      </c>
      <c r="R38" s="53">
        <v>687</v>
      </c>
      <c r="S38" s="53">
        <v>0</v>
      </c>
      <c r="T38" s="54"/>
      <c r="U38" s="53"/>
      <c r="V38" s="53">
        <v>711.13</v>
      </c>
      <c r="W38" s="53">
        <v>711.13</v>
      </c>
      <c r="X38" s="53">
        <v>0</v>
      </c>
      <c r="Y38" s="54"/>
    </row>
    <row r="39" spans="1:25" x14ac:dyDescent="0.2">
      <c r="A39" s="50" t="s">
        <v>143</v>
      </c>
      <c r="B39" s="51" t="s">
        <v>109</v>
      </c>
      <c r="C39" s="51"/>
      <c r="D39" s="52">
        <v>37384</v>
      </c>
      <c r="E39" s="51" t="s">
        <v>118</v>
      </c>
      <c r="F39" s="53"/>
      <c r="G39" s="53">
        <v>439.29</v>
      </c>
      <c r="H39" s="53">
        <v>439.29</v>
      </c>
      <c r="I39" s="53">
        <v>0</v>
      </c>
      <c r="J39" s="54"/>
      <c r="K39" s="53"/>
      <c r="L39" s="53">
        <v>478.64</v>
      </c>
      <c r="M39" s="53">
        <v>478.64</v>
      </c>
      <c r="N39" s="53">
        <v>0</v>
      </c>
      <c r="O39" s="54"/>
      <c r="P39" s="53"/>
      <c r="Q39" s="53">
        <v>539.08000000000004</v>
      </c>
      <c r="R39" s="53">
        <v>539.08000000000004</v>
      </c>
      <c r="S39" s="53">
        <v>0</v>
      </c>
      <c r="T39" s="54"/>
      <c r="U39" s="53"/>
      <c r="V39" s="53">
        <v>558.01</v>
      </c>
      <c r="W39" s="53">
        <v>558.01</v>
      </c>
      <c r="X39" s="53">
        <v>0</v>
      </c>
      <c r="Y39" s="54"/>
    </row>
    <row r="40" spans="1:25" x14ac:dyDescent="0.2">
      <c r="A40" s="50" t="s">
        <v>144</v>
      </c>
      <c r="B40" s="51" t="s">
        <v>109</v>
      </c>
      <c r="C40" s="51"/>
      <c r="D40" s="52">
        <v>38688</v>
      </c>
      <c r="E40" s="51" t="s">
        <v>118</v>
      </c>
      <c r="F40" s="53"/>
      <c r="G40" s="53">
        <v>340.89</v>
      </c>
      <c r="H40" s="53">
        <v>340.89</v>
      </c>
      <c r="I40" s="53">
        <v>0</v>
      </c>
      <c r="J40" s="54"/>
      <c r="K40" s="53"/>
      <c r="L40" s="53">
        <v>371.42</v>
      </c>
      <c r="M40" s="53">
        <v>371.42</v>
      </c>
      <c r="N40" s="53">
        <v>0</v>
      </c>
      <c r="O40" s="54"/>
      <c r="P40" s="53"/>
      <c r="Q40" s="53">
        <v>418.33</v>
      </c>
      <c r="R40" s="53">
        <v>418.33</v>
      </c>
      <c r="S40" s="53">
        <v>0</v>
      </c>
      <c r="T40" s="54"/>
      <c r="U40" s="53"/>
      <c r="V40" s="53">
        <v>433.02</v>
      </c>
      <c r="W40" s="53">
        <v>433.02</v>
      </c>
      <c r="X40" s="53">
        <v>0</v>
      </c>
      <c r="Y40" s="54"/>
    </row>
    <row r="41" spans="1:25" x14ac:dyDescent="0.2">
      <c r="A41" s="50" t="s">
        <v>145</v>
      </c>
      <c r="B41" s="51" t="s">
        <v>65</v>
      </c>
      <c r="C41" s="51" t="s">
        <v>65</v>
      </c>
      <c r="D41" s="52">
        <v>36146</v>
      </c>
      <c r="E41" s="51" t="s">
        <v>111</v>
      </c>
      <c r="F41" s="53">
        <v>439.29</v>
      </c>
      <c r="G41" s="53">
        <v>439.29</v>
      </c>
      <c r="H41" s="53">
        <v>439.29</v>
      </c>
      <c r="I41" s="53">
        <v>0</v>
      </c>
      <c r="J41" s="54">
        <v>0</v>
      </c>
      <c r="K41" s="53">
        <v>478.64</v>
      </c>
      <c r="L41" s="53">
        <v>478.64</v>
      </c>
      <c r="M41" s="53">
        <v>478.64</v>
      </c>
      <c r="N41" s="53">
        <v>0</v>
      </c>
      <c r="O41" s="54">
        <v>0</v>
      </c>
      <c r="P41" s="53">
        <v>539.08000000000004</v>
      </c>
      <c r="Q41" s="53">
        <v>539.08000000000004</v>
      </c>
      <c r="R41" s="53">
        <v>539.08000000000004</v>
      </c>
      <c r="S41" s="53">
        <v>0</v>
      </c>
      <c r="T41" s="54">
        <v>0</v>
      </c>
      <c r="U41" s="53">
        <v>558.01</v>
      </c>
      <c r="V41" s="53">
        <v>558.01</v>
      </c>
      <c r="W41" s="53">
        <v>558.01</v>
      </c>
      <c r="X41" s="53">
        <v>0</v>
      </c>
      <c r="Y41" s="54">
        <v>0</v>
      </c>
    </row>
    <row r="42" spans="1:25" x14ac:dyDescent="0.2">
      <c r="A42" s="50" t="s">
        <v>146</v>
      </c>
      <c r="B42" s="51" t="s">
        <v>65</v>
      </c>
      <c r="C42" s="51" t="s">
        <v>65</v>
      </c>
      <c r="D42" s="52">
        <v>35249</v>
      </c>
      <c r="E42" s="51" t="s">
        <v>147</v>
      </c>
      <c r="F42" s="53">
        <v>448.08</v>
      </c>
      <c r="G42" s="53">
        <v>448.08</v>
      </c>
      <c r="H42" s="53">
        <v>448.08</v>
      </c>
      <c r="I42" s="53">
        <v>0</v>
      </c>
      <c r="J42" s="54">
        <v>0</v>
      </c>
      <c r="K42" s="53">
        <v>488.21</v>
      </c>
      <c r="L42" s="53">
        <v>488.21</v>
      </c>
      <c r="M42" s="53">
        <v>488.21</v>
      </c>
      <c r="N42" s="53">
        <v>0</v>
      </c>
      <c r="O42" s="54">
        <v>0</v>
      </c>
      <c r="P42" s="53">
        <v>549.86</v>
      </c>
      <c r="Q42" s="53">
        <v>549.86</v>
      </c>
      <c r="R42" s="53">
        <v>549.86</v>
      </c>
      <c r="S42" s="53">
        <v>0</v>
      </c>
      <c r="T42" s="54">
        <v>0</v>
      </c>
      <c r="U42" s="53">
        <v>569.16999999999996</v>
      </c>
      <c r="V42" s="53">
        <v>569.16999999999996</v>
      </c>
      <c r="W42" s="53">
        <v>569.16999999999996</v>
      </c>
      <c r="X42" s="53">
        <v>0</v>
      </c>
      <c r="Y42" s="54">
        <v>0</v>
      </c>
    </row>
    <row r="43" spans="1:25" ht="16.149999999999999" customHeight="1" x14ac:dyDescent="0.2">
      <c r="A43" s="226" t="s">
        <v>81</v>
      </c>
      <c r="B43" s="227"/>
      <c r="C43" s="227"/>
      <c r="D43" s="227"/>
      <c r="E43" s="227"/>
      <c r="F43" s="211" t="s">
        <v>153</v>
      </c>
      <c r="G43" s="212"/>
      <c r="H43" s="212"/>
      <c r="I43" s="212"/>
      <c r="J43" s="213"/>
      <c r="K43" s="211" t="s">
        <v>155</v>
      </c>
      <c r="L43" s="212"/>
      <c r="M43" s="212"/>
      <c r="N43" s="212"/>
      <c r="O43" s="213"/>
      <c r="P43" s="211" t="s">
        <v>157</v>
      </c>
      <c r="Q43" s="212"/>
      <c r="R43" s="212"/>
      <c r="S43" s="212"/>
      <c r="T43" s="213"/>
      <c r="U43" s="211" t="s">
        <v>159</v>
      </c>
      <c r="V43" s="212"/>
      <c r="W43" s="212"/>
      <c r="X43" s="212"/>
      <c r="Y43" s="213"/>
    </row>
    <row r="44" spans="1:25" ht="13.9" customHeight="1" x14ac:dyDescent="0.2">
      <c r="A44" s="228" t="s">
        <v>82</v>
      </c>
      <c r="B44" s="229"/>
      <c r="C44" s="229"/>
      <c r="D44" s="229"/>
      <c r="E44" s="229"/>
      <c r="F44" s="214">
        <v>5042.72</v>
      </c>
      <c r="G44" s="215"/>
      <c r="H44" s="215"/>
      <c r="I44" s="215"/>
      <c r="J44" s="216"/>
      <c r="K44" s="214">
        <v>5494.36</v>
      </c>
      <c r="L44" s="215"/>
      <c r="M44" s="215"/>
      <c r="N44" s="215"/>
      <c r="O44" s="216"/>
      <c r="P44" s="214">
        <v>6188.21</v>
      </c>
      <c r="Q44" s="215"/>
      <c r="R44" s="215"/>
      <c r="S44" s="215"/>
      <c r="T44" s="216"/>
      <c r="U44" s="214">
        <v>6405.55</v>
      </c>
      <c r="V44" s="215"/>
      <c r="W44" s="215"/>
      <c r="X44" s="215"/>
      <c r="Y44" s="216"/>
    </row>
    <row r="45" spans="1:25" ht="13.9" customHeight="1" x14ac:dyDescent="0.2">
      <c r="A45" s="230" t="s">
        <v>83</v>
      </c>
      <c r="B45" s="231"/>
      <c r="C45" s="231"/>
      <c r="D45" s="231"/>
      <c r="E45" s="231"/>
      <c r="F45" s="208">
        <f>F44*12</f>
        <v>60512.639999999999</v>
      </c>
      <c r="G45" s="209"/>
      <c r="H45" s="209"/>
      <c r="I45" s="209"/>
      <c r="J45" s="210"/>
      <c r="K45" s="208">
        <f>K44*12</f>
        <v>65932.319999999992</v>
      </c>
      <c r="L45" s="209"/>
      <c r="M45" s="209"/>
      <c r="N45" s="209"/>
      <c r="O45" s="210"/>
      <c r="P45" s="208">
        <f>P44*12</f>
        <v>74258.52</v>
      </c>
      <c r="Q45" s="209"/>
      <c r="R45" s="209"/>
      <c r="S45" s="209"/>
      <c r="T45" s="210"/>
      <c r="U45" s="208">
        <f>U44*12</f>
        <v>76866.600000000006</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B00-000000000000}"/>
    <hyperlink ref="F46" r:id="rId2" xr:uid="{00000000-0004-0000-4B00-000001000000}"/>
    <hyperlink ref="K7" r:id="rId3" xr:uid="{00000000-0004-0000-4B00-000002000000}"/>
    <hyperlink ref="K46" r:id="rId4" xr:uid="{00000000-0004-0000-4B00-000003000000}"/>
    <hyperlink ref="P7" r:id="rId5" xr:uid="{00000000-0004-0000-4B00-000004000000}"/>
    <hyperlink ref="P46" r:id="rId6" xr:uid="{00000000-0004-0000-4B00-000005000000}"/>
    <hyperlink ref="U7" r:id="rId7" xr:uid="{00000000-0004-0000-4B00-000006000000}"/>
    <hyperlink ref="U46" r:id="rId8" xr:uid="{00000000-0004-0000-4B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507-2C10-4E2A-A889-4FA53E442DA2}">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160</v>
      </c>
      <c r="G6" s="122"/>
      <c r="H6" s="122"/>
      <c r="I6" s="122"/>
      <c r="J6" s="124"/>
      <c r="K6" s="121" t="s">
        <v>162</v>
      </c>
      <c r="L6" s="122"/>
      <c r="M6" s="122"/>
      <c r="N6" s="122"/>
      <c r="O6" s="124"/>
      <c r="P6" s="121" t="s">
        <v>164</v>
      </c>
      <c r="Q6" s="122"/>
      <c r="R6" s="122"/>
      <c r="S6" s="122"/>
      <c r="T6" s="124"/>
      <c r="U6" s="121" t="s">
        <v>166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161</v>
      </c>
      <c r="G8" s="233"/>
      <c r="H8" s="233"/>
      <c r="I8" s="233"/>
      <c r="J8" s="234"/>
      <c r="K8" s="232" t="s">
        <v>163</v>
      </c>
      <c r="L8" s="233"/>
      <c r="M8" s="233"/>
      <c r="N8" s="233"/>
      <c r="O8" s="234"/>
      <c r="P8" s="232" t="s">
        <v>165</v>
      </c>
      <c r="Q8" s="233"/>
      <c r="R8" s="233"/>
      <c r="S8" s="233"/>
      <c r="T8" s="234"/>
      <c r="U8" s="232" t="s">
        <v>168</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2309.96</v>
      </c>
      <c r="G10" s="53">
        <v>1055.24</v>
      </c>
      <c r="H10" s="53">
        <v>1055.24</v>
      </c>
      <c r="I10" s="53">
        <v>0</v>
      </c>
      <c r="J10" s="54">
        <v>0</v>
      </c>
      <c r="K10" s="53">
        <v>2345.34</v>
      </c>
      <c r="L10" s="53">
        <v>1071.4000000000001</v>
      </c>
      <c r="M10" s="53">
        <v>1071.4000000000001</v>
      </c>
      <c r="N10" s="53">
        <v>0</v>
      </c>
      <c r="O10" s="54">
        <v>0</v>
      </c>
      <c r="P10" s="53">
        <v>2427.64</v>
      </c>
      <c r="Q10" s="53">
        <v>1109</v>
      </c>
      <c r="R10" s="53">
        <v>1109</v>
      </c>
      <c r="S10" s="53">
        <v>0</v>
      </c>
      <c r="T10" s="54">
        <v>0</v>
      </c>
      <c r="U10" s="53">
        <v>2777.51</v>
      </c>
      <c r="V10" s="53">
        <v>1268.83</v>
      </c>
      <c r="W10" s="53">
        <v>1268.83</v>
      </c>
      <c r="X10" s="53">
        <v>0</v>
      </c>
      <c r="Y10" s="54">
        <v>0</v>
      </c>
    </row>
    <row r="11" spans="1:25" x14ac:dyDescent="0.2">
      <c r="A11" s="50" t="s">
        <v>106</v>
      </c>
      <c r="B11" s="51" t="s">
        <v>107</v>
      </c>
      <c r="C11" s="51"/>
      <c r="D11" s="52">
        <v>27837</v>
      </c>
      <c r="E11" s="51" t="s">
        <v>105</v>
      </c>
      <c r="F11" s="53"/>
      <c r="G11" s="53">
        <v>805.78</v>
      </c>
      <c r="H11" s="53">
        <v>805.78</v>
      </c>
      <c r="I11" s="53">
        <v>0</v>
      </c>
      <c r="J11" s="54"/>
      <c r="K11" s="53"/>
      <c r="L11" s="53">
        <v>818.12</v>
      </c>
      <c r="M11" s="53">
        <v>818.12</v>
      </c>
      <c r="N11" s="53">
        <v>0</v>
      </c>
      <c r="O11" s="54"/>
      <c r="P11" s="53"/>
      <c r="Q11" s="53">
        <v>846.83</v>
      </c>
      <c r="R11" s="53">
        <v>846.83</v>
      </c>
      <c r="S11" s="53">
        <v>0</v>
      </c>
      <c r="T11" s="54"/>
      <c r="U11" s="53"/>
      <c r="V11" s="53">
        <v>968.87</v>
      </c>
      <c r="W11" s="53">
        <v>968.87</v>
      </c>
      <c r="X11" s="53">
        <v>0</v>
      </c>
      <c r="Y11" s="54"/>
    </row>
    <row r="12" spans="1:25" x14ac:dyDescent="0.2">
      <c r="A12" s="50" t="s">
        <v>108</v>
      </c>
      <c r="B12" s="51" t="s">
        <v>109</v>
      </c>
      <c r="C12" s="51"/>
      <c r="D12" s="52">
        <v>38648</v>
      </c>
      <c r="E12" s="51" t="s">
        <v>105</v>
      </c>
      <c r="F12" s="53"/>
      <c r="G12" s="53">
        <v>448.94</v>
      </c>
      <c r="H12" s="53">
        <v>448.94</v>
      </c>
      <c r="I12" s="53">
        <v>0</v>
      </c>
      <c r="J12" s="54"/>
      <c r="K12" s="53"/>
      <c r="L12" s="53">
        <v>455.82</v>
      </c>
      <c r="M12" s="53">
        <v>455.82</v>
      </c>
      <c r="N12" s="53">
        <v>0</v>
      </c>
      <c r="O12" s="54"/>
      <c r="P12" s="53"/>
      <c r="Q12" s="53">
        <v>471.81</v>
      </c>
      <c r="R12" s="53">
        <v>471.81</v>
      </c>
      <c r="S12" s="53">
        <v>0</v>
      </c>
      <c r="T12" s="54"/>
      <c r="U12" s="53"/>
      <c r="V12" s="53">
        <v>539.80999999999995</v>
      </c>
      <c r="W12" s="53">
        <v>539.80999999999995</v>
      </c>
      <c r="X12" s="53">
        <v>0</v>
      </c>
      <c r="Y12" s="54"/>
    </row>
    <row r="13" spans="1:25" x14ac:dyDescent="0.2">
      <c r="A13" s="50" t="s">
        <v>110</v>
      </c>
      <c r="B13" s="51" t="s">
        <v>65</v>
      </c>
      <c r="C13" s="51" t="s">
        <v>65</v>
      </c>
      <c r="D13" s="52">
        <v>36345</v>
      </c>
      <c r="E13" s="51" t="s">
        <v>111</v>
      </c>
      <c r="F13" s="53">
        <v>578.53</v>
      </c>
      <c r="G13" s="53">
        <v>578.53</v>
      </c>
      <c r="H13" s="53">
        <v>578.53</v>
      </c>
      <c r="I13" s="53">
        <v>0</v>
      </c>
      <c r="J13" s="54">
        <v>0</v>
      </c>
      <c r="K13" s="53">
        <v>587.39</v>
      </c>
      <c r="L13" s="53">
        <v>587.39</v>
      </c>
      <c r="M13" s="53">
        <v>587.39</v>
      </c>
      <c r="N13" s="53">
        <v>0</v>
      </c>
      <c r="O13" s="54">
        <v>0</v>
      </c>
      <c r="P13" s="53">
        <v>608</v>
      </c>
      <c r="Q13" s="53">
        <v>608</v>
      </c>
      <c r="R13" s="53">
        <v>608</v>
      </c>
      <c r="S13" s="53">
        <v>0</v>
      </c>
      <c r="T13" s="54">
        <v>0</v>
      </c>
      <c r="U13" s="53">
        <v>695.63</v>
      </c>
      <c r="V13" s="53">
        <v>695.63</v>
      </c>
      <c r="W13" s="53">
        <v>695.63</v>
      </c>
      <c r="X13" s="53">
        <v>0</v>
      </c>
      <c r="Y13" s="54">
        <v>0</v>
      </c>
    </row>
    <row r="14" spans="1:25" x14ac:dyDescent="0.2">
      <c r="A14" s="50" t="s">
        <v>112</v>
      </c>
      <c r="B14" s="51" t="s">
        <v>65</v>
      </c>
      <c r="C14" s="51" t="s">
        <v>104</v>
      </c>
      <c r="D14" s="52">
        <v>24895</v>
      </c>
      <c r="E14" s="51" t="s">
        <v>113</v>
      </c>
      <c r="F14" s="53">
        <v>2525.17</v>
      </c>
      <c r="G14" s="53">
        <v>1020.99</v>
      </c>
      <c r="H14" s="53">
        <v>1020.99</v>
      </c>
      <c r="I14" s="53">
        <v>0</v>
      </c>
      <c r="J14" s="54">
        <v>0</v>
      </c>
      <c r="K14" s="53">
        <v>2563.85</v>
      </c>
      <c r="L14" s="53">
        <v>1036.6300000000001</v>
      </c>
      <c r="M14" s="53">
        <v>1036.6300000000001</v>
      </c>
      <c r="N14" s="53">
        <v>0</v>
      </c>
      <c r="O14" s="54">
        <v>0</v>
      </c>
      <c r="P14" s="53">
        <v>2653.81</v>
      </c>
      <c r="Q14" s="53">
        <v>1073</v>
      </c>
      <c r="R14" s="53">
        <v>1073</v>
      </c>
      <c r="S14" s="53">
        <v>0</v>
      </c>
      <c r="T14" s="54">
        <v>0</v>
      </c>
      <c r="U14" s="53">
        <v>3036.29</v>
      </c>
      <c r="V14" s="53">
        <v>1227.6500000000001</v>
      </c>
      <c r="W14" s="53">
        <v>1227.6500000000001</v>
      </c>
      <c r="X14" s="53">
        <v>0</v>
      </c>
      <c r="Y14" s="54">
        <v>0</v>
      </c>
    </row>
    <row r="15" spans="1:25" x14ac:dyDescent="0.2">
      <c r="A15" s="50" t="s">
        <v>114</v>
      </c>
      <c r="B15" s="51" t="s">
        <v>107</v>
      </c>
      <c r="C15" s="51"/>
      <c r="D15" s="52">
        <v>24269</v>
      </c>
      <c r="E15" s="51" t="s">
        <v>113</v>
      </c>
      <c r="F15" s="53"/>
      <c r="G15" s="53">
        <v>1055.24</v>
      </c>
      <c r="H15" s="53">
        <v>1055.24</v>
      </c>
      <c r="I15" s="53">
        <v>0</v>
      </c>
      <c r="J15" s="54"/>
      <c r="K15" s="53"/>
      <c r="L15" s="53">
        <v>1071.4000000000001</v>
      </c>
      <c r="M15" s="53">
        <v>1071.4000000000001</v>
      </c>
      <c r="N15" s="53">
        <v>0</v>
      </c>
      <c r="O15" s="54"/>
      <c r="P15" s="53"/>
      <c r="Q15" s="53">
        <v>1109</v>
      </c>
      <c r="R15" s="53">
        <v>1109</v>
      </c>
      <c r="S15" s="53">
        <v>0</v>
      </c>
      <c r="T15" s="54"/>
      <c r="U15" s="53"/>
      <c r="V15" s="53">
        <v>1268.83</v>
      </c>
      <c r="W15" s="53">
        <v>1268.83</v>
      </c>
      <c r="X15" s="53">
        <v>0</v>
      </c>
      <c r="Y15" s="54"/>
    </row>
    <row r="16" spans="1:25" x14ac:dyDescent="0.2">
      <c r="A16" s="50" t="s">
        <v>115</v>
      </c>
      <c r="B16" s="51" t="s">
        <v>109</v>
      </c>
      <c r="C16" s="51"/>
      <c r="D16" s="52">
        <v>38614</v>
      </c>
      <c r="E16" s="51" t="s">
        <v>113</v>
      </c>
      <c r="F16" s="53"/>
      <c r="G16" s="53">
        <v>448.94</v>
      </c>
      <c r="H16" s="53">
        <v>448.94</v>
      </c>
      <c r="I16" s="53">
        <v>0</v>
      </c>
      <c r="J16" s="54"/>
      <c r="K16" s="53"/>
      <c r="L16" s="53">
        <v>455.82</v>
      </c>
      <c r="M16" s="53">
        <v>455.82</v>
      </c>
      <c r="N16" s="53">
        <v>0</v>
      </c>
      <c r="O16" s="54"/>
      <c r="P16" s="53"/>
      <c r="Q16" s="53">
        <v>471.81</v>
      </c>
      <c r="R16" s="53">
        <v>471.81</v>
      </c>
      <c r="S16" s="53">
        <v>0</v>
      </c>
      <c r="T16" s="54"/>
      <c r="U16" s="53"/>
      <c r="V16" s="53">
        <v>539.80999999999995</v>
      </c>
      <c r="W16" s="53">
        <v>539.80999999999995</v>
      </c>
      <c r="X16" s="53">
        <v>0</v>
      </c>
      <c r="Y16" s="54"/>
    </row>
    <row r="17" spans="1:25" x14ac:dyDescent="0.2">
      <c r="A17" s="50" t="s">
        <v>116</v>
      </c>
      <c r="B17" s="51" t="s">
        <v>65</v>
      </c>
      <c r="C17" s="51" t="s">
        <v>117</v>
      </c>
      <c r="D17" s="52">
        <v>18453</v>
      </c>
      <c r="E17" s="51" t="s">
        <v>118</v>
      </c>
      <c r="F17" s="53">
        <v>2110.48</v>
      </c>
      <c r="G17" s="53">
        <v>1055.24</v>
      </c>
      <c r="H17" s="53">
        <v>1055.24</v>
      </c>
      <c r="I17" s="53">
        <v>0</v>
      </c>
      <c r="J17" s="54">
        <v>0</v>
      </c>
      <c r="K17" s="53">
        <v>2142.8000000000002</v>
      </c>
      <c r="L17" s="53">
        <v>1071.4000000000001</v>
      </c>
      <c r="M17" s="53">
        <v>1071.4000000000001</v>
      </c>
      <c r="N17" s="53">
        <v>0</v>
      </c>
      <c r="O17" s="54">
        <v>0</v>
      </c>
      <c r="P17" s="53">
        <v>2218</v>
      </c>
      <c r="Q17" s="53">
        <v>1109</v>
      </c>
      <c r="R17" s="53">
        <v>1109</v>
      </c>
      <c r="S17" s="53">
        <v>0</v>
      </c>
      <c r="T17" s="54">
        <v>0</v>
      </c>
      <c r="U17" s="53">
        <v>2537.66</v>
      </c>
      <c r="V17" s="53">
        <v>1268.83</v>
      </c>
      <c r="W17" s="53">
        <v>1268.83</v>
      </c>
      <c r="X17" s="53">
        <v>0</v>
      </c>
      <c r="Y17" s="54">
        <v>0</v>
      </c>
    </row>
    <row r="18" spans="1:25" x14ac:dyDescent="0.2">
      <c r="A18" s="50" t="s">
        <v>119</v>
      </c>
      <c r="B18" s="51" t="s">
        <v>107</v>
      </c>
      <c r="C18" s="51"/>
      <c r="D18" s="52">
        <v>19761</v>
      </c>
      <c r="E18" s="51" t="s">
        <v>118</v>
      </c>
      <c r="F18" s="53"/>
      <c r="G18" s="53">
        <v>1055.24</v>
      </c>
      <c r="H18" s="53">
        <v>1055.24</v>
      </c>
      <c r="I18" s="53">
        <v>0</v>
      </c>
      <c r="J18" s="54"/>
      <c r="K18" s="53"/>
      <c r="L18" s="53">
        <v>1071.4000000000001</v>
      </c>
      <c r="M18" s="53">
        <v>1071.4000000000001</v>
      </c>
      <c r="N18" s="53">
        <v>0</v>
      </c>
      <c r="O18" s="54"/>
      <c r="P18" s="53"/>
      <c r="Q18" s="53">
        <v>1109</v>
      </c>
      <c r="R18" s="53">
        <v>1109</v>
      </c>
      <c r="S18" s="53">
        <v>0</v>
      </c>
      <c r="T18" s="54"/>
      <c r="U18" s="53"/>
      <c r="V18" s="53">
        <v>1268.83</v>
      </c>
      <c r="W18" s="53">
        <v>1268.83</v>
      </c>
      <c r="X18" s="53">
        <v>0</v>
      </c>
      <c r="Y18" s="54"/>
    </row>
    <row r="19" spans="1:25" x14ac:dyDescent="0.2">
      <c r="A19" s="50" t="s">
        <v>120</v>
      </c>
      <c r="B19" s="51" t="s">
        <v>65</v>
      </c>
      <c r="C19" s="51" t="s">
        <v>65</v>
      </c>
      <c r="D19" s="52">
        <v>35733</v>
      </c>
      <c r="E19" s="51" t="s">
        <v>121</v>
      </c>
      <c r="F19" s="53">
        <v>578.53</v>
      </c>
      <c r="G19" s="53">
        <v>578.53</v>
      </c>
      <c r="H19" s="53">
        <v>578.53</v>
      </c>
      <c r="I19" s="53">
        <v>0</v>
      </c>
      <c r="J19" s="54">
        <v>0</v>
      </c>
      <c r="K19" s="53">
        <v>587.39</v>
      </c>
      <c r="L19" s="53">
        <v>587.39</v>
      </c>
      <c r="M19" s="53">
        <v>587.39</v>
      </c>
      <c r="N19" s="53">
        <v>0</v>
      </c>
      <c r="O19" s="54">
        <v>0</v>
      </c>
      <c r="P19" s="53">
        <v>608</v>
      </c>
      <c r="Q19" s="53">
        <v>608</v>
      </c>
      <c r="R19" s="53">
        <v>608</v>
      </c>
      <c r="S19" s="53">
        <v>0</v>
      </c>
      <c r="T19" s="54">
        <v>0</v>
      </c>
      <c r="U19" s="53">
        <v>695.63</v>
      </c>
      <c r="V19" s="53">
        <v>695.63</v>
      </c>
      <c r="W19" s="53">
        <v>695.63</v>
      </c>
      <c r="X19" s="53">
        <v>0</v>
      </c>
      <c r="Y19" s="54">
        <v>0</v>
      </c>
    </row>
    <row r="20" spans="1:25" x14ac:dyDescent="0.2">
      <c r="A20" s="50" t="s">
        <v>122</v>
      </c>
      <c r="B20" s="51" t="s">
        <v>65</v>
      </c>
      <c r="C20" s="51" t="s">
        <v>104</v>
      </c>
      <c r="D20" s="52">
        <v>24958</v>
      </c>
      <c r="E20" s="51" t="s">
        <v>123</v>
      </c>
      <c r="F20" s="53">
        <v>2896.82</v>
      </c>
      <c r="G20" s="53">
        <v>1020.99</v>
      </c>
      <c r="H20" s="53">
        <v>1020.99</v>
      </c>
      <c r="I20" s="53">
        <v>0</v>
      </c>
      <c r="J20" s="54">
        <v>0</v>
      </c>
      <c r="K20" s="53">
        <v>2941.19</v>
      </c>
      <c r="L20" s="53">
        <v>1036.6300000000001</v>
      </c>
      <c r="M20" s="53">
        <v>1036.6300000000001</v>
      </c>
      <c r="N20" s="53">
        <v>0</v>
      </c>
      <c r="O20" s="54">
        <v>0</v>
      </c>
      <c r="P20" s="53">
        <v>3044.38</v>
      </c>
      <c r="Q20" s="53">
        <v>1073</v>
      </c>
      <c r="R20" s="53">
        <v>1073</v>
      </c>
      <c r="S20" s="53">
        <v>0</v>
      </c>
      <c r="T20" s="54">
        <v>0</v>
      </c>
      <c r="U20" s="53">
        <v>3483.16</v>
      </c>
      <c r="V20" s="53">
        <v>1227.6500000000001</v>
      </c>
      <c r="W20" s="53">
        <v>1227.6500000000001</v>
      </c>
      <c r="X20" s="53">
        <v>0</v>
      </c>
      <c r="Y20" s="54">
        <v>0</v>
      </c>
    </row>
    <row r="21" spans="1:25" x14ac:dyDescent="0.2">
      <c r="A21" s="50" t="s">
        <v>124</v>
      </c>
      <c r="B21" s="51" t="s">
        <v>107</v>
      </c>
      <c r="C21" s="51"/>
      <c r="D21" s="52">
        <v>25342</v>
      </c>
      <c r="E21" s="51" t="s">
        <v>123</v>
      </c>
      <c r="F21" s="53"/>
      <c r="G21" s="53">
        <v>991.37</v>
      </c>
      <c r="H21" s="53">
        <v>991.37</v>
      </c>
      <c r="I21" s="53">
        <v>0</v>
      </c>
      <c r="J21" s="54"/>
      <c r="K21" s="53"/>
      <c r="L21" s="53">
        <v>1006.55</v>
      </c>
      <c r="M21" s="53">
        <v>1006.55</v>
      </c>
      <c r="N21" s="53">
        <v>0</v>
      </c>
      <c r="O21" s="54"/>
      <c r="P21" s="53"/>
      <c r="Q21" s="53">
        <v>1041.8699999999999</v>
      </c>
      <c r="R21" s="53">
        <v>1041.8699999999999</v>
      </c>
      <c r="S21" s="53">
        <v>0</v>
      </c>
      <c r="T21" s="54"/>
      <c r="U21" s="53"/>
      <c r="V21" s="53">
        <v>1192.03</v>
      </c>
      <c r="W21" s="53">
        <v>1192.03</v>
      </c>
      <c r="X21" s="53">
        <v>0</v>
      </c>
      <c r="Y21" s="54"/>
    </row>
    <row r="22" spans="1:25" x14ac:dyDescent="0.2">
      <c r="A22" s="50" t="s">
        <v>125</v>
      </c>
      <c r="B22" s="51" t="s">
        <v>109</v>
      </c>
      <c r="C22" s="51"/>
      <c r="D22" s="52">
        <v>38632</v>
      </c>
      <c r="E22" s="51" t="s">
        <v>123</v>
      </c>
      <c r="F22" s="53"/>
      <c r="G22" s="53">
        <v>448.94</v>
      </c>
      <c r="H22" s="53">
        <v>448.94</v>
      </c>
      <c r="I22" s="53">
        <v>0</v>
      </c>
      <c r="J22" s="54"/>
      <c r="K22" s="53"/>
      <c r="L22" s="53">
        <v>455.82</v>
      </c>
      <c r="M22" s="53">
        <v>455.82</v>
      </c>
      <c r="N22" s="53">
        <v>0</v>
      </c>
      <c r="O22" s="54"/>
      <c r="P22" s="53"/>
      <c r="Q22" s="53">
        <v>471.81</v>
      </c>
      <c r="R22" s="53">
        <v>471.81</v>
      </c>
      <c r="S22" s="53">
        <v>0</v>
      </c>
      <c r="T22" s="54"/>
      <c r="U22" s="53"/>
      <c r="V22" s="53">
        <v>539.80999999999995</v>
      </c>
      <c r="W22" s="53">
        <v>539.80999999999995</v>
      </c>
      <c r="X22" s="53">
        <v>0</v>
      </c>
      <c r="Y22" s="54"/>
    </row>
    <row r="23" spans="1:25" x14ac:dyDescent="0.2">
      <c r="A23" s="50" t="s">
        <v>126</v>
      </c>
      <c r="B23" s="51" t="s">
        <v>109</v>
      </c>
      <c r="C23" s="51"/>
      <c r="D23" s="52">
        <v>39092</v>
      </c>
      <c r="E23" s="51" t="s">
        <v>123</v>
      </c>
      <c r="F23" s="53"/>
      <c r="G23" s="53">
        <v>435.52</v>
      </c>
      <c r="H23" s="53">
        <v>435.52</v>
      </c>
      <c r="I23" s="53">
        <v>0</v>
      </c>
      <c r="J23" s="54"/>
      <c r="K23" s="53"/>
      <c r="L23" s="53">
        <v>442.19</v>
      </c>
      <c r="M23" s="53">
        <v>442.19</v>
      </c>
      <c r="N23" s="53">
        <v>0</v>
      </c>
      <c r="O23" s="54"/>
      <c r="P23" s="53"/>
      <c r="Q23" s="53">
        <v>457.7</v>
      </c>
      <c r="R23" s="53">
        <v>457.7</v>
      </c>
      <c r="S23" s="53">
        <v>0</v>
      </c>
      <c r="T23" s="54"/>
      <c r="U23" s="53"/>
      <c r="V23" s="53">
        <v>523.66999999999996</v>
      </c>
      <c r="W23" s="53">
        <v>523.66999999999996</v>
      </c>
      <c r="X23" s="53">
        <v>0</v>
      </c>
      <c r="Y23" s="54"/>
    </row>
    <row r="24" spans="1:25" x14ac:dyDescent="0.2">
      <c r="A24" s="50" t="s">
        <v>127</v>
      </c>
      <c r="B24" s="51" t="s">
        <v>65</v>
      </c>
      <c r="C24" s="51" t="s">
        <v>117</v>
      </c>
      <c r="D24" s="52">
        <v>21309</v>
      </c>
      <c r="E24" s="51" t="s">
        <v>96</v>
      </c>
      <c r="F24" s="53">
        <v>2110.48</v>
      </c>
      <c r="G24" s="53">
        <v>1055.24</v>
      </c>
      <c r="H24" s="53">
        <v>1055.24</v>
      </c>
      <c r="I24" s="53">
        <v>0</v>
      </c>
      <c r="J24" s="54">
        <v>0</v>
      </c>
      <c r="K24" s="53">
        <v>2142.8000000000002</v>
      </c>
      <c r="L24" s="53">
        <v>1071.4000000000001</v>
      </c>
      <c r="M24" s="53">
        <v>1071.4000000000001</v>
      </c>
      <c r="N24" s="53">
        <v>0</v>
      </c>
      <c r="O24" s="54">
        <v>0</v>
      </c>
      <c r="P24" s="53">
        <v>2218</v>
      </c>
      <c r="Q24" s="53">
        <v>1109</v>
      </c>
      <c r="R24" s="53">
        <v>1109</v>
      </c>
      <c r="S24" s="53">
        <v>0</v>
      </c>
      <c r="T24" s="54">
        <v>0</v>
      </c>
      <c r="U24" s="53">
        <v>2537.66</v>
      </c>
      <c r="V24" s="53">
        <v>1268.83</v>
      </c>
      <c r="W24" s="53">
        <v>1268.83</v>
      </c>
      <c r="X24" s="53">
        <v>0</v>
      </c>
      <c r="Y24" s="54">
        <v>0</v>
      </c>
    </row>
    <row r="25" spans="1:25" x14ac:dyDescent="0.2">
      <c r="A25" s="50" t="s">
        <v>128</v>
      </c>
      <c r="B25" s="51" t="s">
        <v>107</v>
      </c>
      <c r="C25" s="51"/>
      <c r="D25" s="52">
        <v>23570</v>
      </c>
      <c r="E25" s="51" t="s">
        <v>96</v>
      </c>
      <c r="F25" s="53"/>
      <c r="G25" s="53">
        <v>1055.24</v>
      </c>
      <c r="H25" s="53">
        <v>1055.24</v>
      </c>
      <c r="I25" s="53">
        <v>0</v>
      </c>
      <c r="J25" s="54"/>
      <c r="K25" s="53"/>
      <c r="L25" s="53">
        <v>1071.4000000000001</v>
      </c>
      <c r="M25" s="53">
        <v>1071.4000000000001</v>
      </c>
      <c r="N25" s="53">
        <v>0</v>
      </c>
      <c r="O25" s="54"/>
      <c r="P25" s="53"/>
      <c r="Q25" s="53">
        <v>1109</v>
      </c>
      <c r="R25" s="53">
        <v>1109</v>
      </c>
      <c r="S25" s="53">
        <v>0</v>
      </c>
      <c r="T25" s="54"/>
      <c r="U25" s="53"/>
      <c r="V25" s="53">
        <v>1268.83</v>
      </c>
      <c r="W25" s="53">
        <v>1268.83</v>
      </c>
      <c r="X25" s="53">
        <v>0</v>
      </c>
      <c r="Y25" s="54"/>
    </row>
    <row r="26" spans="1:25" x14ac:dyDescent="0.2">
      <c r="A26" s="50" t="s">
        <v>129</v>
      </c>
      <c r="B26" s="51" t="s">
        <v>65</v>
      </c>
      <c r="C26" s="51" t="s">
        <v>65</v>
      </c>
      <c r="D26" s="52">
        <v>24147</v>
      </c>
      <c r="E26" s="51" t="s">
        <v>113</v>
      </c>
      <c r="F26" s="53">
        <v>1055.24</v>
      </c>
      <c r="G26" s="53">
        <v>1055.24</v>
      </c>
      <c r="H26" s="53">
        <v>1055.24</v>
      </c>
      <c r="I26" s="53">
        <v>0</v>
      </c>
      <c r="J26" s="54">
        <v>0</v>
      </c>
      <c r="K26" s="53">
        <v>1071.4000000000001</v>
      </c>
      <c r="L26" s="53">
        <v>1071.4000000000001</v>
      </c>
      <c r="M26" s="53">
        <v>1071.4000000000001</v>
      </c>
      <c r="N26" s="53">
        <v>0</v>
      </c>
      <c r="O26" s="54">
        <v>0</v>
      </c>
      <c r="P26" s="53">
        <v>1109</v>
      </c>
      <c r="Q26" s="53">
        <v>1109</v>
      </c>
      <c r="R26" s="53">
        <v>1109</v>
      </c>
      <c r="S26" s="53">
        <v>0</v>
      </c>
      <c r="T26" s="54">
        <v>0</v>
      </c>
      <c r="U26" s="53">
        <v>1268.83</v>
      </c>
      <c r="V26" s="53">
        <v>1268.83</v>
      </c>
      <c r="W26" s="53">
        <v>1268.83</v>
      </c>
      <c r="X26" s="53">
        <v>0</v>
      </c>
      <c r="Y26" s="54">
        <v>0</v>
      </c>
    </row>
    <row r="27" spans="1:25" x14ac:dyDescent="0.2">
      <c r="A27" s="50" t="s">
        <v>130</v>
      </c>
      <c r="B27" s="51" t="s">
        <v>65</v>
      </c>
      <c r="C27" s="51" t="s">
        <v>65</v>
      </c>
      <c r="D27" s="52">
        <v>25210</v>
      </c>
      <c r="E27" s="51" t="s">
        <v>131</v>
      </c>
      <c r="F27" s="53">
        <v>991.37</v>
      </c>
      <c r="G27" s="53">
        <v>991.37</v>
      </c>
      <c r="H27" s="53">
        <v>991.37</v>
      </c>
      <c r="I27" s="53">
        <v>0</v>
      </c>
      <c r="J27" s="54">
        <v>0</v>
      </c>
      <c r="K27" s="53">
        <v>1006.55</v>
      </c>
      <c r="L27" s="53">
        <v>1006.55</v>
      </c>
      <c r="M27" s="53">
        <v>1006.55</v>
      </c>
      <c r="N27" s="53">
        <v>0</v>
      </c>
      <c r="O27" s="54">
        <v>0</v>
      </c>
      <c r="P27" s="53">
        <v>1041.8699999999999</v>
      </c>
      <c r="Q27" s="53">
        <v>1041.8699999999999</v>
      </c>
      <c r="R27" s="53">
        <v>1041.8699999999999</v>
      </c>
      <c r="S27" s="53">
        <v>0</v>
      </c>
      <c r="T27" s="54">
        <v>0</v>
      </c>
      <c r="U27" s="53">
        <v>1192.03</v>
      </c>
      <c r="V27" s="53">
        <v>1192.03</v>
      </c>
      <c r="W27" s="53">
        <v>1192.03</v>
      </c>
      <c r="X27" s="53">
        <v>0</v>
      </c>
      <c r="Y27" s="54">
        <v>0</v>
      </c>
    </row>
    <row r="28" spans="1:25" x14ac:dyDescent="0.2">
      <c r="A28" s="50" t="s">
        <v>132</v>
      </c>
      <c r="B28" s="51" t="s">
        <v>65</v>
      </c>
      <c r="C28" s="51" t="s">
        <v>65</v>
      </c>
      <c r="D28" s="52">
        <v>35103</v>
      </c>
      <c r="E28" s="51" t="s">
        <v>113</v>
      </c>
      <c r="F28" s="53">
        <v>595.66</v>
      </c>
      <c r="G28" s="53">
        <v>595.66</v>
      </c>
      <c r="H28" s="53">
        <v>595.66</v>
      </c>
      <c r="I28" s="53">
        <v>0</v>
      </c>
      <c r="J28" s="54">
        <v>0</v>
      </c>
      <c r="K28" s="53">
        <v>604.78</v>
      </c>
      <c r="L28" s="53">
        <v>604.78</v>
      </c>
      <c r="M28" s="53">
        <v>604.78</v>
      </c>
      <c r="N28" s="53">
        <v>0</v>
      </c>
      <c r="O28" s="54">
        <v>0</v>
      </c>
      <c r="P28" s="53">
        <v>626</v>
      </c>
      <c r="Q28" s="53">
        <v>626</v>
      </c>
      <c r="R28" s="53">
        <v>626</v>
      </c>
      <c r="S28" s="53">
        <v>0</v>
      </c>
      <c r="T28" s="54">
        <v>0</v>
      </c>
      <c r="U28" s="53">
        <v>716.22</v>
      </c>
      <c r="V28" s="53">
        <v>716.22</v>
      </c>
      <c r="W28" s="53">
        <v>716.22</v>
      </c>
      <c r="X28" s="53">
        <v>0</v>
      </c>
      <c r="Y28" s="54">
        <v>0</v>
      </c>
    </row>
    <row r="29" spans="1:25" x14ac:dyDescent="0.2">
      <c r="A29" s="50" t="s">
        <v>133</v>
      </c>
      <c r="B29" s="51" t="s">
        <v>65</v>
      </c>
      <c r="C29" s="51" t="s">
        <v>117</v>
      </c>
      <c r="D29" s="52">
        <v>27399</v>
      </c>
      <c r="E29" s="51" t="s">
        <v>113</v>
      </c>
      <c r="F29" s="53">
        <v>1528.71</v>
      </c>
      <c r="G29" s="53">
        <v>829.38</v>
      </c>
      <c r="H29" s="53">
        <v>829.38</v>
      </c>
      <c r="I29" s="53">
        <v>0</v>
      </c>
      <c r="J29" s="54">
        <v>0</v>
      </c>
      <c r="K29" s="53">
        <v>1552.12</v>
      </c>
      <c r="L29" s="53">
        <v>842.08</v>
      </c>
      <c r="M29" s="53">
        <v>842.08</v>
      </c>
      <c r="N29" s="53">
        <v>0</v>
      </c>
      <c r="O29" s="54">
        <v>0</v>
      </c>
      <c r="P29" s="53">
        <v>1606.58</v>
      </c>
      <c r="Q29" s="53">
        <v>871.63</v>
      </c>
      <c r="R29" s="53">
        <v>871.63</v>
      </c>
      <c r="S29" s="53">
        <v>0</v>
      </c>
      <c r="T29" s="54">
        <v>0</v>
      </c>
      <c r="U29" s="53">
        <v>1838.14</v>
      </c>
      <c r="V29" s="53">
        <v>997.26</v>
      </c>
      <c r="W29" s="53">
        <v>997.26</v>
      </c>
      <c r="X29" s="53">
        <v>0</v>
      </c>
      <c r="Y29" s="54">
        <v>0</v>
      </c>
    </row>
    <row r="30" spans="1:25" x14ac:dyDescent="0.2">
      <c r="A30" s="50" t="s">
        <v>134</v>
      </c>
      <c r="B30" s="51" t="s">
        <v>107</v>
      </c>
      <c r="C30" s="51"/>
      <c r="D30" s="52">
        <v>29502</v>
      </c>
      <c r="E30" s="51" t="s">
        <v>113</v>
      </c>
      <c r="F30" s="53"/>
      <c r="G30" s="53">
        <v>699.33</v>
      </c>
      <c r="H30" s="53">
        <v>699.33</v>
      </c>
      <c r="I30" s="53">
        <v>0</v>
      </c>
      <c r="J30" s="54"/>
      <c r="K30" s="53"/>
      <c r="L30" s="53">
        <v>710.04</v>
      </c>
      <c r="M30" s="53">
        <v>710.04</v>
      </c>
      <c r="N30" s="53">
        <v>0</v>
      </c>
      <c r="O30" s="54"/>
      <c r="P30" s="53"/>
      <c r="Q30" s="53">
        <v>734.95</v>
      </c>
      <c r="R30" s="53">
        <v>734.95</v>
      </c>
      <c r="S30" s="53">
        <v>0</v>
      </c>
      <c r="T30" s="54"/>
      <c r="U30" s="53"/>
      <c r="V30" s="53">
        <v>840.88</v>
      </c>
      <c r="W30" s="53">
        <v>840.88</v>
      </c>
      <c r="X30" s="53">
        <v>0</v>
      </c>
      <c r="Y30" s="54"/>
    </row>
    <row r="31" spans="1:25" x14ac:dyDescent="0.2">
      <c r="A31" s="50" t="s">
        <v>135</v>
      </c>
      <c r="B31" s="51" t="s">
        <v>65</v>
      </c>
      <c r="C31" s="51" t="s">
        <v>104</v>
      </c>
      <c r="D31" s="52">
        <v>24592</v>
      </c>
      <c r="E31" s="51" t="s">
        <v>111</v>
      </c>
      <c r="F31" s="53">
        <v>2689.01</v>
      </c>
      <c r="G31" s="53">
        <v>1055.24</v>
      </c>
      <c r="H31" s="53">
        <v>1055.24</v>
      </c>
      <c r="I31" s="53">
        <v>0</v>
      </c>
      <c r="J31" s="54">
        <v>0</v>
      </c>
      <c r="K31" s="53">
        <v>2730.19</v>
      </c>
      <c r="L31" s="53">
        <v>1071.4000000000001</v>
      </c>
      <c r="M31" s="53">
        <v>1071.4000000000001</v>
      </c>
      <c r="N31" s="53">
        <v>0</v>
      </c>
      <c r="O31" s="54">
        <v>0</v>
      </c>
      <c r="P31" s="53">
        <v>2826</v>
      </c>
      <c r="Q31" s="53">
        <v>1109</v>
      </c>
      <c r="R31" s="53">
        <v>1109</v>
      </c>
      <c r="S31" s="53">
        <v>0</v>
      </c>
      <c r="T31" s="54">
        <v>0</v>
      </c>
      <c r="U31" s="53">
        <v>3233.29</v>
      </c>
      <c r="V31" s="53">
        <v>1268.83</v>
      </c>
      <c r="W31" s="53">
        <v>1268.83</v>
      </c>
      <c r="X31" s="53">
        <v>0</v>
      </c>
      <c r="Y31" s="54">
        <v>0</v>
      </c>
    </row>
    <row r="32" spans="1:25" x14ac:dyDescent="0.2">
      <c r="A32" s="50" t="s">
        <v>136</v>
      </c>
      <c r="B32" s="51" t="s">
        <v>107</v>
      </c>
      <c r="C32" s="51"/>
      <c r="D32" s="52">
        <v>22616</v>
      </c>
      <c r="E32" s="51" t="s">
        <v>111</v>
      </c>
      <c r="F32" s="53"/>
      <c r="G32" s="53">
        <v>1055.24</v>
      </c>
      <c r="H32" s="53">
        <v>1055.24</v>
      </c>
      <c r="I32" s="53">
        <v>0</v>
      </c>
      <c r="J32" s="54"/>
      <c r="K32" s="53"/>
      <c r="L32" s="53">
        <v>1071.4000000000001</v>
      </c>
      <c r="M32" s="53">
        <v>1071.4000000000001</v>
      </c>
      <c r="N32" s="53">
        <v>0</v>
      </c>
      <c r="O32" s="54"/>
      <c r="P32" s="53"/>
      <c r="Q32" s="53">
        <v>1109</v>
      </c>
      <c r="R32" s="53">
        <v>1109</v>
      </c>
      <c r="S32" s="53">
        <v>0</v>
      </c>
      <c r="T32" s="54"/>
      <c r="U32" s="53"/>
      <c r="V32" s="53">
        <v>1268.83</v>
      </c>
      <c r="W32" s="53">
        <v>1268.83</v>
      </c>
      <c r="X32" s="53">
        <v>0</v>
      </c>
      <c r="Y32" s="54"/>
    </row>
    <row r="33" spans="1:25" x14ac:dyDescent="0.2">
      <c r="A33" s="50" t="s">
        <v>137</v>
      </c>
      <c r="B33" s="51" t="s">
        <v>109</v>
      </c>
      <c r="C33" s="51"/>
      <c r="D33" s="52">
        <v>37842</v>
      </c>
      <c r="E33" s="51" t="s">
        <v>111</v>
      </c>
      <c r="F33" s="53"/>
      <c r="G33" s="53">
        <v>578.53</v>
      </c>
      <c r="H33" s="53">
        <v>578.53</v>
      </c>
      <c r="I33" s="53">
        <v>0</v>
      </c>
      <c r="J33" s="54"/>
      <c r="K33" s="53"/>
      <c r="L33" s="53">
        <v>587.39</v>
      </c>
      <c r="M33" s="53">
        <v>587.39</v>
      </c>
      <c r="N33" s="53">
        <v>0</v>
      </c>
      <c r="O33" s="54"/>
      <c r="P33" s="53"/>
      <c r="Q33" s="53">
        <v>608</v>
      </c>
      <c r="R33" s="53">
        <v>608</v>
      </c>
      <c r="S33" s="53">
        <v>0</v>
      </c>
      <c r="T33" s="54"/>
      <c r="U33" s="53"/>
      <c r="V33" s="53">
        <v>695.63</v>
      </c>
      <c r="W33" s="53">
        <v>695.63</v>
      </c>
      <c r="X33" s="53">
        <v>0</v>
      </c>
      <c r="Y33" s="54"/>
    </row>
    <row r="34" spans="1:25" x14ac:dyDescent="0.2">
      <c r="A34" s="50" t="s">
        <v>138</v>
      </c>
      <c r="B34" s="51" t="s">
        <v>65</v>
      </c>
      <c r="C34" s="51" t="s">
        <v>65</v>
      </c>
      <c r="D34" s="52">
        <v>35401</v>
      </c>
      <c r="E34" s="51" t="s">
        <v>113</v>
      </c>
      <c r="F34" s="53">
        <v>590.1</v>
      </c>
      <c r="G34" s="53">
        <v>590.1</v>
      </c>
      <c r="H34" s="53">
        <v>590.1</v>
      </c>
      <c r="I34" s="53">
        <v>0</v>
      </c>
      <c r="J34" s="54">
        <v>0</v>
      </c>
      <c r="K34" s="53">
        <v>599.14</v>
      </c>
      <c r="L34" s="53">
        <v>599.14</v>
      </c>
      <c r="M34" s="53">
        <v>599.14</v>
      </c>
      <c r="N34" s="53">
        <v>0</v>
      </c>
      <c r="O34" s="54">
        <v>0</v>
      </c>
      <c r="P34" s="53">
        <v>620.16</v>
      </c>
      <c r="Q34" s="53">
        <v>620.16</v>
      </c>
      <c r="R34" s="53">
        <v>620.16</v>
      </c>
      <c r="S34" s="53">
        <v>0</v>
      </c>
      <c r="T34" s="54">
        <v>0</v>
      </c>
      <c r="U34" s="53">
        <v>709.54</v>
      </c>
      <c r="V34" s="53">
        <v>709.54</v>
      </c>
      <c r="W34" s="53">
        <v>709.54</v>
      </c>
      <c r="X34" s="53">
        <v>0</v>
      </c>
      <c r="Y34" s="54">
        <v>0</v>
      </c>
    </row>
    <row r="35" spans="1:25" x14ac:dyDescent="0.2">
      <c r="A35" s="50" t="s">
        <v>139</v>
      </c>
      <c r="B35" s="51" t="s">
        <v>65</v>
      </c>
      <c r="C35" s="51" t="s">
        <v>65</v>
      </c>
      <c r="D35" s="52">
        <v>35453</v>
      </c>
      <c r="E35" s="51" t="s">
        <v>113</v>
      </c>
      <c r="F35" s="53">
        <v>590.1</v>
      </c>
      <c r="G35" s="53">
        <v>590.1</v>
      </c>
      <c r="H35" s="53">
        <v>590.1</v>
      </c>
      <c r="I35" s="53">
        <v>0</v>
      </c>
      <c r="J35" s="54">
        <v>0</v>
      </c>
      <c r="K35" s="53">
        <v>599.14</v>
      </c>
      <c r="L35" s="53">
        <v>599.14</v>
      </c>
      <c r="M35" s="53">
        <v>599.14</v>
      </c>
      <c r="N35" s="53">
        <v>0</v>
      </c>
      <c r="O35" s="54">
        <v>0</v>
      </c>
      <c r="P35" s="53">
        <v>620.16</v>
      </c>
      <c r="Q35" s="53">
        <v>620.16</v>
      </c>
      <c r="R35" s="53">
        <v>620.16</v>
      </c>
      <c r="S35" s="53">
        <v>0</v>
      </c>
      <c r="T35" s="54">
        <v>0</v>
      </c>
      <c r="U35" s="53">
        <v>709.54</v>
      </c>
      <c r="V35" s="53">
        <v>709.54</v>
      </c>
      <c r="W35" s="53">
        <v>709.54</v>
      </c>
      <c r="X35" s="53">
        <v>0</v>
      </c>
      <c r="Y35" s="54">
        <v>0</v>
      </c>
    </row>
    <row r="36" spans="1:25" x14ac:dyDescent="0.2">
      <c r="A36" s="50" t="s">
        <v>140</v>
      </c>
      <c r="B36" s="51" t="s">
        <v>65</v>
      </c>
      <c r="C36" s="51" t="s">
        <v>65</v>
      </c>
      <c r="D36" s="52">
        <v>34864</v>
      </c>
      <c r="E36" s="51" t="s">
        <v>118</v>
      </c>
      <c r="F36" s="53">
        <v>595.66</v>
      </c>
      <c r="G36" s="53">
        <v>595.66</v>
      </c>
      <c r="H36" s="53">
        <v>595.66</v>
      </c>
      <c r="I36" s="53">
        <v>0</v>
      </c>
      <c r="J36" s="54">
        <v>0</v>
      </c>
      <c r="K36" s="53">
        <v>604.78</v>
      </c>
      <c r="L36" s="53">
        <v>604.78</v>
      </c>
      <c r="M36" s="53">
        <v>604.78</v>
      </c>
      <c r="N36" s="53">
        <v>0</v>
      </c>
      <c r="O36" s="54">
        <v>0</v>
      </c>
      <c r="P36" s="53">
        <v>626</v>
      </c>
      <c r="Q36" s="53">
        <v>626</v>
      </c>
      <c r="R36" s="53">
        <v>626</v>
      </c>
      <c r="S36" s="53">
        <v>0</v>
      </c>
      <c r="T36" s="54">
        <v>0</v>
      </c>
      <c r="U36" s="53">
        <v>716.22</v>
      </c>
      <c r="V36" s="53">
        <v>716.22</v>
      </c>
      <c r="W36" s="53">
        <v>716.22</v>
      </c>
      <c r="X36" s="53">
        <v>0</v>
      </c>
      <c r="Y36" s="54">
        <v>0</v>
      </c>
    </row>
    <row r="37" spans="1:25" x14ac:dyDescent="0.2">
      <c r="A37" s="50" t="s">
        <v>141</v>
      </c>
      <c r="B37" s="51" t="s">
        <v>65</v>
      </c>
      <c r="C37" s="51" t="s">
        <v>104</v>
      </c>
      <c r="D37" s="52">
        <v>26666</v>
      </c>
      <c r="E37" s="51" t="s">
        <v>118</v>
      </c>
      <c r="F37" s="53">
        <v>2645.04</v>
      </c>
      <c r="G37" s="53">
        <v>880.29</v>
      </c>
      <c r="H37" s="53">
        <v>880.29</v>
      </c>
      <c r="I37" s="53">
        <v>0</v>
      </c>
      <c r="J37" s="54">
        <v>0</v>
      </c>
      <c r="K37" s="53">
        <v>2685.55</v>
      </c>
      <c r="L37" s="53">
        <v>893.77</v>
      </c>
      <c r="M37" s="53">
        <v>893.77</v>
      </c>
      <c r="N37" s="53">
        <v>0</v>
      </c>
      <c r="O37" s="54">
        <v>0</v>
      </c>
      <c r="P37" s="53">
        <v>2779.79</v>
      </c>
      <c r="Q37" s="53">
        <v>925.14</v>
      </c>
      <c r="R37" s="53">
        <v>925.14</v>
      </c>
      <c r="S37" s="53">
        <v>0</v>
      </c>
      <c r="T37" s="54">
        <v>0</v>
      </c>
      <c r="U37" s="53">
        <v>3180.42</v>
      </c>
      <c r="V37" s="53">
        <v>1058.47</v>
      </c>
      <c r="W37" s="53">
        <v>1058.47</v>
      </c>
      <c r="X37" s="53">
        <v>0</v>
      </c>
      <c r="Y37" s="54">
        <v>0</v>
      </c>
    </row>
    <row r="38" spans="1:25" x14ac:dyDescent="0.2">
      <c r="A38" s="50" t="s">
        <v>142</v>
      </c>
      <c r="B38" s="51" t="s">
        <v>107</v>
      </c>
      <c r="C38" s="51"/>
      <c r="D38" s="52">
        <v>28717</v>
      </c>
      <c r="E38" s="51" t="s">
        <v>118</v>
      </c>
      <c r="F38" s="53"/>
      <c r="G38" s="53">
        <v>737.28</v>
      </c>
      <c r="H38" s="53">
        <v>737.28</v>
      </c>
      <c r="I38" s="53">
        <v>0</v>
      </c>
      <c r="J38" s="54"/>
      <c r="K38" s="53"/>
      <c r="L38" s="53">
        <v>748.57</v>
      </c>
      <c r="M38" s="53">
        <v>748.57</v>
      </c>
      <c r="N38" s="53">
        <v>0</v>
      </c>
      <c r="O38" s="54"/>
      <c r="P38" s="53"/>
      <c r="Q38" s="53">
        <v>774.84</v>
      </c>
      <c r="R38" s="53">
        <v>774.84</v>
      </c>
      <c r="S38" s="53">
        <v>0</v>
      </c>
      <c r="T38" s="54"/>
      <c r="U38" s="53"/>
      <c r="V38" s="53">
        <v>886.51</v>
      </c>
      <c r="W38" s="53">
        <v>886.51</v>
      </c>
      <c r="X38" s="53">
        <v>0</v>
      </c>
      <c r="Y38" s="54"/>
    </row>
    <row r="39" spans="1:25" x14ac:dyDescent="0.2">
      <c r="A39" s="50" t="s">
        <v>143</v>
      </c>
      <c r="B39" s="51" t="s">
        <v>109</v>
      </c>
      <c r="C39" s="51"/>
      <c r="D39" s="52">
        <v>37384</v>
      </c>
      <c r="E39" s="51" t="s">
        <v>118</v>
      </c>
      <c r="F39" s="53"/>
      <c r="G39" s="53">
        <v>578.53</v>
      </c>
      <c r="H39" s="53">
        <v>578.53</v>
      </c>
      <c r="I39" s="53">
        <v>0</v>
      </c>
      <c r="J39" s="54"/>
      <c r="K39" s="53"/>
      <c r="L39" s="53">
        <v>587.39</v>
      </c>
      <c r="M39" s="53">
        <v>587.39</v>
      </c>
      <c r="N39" s="53">
        <v>0</v>
      </c>
      <c r="O39" s="54"/>
      <c r="P39" s="53"/>
      <c r="Q39" s="53">
        <v>608</v>
      </c>
      <c r="R39" s="53">
        <v>608</v>
      </c>
      <c r="S39" s="53">
        <v>0</v>
      </c>
      <c r="T39" s="54"/>
      <c r="U39" s="53"/>
      <c r="V39" s="53">
        <v>695.63</v>
      </c>
      <c r="W39" s="53">
        <v>695.63</v>
      </c>
      <c r="X39" s="53">
        <v>0</v>
      </c>
      <c r="Y39" s="54"/>
    </row>
    <row r="40" spans="1:25" x14ac:dyDescent="0.2">
      <c r="A40" s="50" t="s">
        <v>144</v>
      </c>
      <c r="B40" s="51" t="s">
        <v>109</v>
      </c>
      <c r="C40" s="51"/>
      <c r="D40" s="52">
        <v>38688</v>
      </c>
      <c r="E40" s="51" t="s">
        <v>118</v>
      </c>
      <c r="F40" s="53"/>
      <c r="G40" s="53">
        <v>448.94</v>
      </c>
      <c r="H40" s="53">
        <v>448.94</v>
      </c>
      <c r="I40" s="53">
        <v>0</v>
      </c>
      <c r="J40" s="54"/>
      <c r="K40" s="53"/>
      <c r="L40" s="53">
        <v>455.82</v>
      </c>
      <c r="M40" s="53">
        <v>455.82</v>
      </c>
      <c r="N40" s="53">
        <v>0</v>
      </c>
      <c r="O40" s="54"/>
      <c r="P40" s="53"/>
      <c r="Q40" s="53">
        <v>471.81</v>
      </c>
      <c r="R40" s="53">
        <v>471.81</v>
      </c>
      <c r="S40" s="53">
        <v>0</v>
      </c>
      <c r="T40" s="54"/>
      <c r="U40" s="53"/>
      <c r="V40" s="53">
        <v>539.80999999999995</v>
      </c>
      <c r="W40" s="53">
        <v>539.80999999999995</v>
      </c>
      <c r="X40" s="53">
        <v>0</v>
      </c>
      <c r="Y40" s="54"/>
    </row>
    <row r="41" spans="1:25" x14ac:dyDescent="0.2">
      <c r="A41" s="50" t="s">
        <v>145</v>
      </c>
      <c r="B41" s="51" t="s">
        <v>65</v>
      </c>
      <c r="C41" s="51" t="s">
        <v>65</v>
      </c>
      <c r="D41" s="52">
        <v>36146</v>
      </c>
      <c r="E41" s="51" t="s">
        <v>111</v>
      </c>
      <c r="F41" s="53">
        <v>578.53</v>
      </c>
      <c r="G41" s="53">
        <v>578.53</v>
      </c>
      <c r="H41" s="53">
        <v>578.53</v>
      </c>
      <c r="I41" s="53">
        <v>0</v>
      </c>
      <c r="J41" s="54">
        <v>0</v>
      </c>
      <c r="K41" s="53">
        <v>587.39</v>
      </c>
      <c r="L41" s="53">
        <v>587.39</v>
      </c>
      <c r="M41" s="53">
        <v>587.39</v>
      </c>
      <c r="N41" s="53">
        <v>0</v>
      </c>
      <c r="O41" s="54">
        <v>0</v>
      </c>
      <c r="P41" s="53">
        <v>608</v>
      </c>
      <c r="Q41" s="53">
        <v>608</v>
      </c>
      <c r="R41" s="53">
        <v>608</v>
      </c>
      <c r="S41" s="53">
        <v>0</v>
      </c>
      <c r="T41" s="54">
        <v>0</v>
      </c>
      <c r="U41" s="53">
        <v>695.63</v>
      </c>
      <c r="V41" s="53">
        <v>695.63</v>
      </c>
      <c r="W41" s="53">
        <v>695.63</v>
      </c>
      <c r="X41" s="53">
        <v>0</v>
      </c>
      <c r="Y41" s="54">
        <v>0</v>
      </c>
    </row>
    <row r="42" spans="1:25" x14ac:dyDescent="0.2">
      <c r="A42" s="50" t="s">
        <v>146</v>
      </c>
      <c r="B42" s="51" t="s">
        <v>65</v>
      </c>
      <c r="C42" s="51" t="s">
        <v>65</v>
      </c>
      <c r="D42" s="52">
        <v>35249</v>
      </c>
      <c r="E42" s="51" t="s">
        <v>147</v>
      </c>
      <c r="F42" s="53">
        <v>590.1</v>
      </c>
      <c r="G42" s="53">
        <v>590.1</v>
      </c>
      <c r="H42" s="53">
        <v>590.1</v>
      </c>
      <c r="I42" s="53">
        <v>0</v>
      </c>
      <c r="J42" s="54">
        <v>0</v>
      </c>
      <c r="K42" s="53">
        <v>599.14</v>
      </c>
      <c r="L42" s="53">
        <v>599.14</v>
      </c>
      <c r="M42" s="53">
        <v>599.14</v>
      </c>
      <c r="N42" s="53">
        <v>0</v>
      </c>
      <c r="O42" s="54">
        <v>0</v>
      </c>
      <c r="P42" s="53">
        <v>620.16</v>
      </c>
      <c r="Q42" s="53">
        <v>620.16</v>
      </c>
      <c r="R42" s="53">
        <v>620.16</v>
      </c>
      <c r="S42" s="53">
        <v>0</v>
      </c>
      <c r="T42" s="54">
        <v>0</v>
      </c>
      <c r="U42" s="53">
        <v>709.54</v>
      </c>
      <c r="V42" s="53">
        <v>709.54</v>
      </c>
      <c r="W42" s="53">
        <v>709.54</v>
      </c>
      <c r="X42" s="53">
        <v>0</v>
      </c>
      <c r="Y42" s="54">
        <v>0</v>
      </c>
    </row>
    <row r="43" spans="1:25" ht="16.149999999999999" customHeight="1" x14ac:dyDescent="0.2">
      <c r="A43" s="226" t="s">
        <v>81</v>
      </c>
      <c r="B43" s="227"/>
      <c r="C43" s="227"/>
      <c r="D43" s="227"/>
      <c r="E43" s="227"/>
      <c r="F43" s="211" t="s">
        <v>161</v>
      </c>
      <c r="G43" s="212"/>
      <c r="H43" s="212"/>
      <c r="I43" s="212"/>
      <c r="J43" s="213"/>
      <c r="K43" s="211" t="s">
        <v>163</v>
      </c>
      <c r="L43" s="212"/>
      <c r="M43" s="212"/>
      <c r="N43" s="212"/>
      <c r="O43" s="213"/>
      <c r="P43" s="211" t="s">
        <v>165</v>
      </c>
      <c r="Q43" s="212"/>
      <c r="R43" s="212"/>
      <c r="S43" s="212"/>
      <c r="T43" s="213"/>
      <c r="U43" s="211" t="s">
        <v>168</v>
      </c>
      <c r="V43" s="212"/>
      <c r="W43" s="212"/>
      <c r="X43" s="212"/>
      <c r="Y43" s="213"/>
    </row>
    <row r="44" spans="1:25" ht="13.9" customHeight="1" x14ac:dyDescent="0.2">
      <c r="A44" s="228" t="s">
        <v>82</v>
      </c>
      <c r="B44" s="229"/>
      <c r="C44" s="229"/>
      <c r="D44" s="229"/>
      <c r="E44" s="229"/>
      <c r="F44" s="214">
        <v>6641.07</v>
      </c>
      <c r="G44" s="215"/>
      <c r="H44" s="215"/>
      <c r="I44" s="215"/>
      <c r="J44" s="216"/>
      <c r="K44" s="214">
        <v>6742.78</v>
      </c>
      <c r="L44" s="215"/>
      <c r="M44" s="215"/>
      <c r="N44" s="215"/>
      <c r="O44" s="216"/>
      <c r="P44" s="214">
        <v>6979.38</v>
      </c>
      <c r="Q44" s="215"/>
      <c r="R44" s="215"/>
      <c r="S44" s="215"/>
      <c r="T44" s="216"/>
      <c r="U44" s="214">
        <v>7985.28</v>
      </c>
      <c r="V44" s="215"/>
      <c r="W44" s="215"/>
      <c r="X44" s="215"/>
      <c r="Y44" s="216"/>
    </row>
    <row r="45" spans="1:25" ht="13.9" customHeight="1" x14ac:dyDescent="0.2">
      <c r="A45" s="230" t="s">
        <v>83</v>
      </c>
      <c r="B45" s="231"/>
      <c r="C45" s="231"/>
      <c r="D45" s="231"/>
      <c r="E45" s="231"/>
      <c r="F45" s="208">
        <f>F44*12</f>
        <v>79692.84</v>
      </c>
      <c r="G45" s="209"/>
      <c r="H45" s="209"/>
      <c r="I45" s="209"/>
      <c r="J45" s="210"/>
      <c r="K45" s="208">
        <f>K44*12</f>
        <v>80913.36</v>
      </c>
      <c r="L45" s="209"/>
      <c r="M45" s="209"/>
      <c r="N45" s="209"/>
      <c r="O45" s="210"/>
      <c r="P45" s="208">
        <f>P44*12</f>
        <v>83752.56</v>
      </c>
      <c r="Q45" s="209"/>
      <c r="R45" s="209"/>
      <c r="S45" s="209"/>
      <c r="T45" s="210"/>
      <c r="U45" s="208">
        <f>U44*12</f>
        <v>95823.360000000001</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C00-000000000000}"/>
    <hyperlink ref="F46" r:id="rId2" xr:uid="{00000000-0004-0000-4C00-000001000000}"/>
    <hyperlink ref="K7" r:id="rId3" xr:uid="{00000000-0004-0000-4C00-000002000000}"/>
    <hyperlink ref="K46" r:id="rId4" xr:uid="{00000000-0004-0000-4C00-000003000000}"/>
    <hyperlink ref="P7" r:id="rId5" xr:uid="{00000000-0004-0000-4C00-000004000000}"/>
    <hyperlink ref="P46" r:id="rId6" xr:uid="{00000000-0004-0000-4C00-000005000000}"/>
    <hyperlink ref="U7" r:id="rId7" xr:uid="{00000000-0004-0000-4C00-000006000000}"/>
    <hyperlink ref="U46" r:id="rId8" xr:uid="{00000000-0004-0000-4C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E6CE-7D06-44AF-A5C7-756A6C0DCB68}">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172</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169</v>
      </c>
      <c r="G6" s="122"/>
      <c r="H6" s="122"/>
      <c r="I6" s="122"/>
      <c r="J6" s="124"/>
      <c r="K6" s="121" t="s">
        <v>171</v>
      </c>
      <c r="L6" s="122"/>
      <c r="M6" s="122"/>
      <c r="N6" s="122"/>
      <c r="O6" s="124"/>
      <c r="P6" s="121" t="s">
        <v>174</v>
      </c>
      <c r="Q6" s="122"/>
      <c r="R6" s="122"/>
      <c r="S6" s="122"/>
      <c r="T6" s="124"/>
      <c r="U6" s="121" t="s">
        <v>176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170</v>
      </c>
      <c r="G8" s="233"/>
      <c r="H8" s="233"/>
      <c r="I8" s="233"/>
      <c r="J8" s="234"/>
      <c r="K8" s="232" t="s">
        <v>173</v>
      </c>
      <c r="L8" s="233"/>
      <c r="M8" s="233"/>
      <c r="N8" s="233"/>
      <c r="O8" s="234"/>
      <c r="P8" s="232" t="s">
        <v>175</v>
      </c>
      <c r="Q8" s="233"/>
      <c r="R8" s="233"/>
      <c r="S8" s="233"/>
      <c r="T8" s="234"/>
      <c r="U8" s="232" t="s">
        <v>177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2962.47</v>
      </c>
      <c r="G10" s="53">
        <v>1353.32</v>
      </c>
      <c r="H10" s="53">
        <v>1353.32</v>
      </c>
      <c r="I10" s="53">
        <v>0</v>
      </c>
      <c r="J10" s="54">
        <v>0</v>
      </c>
      <c r="K10" s="53">
        <v>3155.17</v>
      </c>
      <c r="L10" s="53">
        <v>1441.35</v>
      </c>
      <c r="M10" s="53">
        <v>1441.35</v>
      </c>
      <c r="N10" s="53">
        <v>0</v>
      </c>
      <c r="O10" s="54">
        <v>0</v>
      </c>
      <c r="P10" s="53">
        <v>3186.21</v>
      </c>
      <c r="Q10" s="53">
        <v>1455.53</v>
      </c>
      <c r="R10" s="53">
        <v>1455.53</v>
      </c>
      <c r="S10" s="53">
        <v>0</v>
      </c>
      <c r="T10" s="54">
        <v>0</v>
      </c>
      <c r="U10" s="53">
        <v>3229.19</v>
      </c>
      <c r="V10" s="53">
        <v>1475.17</v>
      </c>
      <c r="W10" s="53">
        <v>1475.17</v>
      </c>
      <c r="X10" s="53">
        <v>0</v>
      </c>
      <c r="Y10" s="54">
        <v>0</v>
      </c>
    </row>
    <row r="11" spans="1:25" x14ac:dyDescent="0.2">
      <c r="A11" s="50" t="s">
        <v>106</v>
      </c>
      <c r="B11" s="51" t="s">
        <v>107</v>
      </c>
      <c r="C11" s="51"/>
      <c r="D11" s="52">
        <v>27837</v>
      </c>
      <c r="E11" s="51" t="s">
        <v>105</v>
      </c>
      <c r="F11" s="53"/>
      <c r="G11" s="53">
        <v>1033.3900000000001</v>
      </c>
      <c r="H11" s="53">
        <v>1033.3900000000001</v>
      </c>
      <c r="I11" s="53">
        <v>0</v>
      </c>
      <c r="J11" s="54"/>
      <c r="K11" s="53"/>
      <c r="L11" s="53">
        <v>1100.6099999999999</v>
      </c>
      <c r="M11" s="53">
        <v>1100.6099999999999</v>
      </c>
      <c r="N11" s="53">
        <v>0</v>
      </c>
      <c r="O11" s="54"/>
      <c r="P11" s="53"/>
      <c r="Q11" s="53">
        <v>1111.44</v>
      </c>
      <c r="R11" s="53">
        <v>1111.44</v>
      </c>
      <c r="S11" s="53">
        <v>0</v>
      </c>
      <c r="T11" s="54"/>
      <c r="U11" s="53"/>
      <c r="V11" s="53">
        <v>1126.43</v>
      </c>
      <c r="W11" s="53">
        <v>1126.43</v>
      </c>
      <c r="X11" s="53">
        <v>0</v>
      </c>
      <c r="Y11" s="54"/>
    </row>
    <row r="12" spans="1:25" x14ac:dyDescent="0.2">
      <c r="A12" s="50" t="s">
        <v>108</v>
      </c>
      <c r="B12" s="51" t="s">
        <v>109</v>
      </c>
      <c r="C12" s="51"/>
      <c r="D12" s="52">
        <v>38648</v>
      </c>
      <c r="E12" s="51" t="s">
        <v>105</v>
      </c>
      <c r="F12" s="53"/>
      <c r="G12" s="53">
        <v>575.76</v>
      </c>
      <c r="H12" s="53">
        <v>575.76</v>
      </c>
      <c r="I12" s="53">
        <v>0</v>
      </c>
      <c r="J12" s="54"/>
      <c r="K12" s="53"/>
      <c r="L12" s="53">
        <v>613.21</v>
      </c>
      <c r="M12" s="53">
        <v>613.21</v>
      </c>
      <c r="N12" s="53">
        <v>0</v>
      </c>
      <c r="O12" s="54"/>
      <c r="P12" s="53"/>
      <c r="Q12" s="53">
        <v>619.24</v>
      </c>
      <c r="R12" s="53">
        <v>619.24</v>
      </c>
      <c r="S12" s="53">
        <v>0</v>
      </c>
      <c r="T12" s="54"/>
      <c r="U12" s="53"/>
      <c r="V12" s="53">
        <v>627.59</v>
      </c>
      <c r="W12" s="53">
        <v>627.59</v>
      </c>
      <c r="X12" s="53">
        <v>0</v>
      </c>
      <c r="Y12" s="54"/>
    </row>
    <row r="13" spans="1:25" x14ac:dyDescent="0.2">
      <c r="A13" s="50" t="s">
        <v>110</v>
      </c>
      <c r="B13" s="51" t="s">
        <v>65</v>
      </c>
      <c r="C13" s="51" t="s">
        <v>65</v>
      </c>
      <c r="D13" s="52">
        <v>36345</v>
      </c>
      <c r="E13" s="51" t="s">
        <v>111</v>
      </c>
      <c r="F13" s="53">
        <v>741.95</v>
      </c>
      <c r="G13" s="53">
        <v>741.95</v>
      </c>
      <c r="H13" s="53">
        <v>741.95</v>
      </c>
      <c r="I13" s="53">
        <v>0</v>
      </c>
      <c r="J13" s="54">
        <v>0</v>
      </c>
      <c r="K13" s="53">
        <v>790.22</v>
      </c>
      <c r="L13" s="53">
        <v>790.22</v>
      </c>
      <c r="M13" s="53">
        <v>790.22</v>
      </c>
      <c r="N13" s="53">
        <v>0</v>
      </c>
      <c r="O13" s="54">
        <v>0</v>
      </c>
      <c r="P13" s="53">
        <v>797.99</v>
      </c>
      <c r="Q13" s="53">
        <v>797.99</v>
      </c>
      <c r="R13" s="53">
        <v>797.99</v>
      </c>
      <c r="S13" s="53">
        <v>0</v>
      </c>
      <c r="T13" s="54">
        <v>0</v>
      </c>
      <c r="U13" s="53">
        <v>808.75</v>
      </c>
      <c r="V13" s="53">
        <v>808.75</v>
      </c>
      <c r="W13" s="53">
        <v>808.75</v>
      </c>
      <c r="X13" s="53">
        <v>0</v>
      </c>
      <c r="Y13" s="54">
        <v>0</v>
      </c>
    </row>
    <row r="14" spans="1:25" x14ac:dyDescent="0.2">
      <c r="A14" s="50" t="s">
        <v>112</v>
      </c>
      <c r="B14" s="51" t="s">
        <v>65</v>
      </c>
      <c r="C14" s="51" t="s">
        <v>104</v>
      </c>
      <c r="D14" s="52">
        <v>24895</v>
      </c>
      <c r="E14" s="51" t="s">
        <v>113</v>
      </c>
      <c r="F14" s="53">
        <v>3238.48</v>
      </c>
      <c r="G14" s="53">
        <v>1309.4000000000001</v>
      </c>
      <c r="H14" s="53">
        <v>1309.4000000000001</v>
      </c>
      <c r="I14" s="53">
        <v>0</v>
      </c>
      <c r="J14" s="54">
        <v>0</v>
      </c>
      <c r="K14" s="53">
        <v>3449.13</v>
      </c>
      <c r="L14" s="53">
        <v>1394.57</v>
      </c>
      <c r="M14" s="53">
        <v>1394.57</v>
      </c>
      <c r="N14" s="53">
        <v>0</v>
      </c>
      <c r="O14" s="54">
        <v>0</v>
      </c>
      <c r="P14" s="53">
        <v>3483.06</v>
      </c>
      <c r="Q14" s="53">
        <v>1408.29</v>
      </c>
      <c r="R14" s="53">
        <v>1408.29</v>
      </c>
      <c r="S14" s="53">
        <v>0</v>
      </c>
      <c r="T14" s="54">
        <v>0</v>
      </c>
      <c r="U14" s="53">
        <v>3530.05</v>
      </c>
      <c r="V14" s="53">
        <v>1427.29</v>
      </c>
      <c r="W14" s="53">
        <v>1427.29</v>
      </c>
      <c r="X14" s="53">
        <v>0</v>
      </c>
      <c r="Y14" s="54">
        <v>0</v>
      </c>
    </row>
    <row r="15" spans="1:25" x14ac:dyDescent="0.2">
      <c r="A15" s="50" t="s">
        <v>114</v>
      </c>
      <c r="B15" s="51" t="s">
        <v>107</v>
      </c>
      <c r="C15" s="51"/>
      <c r="D15" s="52">
        <v>24269</v>
      </c>
      <c r="E15" s="51" t="s">
        <v>113</v>
      </c>
      <c r="F15" s="53"/>
      <c r="G15" s="53">
        <v>1353.32</v>
      </c>
      <c r="H15" s="53">
        <v>1353.32</v>
      </c>
      <c r="I15" s="53">
        <v>0</v>
      </c>
      <c r="J15" s="54"/>
      <c r="K15" s="53"/>
      <c r="L15" s="53">
        <v>1441.35</v>
      </c>
      <c r="M15" s="53">
        <v>1441.35</v>
      </c>
      <c r="N15" s="53">
        <v>0</v>
      </c>
      <c r="O15" s="54"/>
      <c r="P15" s="53"/>
      <c r="Q15" s="53">
        <v>1455.53</v>
      </c>
      <c r="R15" s="53">
        <v>1455.53</v>
      </c>
      <c r="S15" s="53">
        <v>0</v>
      </c>
      <c r="T15" s="54"/>
      <c r="U15" s="53"/>
      <c r="V15" s="53">
        <v>1475.17</v>
      </c>
      <c r="W15" s="53">
        <v>1475.17</v>
      </c>
      <c r="X15" s="53">
        <v>0</v>
      </c>
      <c r="Y15" s="54"/>
    </row>
    <row r="16" spans="1:25" x14ac:dyDescent="0.2">
      <c r="A16" s="50" t="s">
        <v>115</v>
      </c>
      <c r="B16" s="51" t="s">
        <v>109</v>
      </c>
      <c r="C16" s="51"/>
      <c r="D16" s="52">
        <v>38614</v>
      </c>
      <c r="E16" s="51" t="s">
        <v>113</v>
      </c>
      <c r="F16" s="53"/>
      <c r="G16" s="53">
        <v>575.76</v>
      </c>
      <c r="H16" s="53">
        <v>575.76</v>
      </c>
      <c r="I16" s="53">
        <v>0</v>
      </c>
      <c r="J16" s="54"/>
      <c r="K16" s="53"/>
      <c r="L16" s="53">
        <v>613.21</v>
      </c>
      <c r="M16" s="53">
        <v>613.21</v>
      </c>
      <c r="N16" s="53">
        <v>0</v>
      </c>
      <c r="O16" s="54"/>
      <c r="P16" s="53"/>
      <c r="Q16" s="53">
        <v>619.24</v>
      </c>
      <c r="R16" s="53">
        <v>619.24</v>
      </c>
      <c r="S16" s="53">
        <v>0</v>
      </c>
      <c r="T16" s="54"/>
      <c r="U16" s="53"/>
      <c r="V16" s="53">
        <v>627.59</v>
      </c>
      <c r="W16" s="53">
        <v>627.59</v>
      </c>
      <c r="X16" s="53">
        <v>0</v>
      </c>
      <c r="Y16" s="54"/>
    </row>
    <row r="17" spans="1:25" x14ac:dyDescent="0.2">
      <c r="A17" s="50" t="s">
        <v>116</v>
      </c>
      <c r="B17" s="51" t="s">
        <v>65</v>
      </c>
      <c r="C17" s="51" t="s">
        <v>117</v>
      </c>
      <c r="D17" s="52">
        <v>18453</v>
      </c>
      <c r="E17" s="51" t="s">
        <v>118</v>
      </c>
      <c r="F17" s="53">
        <v>2706.64</v>
      </c>
      <c r="G17" s="53">
        <v>1353.32</v>
      </c>
      <c r="H17" s="53">
        <v>1353.32</v>
      </c>
      <c r="I17" s="53">
        <v>0</v>
      </c>
      <c r="J17" s="54">
        <v>0</v>
      </c>
      <c r="K17" s="53">
        <v>2882.7</v>
      </c>
      <c r="L17" s="53">
        <v>1441.35</v>
      </c>
      <c r="M17" s="53">
        <v>1441.35</v>
      </c>
      <c r="N17" s="53">
        <v>0</v>
      </c>
      <c r="O17" s="54">
        <v>0</v>
      </c>
      <c r="P17" s="53">
        <v>2911.06</v>
      </c>
      <c r="Q17" s="53">
        <v>1455.53</v>
      </c>
      <c r="R17" s="53">
        <v>1455.53</v>
      </c>
      <c r="S17" s="53">
        <v>0</v>
      </c>
      <c r="T17" s="54">
        <v>0</v>
      </c>
      <c r="U17" s="53">
        <v>2950.34</v>
      </c>
      <c r="V17" s="53">
        <v>1475.17</v>
      </c>
      <c r="W17" s="53">
        <v>1475.17</v>
      </c>
      <c r="X17" s="53">
        <v>0</v>
      </c>
      <c r="Y17" s="54">
        <v>0</v>
      </c>
    </row>
    <row r="18" spans="1:25" x14ac:dyDescent="0.2">
      <c r="A18" s="50" t="s">
        <v>119</v>
      </c>
      <c r="B18" s="51" t="s">
        <v>107</v>
      </c>
      <c r="C18" s="51"/>
      <c r="D18" s="52">
        <v>19761</v>
      </c>
      <c r="E18" s="51" t="s">
        <v>118</v>
      </c>
      <c r="F18" s="53"/>
      <c r="G18" s="53">
        <v>1353.32</v>
      </c>
      <c r="H18" s="53">
        <v>1353.32</v>
      </c>
      <c r="I18" s="53">
        <v>0</v>
      </c>
      <c r="J18" s="54"/>
      <c r="K18" s="53"/>
      <c r="L18" s="53">
        <v>1441.35</v>
      </c>
      <c r="M18" s="53">
        <v>1441.35</v>
      </c>
      <c r="N18" s="53">
        <v>0</v>
      </c>
      <c r="O18" s="54"/>
      <c r="P18" s="53"/>
      <c r="Q18" s="53">
        <v>1455.53</v>
      </c>
      <c r="R18" s="53">
        <v>1455.53</v>
      </c>
      <c r="S18" s="53">
        <v>0</v>
      </c>
      <c r="T18" s="54"/>
      <c r="U18" s="53"/>
      <c r="V18" s="53">
        <v>1475.17</v>
      </c>
      <c r="W18" s="53">
        <v>1475.17</v>
      </c>
      <c r="X18" s="53">
        <v>0</v>
      </c>
      <c r="Y18" s="54"/>
    </row>
    <row r="19" spans="1:25" x14ac:dyDescent="0.2">
      <c r="A19" s="50" t="s">
        <v>120</v>
      </c>
      <c r="B19" s="51" t="s">
        <v>65</v>
      </c>
      <c r="C19" s="51" t="s">
        <v>65</v>
      </c>
      <c r="D19" s="52">
        <v>35733</v>
      </c>
      <c r="E19" s="51" t="s">
        <v>121</v>
      </c>
      <c r="F19" s="53">
        <v>741.95</v>
      </c>
      <c r="G19" s="53">
        <v>741.95</v>
      </c>
      <c r="H19" s="53">
        <v>741.95</v>
      </c>
      <c r="I19" s="53">
        <v>0</v>
      </c>
      <c r="J19" s="54">
        <v>0</v>
      </c>
      <c r="K19" s="53">
        <v>790.22</v>
      </c>
      <c r="L19" s="53">
        <v>790.22</v>
      </c>
      <c r="M19" s="53">
        <v>790.22</v>
      </c>
      <c r="N19" s="53">
        <v>0</v>
      </c>
      <c r="O19" s="54">
        <v>0</v>
      </c>
      <c r="P19" s="53">
        <v>797.99</v>
      </c>
      <c r="Q19" s="53">
        <v>797.99</v>
      </c>
      <c r="R19" s="53">
        <v>797.99</v>
      </c>
      <c r="S19" s="53">
        <v>0</v>
      </c>
      <c r="T19" s="54">
        <v>0</v>
      </c>
      <c r="U19" s="53">
        <v>808.75</v>
      </c>
      <c r="V19" s="53">
        <v>808.75</v>
      </c>
      <c r="W19" s="53">
        <v>808.75</v>
      </c>
      <c r="X19" s="53">
        <v>0</v>
      </c>
      <c r="Y19" s="54">
        <v>0</v>
      </c>
    </row>
    <row r="20" spans="1:25" x14ac:dyDescent="0.2">
      <c r="A20" s="50" t="s">
        <v>122</v>
      </c>
      <c r="B20" s="51" t="s">
        <v>65</v>
      </c>
      <c r="C20" s="51" t="s">
        <v>104</v>
      </c>
      <c r="D20" s="52">
        <v>24958</v>
      </c>
      <c r="E20" s="51" t="s">
        <v>123</v>
      </c>
      <c r="F20" s="53">
        <v>3715.11</v>
      </c>
      <c r="G20" s="53">
        <v>1309.4000000000001</v>
      </c>
      <c r="H20" s="53">
        <v>1309.4000000000001</v>
      </c>
      <c r="I20" s="53">
        <v>0</v>
      </c>
      <c r="J20" s="54">
        <v>0</v>
      </c>
      <c r="K20" s="53">
        <v>3956.76</v>
      </c>
      <c r="L20" s="53">
        <v>1394.57</v>
      </c>
      <c r="M20" s="53">
        <v>1394.57</v>
      </c>
      <c r="N20" s="53">
        <v>0</v>
      </c>
      <c r="O20" s="54">
        <v>0</v>
      </c>
      <c r="P20" s="53">
        <v>3995.69</v>
      </c>
      <c r="Q20" s="53">
        <v>1408.29</v>
      </c>
      <c r="R20" s="53">
        <v>1408.29</v>
      </c>
      <c r="S20" s="53">
        <v>0</v>
      </c>
      <c r="T20" s="54">
        <v>0</v>
      </c>
      <c r="U20" s="53">
        <v>4049.59</v>
      </c>
      <c r="V20" s="53">
        <v>1427.29</v>
      </c>
      <c r="W20" s="53">
        <v>1427.29</v>
      </c>
      <c r="X20" s="53">
        <v>0</v>
      </c>
      <c r="Y20" s="54">
        <v>0</v>
      </c>
    </row>
    <row r="21" spans="1:25" x14ac:dyDescent="0.2">
      <c r="A21" s="50" t="s">
        <v>124</v>
      </c>
      <c r="B21" s="51" t="s">
        <v>107</v>
      </c>
      <c r="C21" s="51"/>
      <c r="D21" s="52">
        <v>25342</v>
      </c>
      <c r="E21" s="51" t="s">
        <v>123</v>
      </c>
      <c r="F21" s="53"/>
      <c r="G21" s="53">
        <v>1271.4100000000001</v>
      </c>
      <c r="H21" s="53">
        <v>1271.4100000000001</v>
      </c>
      <c r="I21" s="53">
        <v>0</v>
      </c>
      <c r="J21" s="54"/>
      <c r="K21" s="53"/>
      <c r="L21" s="53">
        <v>1354.11</v>
      </c>
      <c r="M21" s="53">
        <v>1354.11</v>
      </c>
      <c r="N21" s="53">
        <v>0</v>
      </c>
      <c r="O21" s="54"/>
      <c r="P21" s="53"/>
      <c r="Q21" s="53">
        <v>1367.43</v>
      </c>
      <c r="R21" s="53">
        <v>1367.43</v>
      </c>
      <c r="S21" s="53">
        <v>0</v>
      </c>
      <c r="T21" s="54"/>
      <c r="U21" s="53"/>
      <c r="V21" s="53">
        <v>1385.88</v>
      </c>
      <c r="W21" s="53">
        <v>1385.88</v>
      </c>
      <c r="X21" s="53">
        <v>0</v>
      </c>
      <c r="Y21" s="54"/>
    </row>
    <row r="22" spans="1:25" x14ac:dyDescent="0.2">
      <c r="A22" s="50" t="s">
        <v>125</v>
      </c>
      <c r="B22" s="51" t="s">
        <v>109</v>
      </c>
      <c r="C22" s="51"/>
      <c r="D22" s="52">
        <v>38632</v>
      </c>
      <c r="E22" s="51" t="s">
        <v>123</v>
      </c>
      <c r="F22" s="53"/>
      <c r="G22" s="53">
        <v>575.76</v>
      </c>
      <c r="H22" s="53">
        <v>575.76</v>
      </c>
      <c r="I22" s="53">
        <v>0</v>
      </c>
      <c r="J22" s="54"/>
      <c r="K22" s="53"/>
      <c r="L22" s="53">
        <v>613.21</v>
      </c>
      <c r="M22" s="53">
        <v>613.21</v>
      </c>
      <c r="N22" s="53">
        <v>0</v>
      </c>
      <c r="O22" s="54"/>
      <c r="P22" s="53"/>
      <c r="Q22" s="53">
        <v>619.24</v>
      </c>
      <c r="R22" s="53">
        <v>619.24</v>
      </c>
      <c r="S22" s="53">
        <v>0</v>
      </c>
      <c r="T22" s="54"/>
      <c r="U22" s="53"/>
      <c r="V22" s="53">
        <v>627.59</v>
      </c>
      <c r="W22" s="53">
        <v>627.59</v>
      </c>
      <c r="X22" s="53">
        <v>0</v>
      </c>
      <c r="Y22" s="54"/>
    </row>
    <row r="23" spans="1:25" x14ac:dyDescent="0.2">
      <c r="A23" s="50" t="s">
        <v>126</v>
      </c>
      <c r="B23" s="51" t="s">
        <v>109</v>
      </c>
      <c r="C23" s="51"/>
      <c r="D23" s="52">
        <v>39092</v>
      </c>
      <c r="E23" s="51" t="s">
        <v>123</v>
      </c>
      <c r="F23" s="53"/>
      <c r="G23" s="53">
        <v>558.54</v>
      </c>
      <c r="H23" s="53">
        <v>558.54</v>
      </c>
      <c r="I23" s="53">
        <v>0</v>
      </c>
      <c r="J23" s="54"/>
      <c r="K23" s="53"/>
      <c r="L23" s="53">
        <v>594.87</v>
      </c>
      <c r="M23" s="53">
        <v>594.87</v>
      </c>
      <c r="N23" s="53">
        <v>0</v>
      </c>
      <c r="O23" s="54"/>
      <c r="P23" s="53"/>
      <c r="Q23" s="53">
        <v>600.73</v>
      </c>
      <c r="R23" s="53">
        <v>600.73</v>
      </c>
      <c r="S23" s="53">
        <v>0</v>
      </c>
      <c r="T23" s="54"/>
      <c r="U23" s="53"/>
      <c r="V23" s="53">
        <v>608.83000000000004</v>
      </c>
      <c r="W23" s="53">
        <v>608.83000000000004</v>
      </c>
      <c r="X23" s="53">
        <v>0</v>
      </c>
      <c r="Y23" s="54"/>
    </row>
    <row r="24" spans="1:25" x14ac:dyDescent="0.2">
      <c r="A24" s="50" t="s">
        <v>127</v>
      </c>
      <c r="B24" s="51" t="s">
        <v>65</v>
      </c>
      <c r="C24" s="51" t="s">
        <v>117</v>
      </c>
      <c r="D24" s="52">
        <v>21309</v>
      </c>
      <c r="E24" s="51" t="s">
        <v>96</v>
      </c>
      <c r="F24" s="53">
        <v>2706.64</v>
      </c>
      <c r="G24" s="53">
        <v>1353.32</v>
      </c>
      <c r="H24" s="53">
        <v>1353.32</v>
      </c>
      <c r="I24" s="53">
        <v>0</v>
      </c>
      <c r="J24" s="54">
        <v>0</v>
      </c>
      <c r="K24" s="53">
        <v>2882.7</v>
      </c>
      <c r="L24" s="53">
        <v>1441.35</v>
      </c>
      <c r="M24" s="53">
        <v>1441.35</v>
      </c>
      <c r="N24" s="53">
        <v>0</v>
      </c>
      <c r="O24" s="54">
        <v>0</v>
      </c>
      <c r="P24" s="53">
        <v>2911.06</v>
      </c>
      <c r="Q24" s="53">
        <v>1455.53</v>
      </c>
      <c r="R24" s="53">
        <v>1455.53</v>
      </c>
      <c r="S24" s="53">
        <v>0</v>
      </c>
      <c r="T24" s="54">
        <v>0</v>
      </c>
      <c r="U24" s="53">
        <v>2950.34</v>
      </c>
      <c r="V24" s="53">
        <v>1475.17</v>
      </c>
      <c r="W24" s="53">
        <v>1475.17</v>
      </c>
      <c r="X24" s="53">
        <v>0</v>
      </c>
      <c r="Y24" s="54">
        <v>0</v>
      </c>
    </row>
    <row r="25" spans="1:25" x14ac:dyDescent="0.2">
      <c r="A25" s="50" t="s">
        <v>128</v>
      </c>
      <c r="B25" s="51" t="s">
        <v>107</v>
      </c>
      <c r="C25" s="51"/>
      <c r="D25" s="52">
        <v>23570</v>
      </c>
      <c r="E25" s="51" t="s">
        <v>96</v>
      </c>
      <c r="F25" s="53"/>
      <c r="G25" s="53">
        <v>1353.32</v>
      </c>
      <c r="H25" s="53">
        <v>1353.32</v>
      </c>
      <c r="I25" s="53">
        <v>0</v>
      </c>
      <c r="J25" s="54"/>
      <c r="K25" s="53"/>
      <c r="L25" s="53">
        <v>1441.35</v>
      </c>
      <c r="M25" s="53">
        <v>1441.35</v>
      </c>
      <c r="N25" s="53">
        <v>0</v>
      </c>
      <c r="O25" s="54"/>
      <c r="P25" s="53"/>
      <c r="Q25" s="53">
        <v>1455.53</v>
      </c>
      <c r="R25" s="53">
        <v>1455.53</v>
      </c>
      <c r="S25" s="53">
        <v>0</v>
      </c>
      <c r="T25" s="54"/>
      <c r="U25" s="53"/>
      <c r="V25" s="53">
        <v>1475.17</v>
      </c>
      <c r="W25" s="53">
        <v>1475.17</v>
      </c>
      <c r="X25" s="53">
        <v>0</v>
      </c>
      <c r="Y25" s="54"/>
    </row>
    <row r="26" spans="1:25" x14ac:dyDescent="0.2">
      <c r="A26" s="50" t="s">
        <v>129</v>
      </c>
      <c r="B26" s="51" t="s">
        <v>65</v>
      </c>
      <c r="C26" s="51" t="s">
        <v>65</v>
      </c>
      <c r="D26" s="52">
        <v>24147</v>
      </c>
      <c r="E26" s="51" t="s">
        <v>113</v>
      </c>
      <c r="F26" s="53">
        <v>1353.32</v>
      </c>
      <c r="G26" s="53">
        <v>1353.32</v>
      </c>
      <c r="H26" s="53">
        <v>1353.32</v>
      </c>
      <c r="I26" s="53">
        <v>0</v>
      </c>
      <c r="J26" s="54">
        <v>0</v>
      </c>
      <c r="K26" s="53">
        <v>1441.35</v>
      </c>
      <c r="L26" s="53">
        <v>1441.35</v>
      </c>
      <c r="M26" s="53">
        <v>1441.35</v>
      </c>
      <c r="N26" s="53">
        <v>0</v>
      </c>
      <c r="O26" s="54">
        <v>0</v>
      </c>
      <c r="P26" s="53">
        <v>1455.53</v>
      </c>
      <c r="Q26" s="53">
        <v>1455.53</v>
      </c>
      <c r="R26" s="53">
        <v>1455.53</v>
      </c>
      <c r="S26" s="53">
        <v>0</v>
      </c>
      <c r="T26" s="54">
        <v>0</v>
      </c>
      <c r="U26" s="53">
        <v>1475.17</v>
      </c>
      <c r="V26" s="53">
        <v>1475.17</v>
      </c>
      <c r="W26" s="53">
        <v>1475.17</v>
      </c>
      <c r="X26" s="53">
        <v>0</v>
      </c>
      <c r="Y26" s="54">
        <v>0</v>
      </c>
    </row>
    <row r="27" spans="1:25" x14ac:dyDescent="0.2">
      <c r="A27" s="50" t="s">
        <v>130</v>
      </c>
      <c r="B27" s="51" t="s">
        <v>65</v>
      </c>
      <c r="C27" s="51" t="s">
        <v>65</v>
      </c>
      <c r="D27" s="52">
        <v>25210</v>
      </c>
      <c r="E27" s="51" t="s">
        <v>131</v>
      </c>
      <c r="F27" s="53">
        <v>1271.4100000000001</v>
      </c>
      <c r="G27" s="53">
        <v>1271.4100000000001</v>
      </c>
      <c r="H27" s="53">
        <v>1271.4100000000001</v>
      </c>
      <c r="I27" s="53">
        <v>0</v>
      </c>
      <c r="J27" s="54">
        <v>0</v>
      </c>
      <c r="K27" s="53">
        <v>1354.11</v>
      </c>
      <c r="L27" s="53">
        <v>1354.11</v>
      </c>
      <c r="M27" s="53">
        <v>1354.11</v>
      </c>
      <c r="N27" s="53">
        <v>0</v>
      </c>
      <c r="O27" s="54">
        <v>0</v>
      </c>
      <c r="P27" s="53">
        <v>1367.43</v>
      </c>
      <c r="Q27" s="53">
        <v>1367.43</v>
      </c>
      <c r="R27" s="53">
        <v>1367.43</v>
      </c>
      <c r="S27" s="53">
        <v>0</v>
      </c>
      <c r="T27" s="54">
        <v>0</v>
      </c>
      <c r="U27" s="53">
        <v>1385.88</v>
      </c>
      <c r="V27" s="53">
        <v>1385.88</v>
      </c>
      <c r="W27" s="53">
        <v>1385.88</v>
      </c>
      <c r="X27" s="53">
        <v>0</v>
      </c>
      <c r="Y27" s="54">
        <v>0</v>
      </c>
    </row>
    <row r="28" spans="1:25" x14ac:dyDescent="0.2">
      <c r="A28" s="50" t="s">
        <v>132</v>
      </c>
      <c r="B28" s="51" t="s">
        <v>65</v>
      </c>
      <c r="C28" s="51" t="s">
        <v>65</v>
      </c>
      <c r="D28" s="52">
        <v>35103</v>
      </c>
      <c r="E28" s="51" t="s">
        <v>113</v>
      </c>
      <c r="F28" s="53">
        <v>763.92</v>
      </c>
      <c r="G28" s="53">
        <v>763.92</v>
      </c>
      <c r="H28" s="53">
        <v>763.92</v>
      </c>
      <c r="I28" s="53">
        <v>0</v>
      </c>
      <c r="J28" s="54">
        <v>0</v>
      </c>
      <c r="K28" s="53">
        <v>813.61</v>
      </c>
      <c r="L28" s="53">
        <v>813.61</v>
      </c>
      <c r="M28" s="53">
        <v>813.61</v>
      </c>
      <c r="N28" s="53">
        <v>0</v>
      </c>
      <c r="O28" s="54">
        <v>0</v>
      </c>
      <c r="P28" s="53">
        <v>821.61</v>
      </c>
      <c r="Q28" s="53">
        <v>821.61</v>
      </c>
      <c r="R28" s="53">
        <v>821.61</v>
      </c>
      <c r="S28" s="53">
        <v>0</v>
      </c>
      <c r="T28" s="54">
        <v>0</v>
      </c>
      <c r="U28" s="53">
        <v>832.69</v>
      </c>
      <c r="V28" s="53">
        <v>832.69</v>
      </c>
      <c r="W28" s="53">
        <v>832.69</v>
      </c>
      <c r="X28" s="53">
        <v>0</v>
      </c>
      <c r="Y28" s="54">
        <v>0</v>
      </c>
    </row>
    <row r="29" spans="1:25" x14ac:dyDescent="0.2">
      <c r="A29" s="50" t="s">
        <v>133</v>
      </c>
      <c r="B29" s="51" t="s">
        <v>65</v>
      </c>
      <c r="C29" s="51" t="s">
        <v>117</v>
      </c>
      <c r="D29" s="52">
        <v>27399</v>
      </c>
      <c r="E29" s="51" t="s">
        <v>113</v>
      </c>
      <c r="F29" s="53">
        <v>1960.54</v>
      </c>
      <c r="G29" s="53">
        <v>1063.67</v>
      </c>
      <c r="H29" s="53">
        <v>1063.67</v>
      </c>
      <c r="I29" s="53">
        <v>0</v>
      </c>
      <c r="J29" s="54">
        <v>0</v>
      </c>
      <c r="K29" s="53">
        <v>2088.06</v>
      </c>
      <c r="L29" s="53">
        <v>1132.8499999999999</v>
      </c>
      <c r="M29" s="53">
        <v>1132.8499999999999</v>
      </c>
      <c r="N29" s="53">
        <v>0</v>
      </c>
      <c r="O29" s="54">
        <v>0</v>
      </c>
      <c r="P29" s="53">
        <v>2108.61</v>
      </c>
      <c r="Q29" s="53">
        <v>1144</v>
      </c>
      <c r="R29" s="53">
        <v>1144</v>
      </c>
      <c r="S29" s="53">
        <v>0</v>
      </c>
      <c r="T29" s="54">
        <v>0</v>
      </c>
      <c r="U29" s="53">
        <v>2137.0500000000002</v>
      </c>
      <c r="V29" s="53">
        <v>1159.43</v>
      </c>
      <c r="W29" s="53">
        <v>1159.43</v>
      </c>
      <c r="X29" s="53">
        <v>0</v>
      </c>
      <c r="Y29" s="54">
        <v>0</v>
      </c>
    </row>
    <row r="30" spans="1:25" x14ac:dyDescent="0.2">
      <c r="A30" s="50" t="s">
        <v>134</v>
      </c>
      <c r="B30" s="51" t="s">
        <v>107</v>
      </c>
      <c r="C30" s="51"/>
      <c r="D30" s="52">
        <v>29502</v>
      </c>
      <c r="E30" s="51" t="s">
        <v>113</v>
      </c>
      <c r="F30" s="53"/>
      <c r="G30" s="53">
        <v>896.87</v>
      </c>
      <c r="H30" s="53">
        <v>896.87</v>
      </c>
      <c r="I30" s="53">
        <v>0</v>
      </c>
      <c r="J30" s="54"/>
      <c r="K30" s="53"/>
      <c r="L30" s="53">
        <v>955.21</v>
      </c>
      <c r="M30" s="53">
        <v>955.21</v>
      </c>
      <c r="N30" s="53">
        <v>0</v>
      </c>
      <c r="O30" s="54"/>
      <c r="P30" s="53"/>
      <c r="Q30" s="53">
        <v>964.61</v>
      </c>
      <c r="R30" s="53">
        <v>964.61</v>
      </c>
      <c r="S30" s="53">
        <v>0</v>
      </c>
      <c r="T30" s="54"/>
      <c r="U30" s="53"/>
      <c r="V30" s="53">
        <v>977.62</v>
      </c>
      <c r="W30" s="53">
        <v>977.62</v>
      </c>
      <c r="X30" s="53">
        <v>0</v>
      </c>
      <c r="Y30" s="54"/>
    </row>
    <row r="31" spans="1:25" x14ac:dyDescent="0.2">
      <c r="A31" s="50" t="s">
        <v>135</v>
      </c>
      <c r="B31" s="51" t="s">
        <v>65</v>
      </c>
      <c r="C31" s="51" t="s">
        <v>104</v>
      </c>
      <c r="D31" s="52">
        <v>24592</v>
      </c>
      <c r="E31" s="51" t="s">
        <v>111</v>
      </c>
      <c r="F31" s="53">
        <v>3448.59</v>
      </c>
      <c r="G31" s="53">
        <v>1353.32</v>
      </c>
      <c r="H31" s="53">
        <v>1353.32</v>
      </c>
      <c r="I31" s="53">
        <v>0</v>
      </c>
      <c r="J31" s="54">
        <v>0</v>
      </c>
      <c r="K31" s="53">
        <v>3672.92</v>
      </c>
      <c r="L31" s="53">
        <v>1441.35</v>
      </c>
      <c r="M31" s="53">
        <v>1441.35</v>
      </c>
      <c r="N31" s="53">
        <v>0</v>
      </c>
      <c r="O31" s="54">
        <v>0</v>
      </c>
      <c r="P31" s="53">
        <v>3709.05</v>
      </c>
      <c r="Q31" s="53">
        <v>1455.53</v>
      </c>
      <c r="R31" s="53">
        <v>1455.53</v>
      </c>
      <c r="S31" s="53">
        <v>0</v>
      </c>
      <c r="T31" s="54">
        <v>0</v>
      </c>
      <c r="U31" s="53">
        <v>3759.09</v>
      </c>
      <c r="V31" s="53">
        <v>1475.17</v>
      </c>
      <c r="W31" s="53">
        <v>1475.17</v>
      </c>
      <c r="X31" s="53">
        <v>0</v>
      </c>
      <c r="Y31" s="54">
        <v>0</v>
      </c>
    </row>
    <row r="32" spans="1:25" x14ac:dyDescent="0.2">
      <c r="A32" s="50" t="s">
        <v>136</v>
      </c>
      <c r="B32" s="51" t="s">
        <v>107</v>
      </c>
      <c r="C32" s="51"/>
      <c r="D32" s="52">
        <v>22616</v>
      </c>
      <c r="E32" s="51" t="s">
        <v>111</v>
      </c>
      <c r="F32" s="53"/>
      <c r="G32" s="53">
        <v>1353.32</v>
      </c>
      <c r="H32" s="53">
        <v>1353.32</v>
      </c>
      <c r="I32" s="53">
        <v>0</v>
      </c>
      <c r="J32" s="54"/>
      <c r="K32" s="53"/>
      <c r="L32" s="53">
        <v>1441.35</v>
      </c>
      <c r="M32" s="53">
        <v>1441.35</v>
      </c>
      <c r="N32" s="53">
        <v>0</v>
      </c>
      <c r="O32" s="54"/>
      <c r="P32" s="53"/>
      <c r="Q32" s="53">
        <v>1455.53</v>
      </c>
      <c r="R32" s="53">
        <v>1455.53</v>
      </c>
      <c r="S32" s="53">
        <v>0</v>
      </c>
      <c r="T32" s="54"/>
      <c r="U32" s="53"/>
      <c r="V32" s="53">
        <v>1475.17</v>
      </c>
      <c r="W32" s="53">
        <v>1475.17</v>
      </c>
      <c r="X32" s="53">
        <v>0</v>
      </c>
      <c r="Y32" s="54"/>
    </row>
    <row r="33" spans="1:25" x14ac:dyDescent="0.2">
      <c r="A33" s="50" t="s">
        <v>137</v>
      </c>
      <c r="B33" s="51" t="s">
        <v>109</v>
      </c>
      <c r="C33" s="51"/>
      <c r="D33" s="52">
        <v>37842</v>
      </c>
      <c r="E33" s="51" t="s">
        <v>111</v>
      </c>
      <c r="F33" s="53"/>
      <c r="G33" s="53">
        <v>741.95</v>
      </c>
      <c r="H33" s="53">
        <v>741.95</v>
      </c>
      <c r="I33" s="53">
        <v>0</v>
      </c>
      <c r="J33" s="54"/>
      <c r="K33" s="53"/>
      <c r="L33" s="53">
        <v>790.22</v>
      </c>
      <c r="M33" s="53">
        <v>790.22</v>
      </c>
      <c r="N33" s="53">
        <v>0</v>
      </c>
      <c r="O33" s="54"/>
      <c r="P33" s="53"/>
      <c r="Q33" s="53">
        <v>797.99</v>
      </c>
      <c r="R33" s="53">
        <v>797.99</v>
      </c>
      <c r="S33" s="53">
        <v>0</v>
      </c>
      <c r="T33" s="54"/>
      <c r="U33" s="53"/>
      <c r="V33" s="53">
        <v>808.75</v>
      </c>
      <c r="W33" s="53">
        <v>808.75</v>
      </c>
      <c r="X33" s="53">
        <v>0</v>
      </c>
      <c r="Y33" s="54"/>
    </row>
    <row r="34" spans="1:25" x14ac:dyDescent="0.2">
      <c r="A34" s="50" t="s">
        <v>138</v>
      </c>
      <c r="B34" s="51" t="s">
        <v>65</v>
      </c>
      <c r="C34" s="51" t="s">
        <v>65</v>
      </c>
      <c r="D34" s="52">
        <v>35401</v>
      </c>
      <c r="E34" s="51" t="s">
        <v>113</v>
      </c>
      <c r="F34" s="53">
        <v>756.79</v>
      </c>
      <c r="G34" s="53">
        <v>756.79</v>
      </c>
      <c r="H34" s="53">
        <v>756.79</v>
      </c>
      <c r="I34" s="53">
        <v>0</v>
      </c>
      <c r="J34" s="54">
        <v>0</v>
      </c>
      <c r="K34" s="53">
        <v>806.02</v>
      </c>
      <c r="L34" s="53">
        <v>806.02</v>
      </c>
      <c r="M34" s="53">
        <v>806.02</v>
      </c>
      <c r="N34" s="53">
        <v>0</v>
      </c>
      <c r="O34" s="54">
        <v>0</v>
      </c>
      <c r="P34" s="53">
        <v>813.95</v>
      </c>
      <c r="Q34" s="53">
        <v>813.95</v>
      </c>
      <c r="R34" s="53">
        <v>813.95</v>
      </c>
      <c r="S34" s="53">
        <v>0</v>
      </c>
      <c r="T34" s="54">
        <v>0</v>
      </c>
      <c r="U34" s="53">
        <v>824.93</v>
      </c>
      <c r="V34" s="53">
        <v>824.93</v>
      </c>
      <c r="W34" s="53">
        <v>824.93</v>
      </c>
      <c r="X34" s="53">
        <v>0</v>
      </c>
      <c r="Y34" s="54">
        <v>0</v>
      </c>
    </row>
    <row r="35" spans="1:25" x14ac:dyDescent="0.2">
      <c r="A35" s="50" t="s">
        <v>139</v>
      </c>
      <c r="B35" s="51" t="s">
        <v>65</v>
      </c>
      <c r="C35" s="51" t="s">
        <v>65</v>
      </c>
      <c r="D35" s="52">
        <v>35453</v>
      </c>
      <c r="E35" s="51" t="s">
        <v>113</v>
      </c>
      <c r="F35" s="53">
        <v>756.79</v>
      </c>
      <c r="G35" s="53">
        <v>756.79</v>
      </c>
      <c r="H35" s="53">
        <v>756.79</v>
      </c>
      <c r="I35" s="53">
        <v>0</v>
      </c>
      <c r="J35" s="54">
        <v>0</v>
      </c>
      <c r="K35" s="53">
        <v>806.02</v>
      </c>
      <c r="L35" s="53">
        <v>806.02</v>
      </c>
      <c r="M35" s="53">
        <v>806.02</v>
      </c>
      <c r="N35" s="53">
        <v>0</v>
      </c>
      <c r="O35" s="54">
        <v>0</v>
      </c>
      <c r="P35" s="53">
        <v>813.95</v>
      </c>
      <c r="Q35" s="53">
        <v>813.95</v>
      </c>
      <c r="R35" s="53">
        <v>813.95</v>
      </c>
      <c r="S35" s="53">
        <v>0</v>
      </c>
      <c r="T35" s="54">
        <v>0</v>
      </c>
      <c r="U35" s="53">
        <v>824.93</v>
      </c>
      <c r="V35" s="53">
        <v>824.93</v>
      </c>
      <c r="W35" s="53">
        <v>824.93</v>
      </c>
      <c r="X35" s="53">
        <v>0</v>
      </c>
      <c r="Y35" s="54">
        <v>0</v>
      </c>
    </row>
    <row r="36" spans="1:25" x14ac:dyDescent="0.2">
      <c r="A36" s="50" t="s">
        <v>140</v>
      </c>
      <c r="B36" s="51" t="s">
        <v>65</v>
      </c>
      <c r="C36" s="51" t="s">
        <v>65</v>
      </c>
      <c r="D36" s="52">
        <v>34864</v>
      </c>
      <c r="E36" s="51" t="s">
        <v>118</v>
      </c>
      <c r="F36" s="53">
        <v>763.92</v>
      </c>
      <c r="G36" s="53">
        <v>763.92</v>
      </c>
      <c r="H36" s="53">
        <v>763.92</v>
      </c>
      <c r="I36" s="53">
        <v>0</v>
      </c>
      <c r="J36" s="54">
        <v>0</v>
      </c>
      <c r="K36" s="53">
        <v>813.61</v>
      </c>
      <c r="L36" s="53">
        <v>813.61</v>
      </c>
      <c r="M36" s="53">
        <v>813.61</v>
      </c>
      <c r="N36" s="53">
        <v>0</v>
      </c>
      <c r="O36" s="54">
        <v>0</v>
      </c>
      <c r="P36" s="53">
        <v>821.61</v>
      </c>
      <c r="Q36" s="53">
        <v>821.61</v>
      </c>
      <c r="R36" s="53">
        <v>821.61</v>
      </c>
      <c r="S36" s="53">
        <v>0</v>
      </c>
      <c r="T36" s="54">
        <v>0</v>
      </c>
      <c r="U36" s="53">
        <v>832.69</v>
      </c>
      <c r="V36" s="53">
        <v>832.69</v>
      </c>
      <c r="W36" s="53">
        <v>832.69</v>
      </c>
      <c r="X36" s="53">
        <v>0</v>
      </c>
      <c r="Y36" s="54">
        <v>0</v>
      </c>
    </row>
    <row r="37" spans="1:25" x14ac:dyDescent="0.2">
      <c r="A37" s="50" t="s">
        <v>141</v>
      </c>
      <c r="B37" s="51" t="s">
        <v>65</v>
      </c>
      <c r="C37" s="51" t="s">
        <v>104</v>
      </c>
      <c r="D37" s="52">
        <v>26666</v>
      </c>
      <c r="E37" s="51" t="s">
        <v>118</v>
      </c>
      <c r="F37" s="53">
        <v>3392.22</v>
      </c>
      <c r="G37" s="53">
        <v>1128.96</v>
      </c>
      <c r="H37" s="53">
        <v>1128.96</v>
      </c>
      <c r="I37" s="53">
        <v>0</v>
      </c>
      <c r="J37" s="54">
        <v>0</v>
      </c>
      <c r="K37" s="53">
        <v>3612.87</v>
      </c>
      <c r="L37" s="53">
        <v>1202.3900000000001</v>
      </c>
      <c r="M37" s="53">
        <v>1202.3900000000001</v>
      </c>
      <c r="N37" s="53">
        <v>0</v>
      </c>
      <c r="O37" s="54">
        <v>0</v>
      </c>
      <c r="P37" s="53">
        <v>3648.41</v>
      </c>
      <c r="Q37" s="53">
        <v>1214.22</v>
      </c>
      <c r="R37" s="53">
        <v>1214.22</v>
      </c>
      <c r="S37" s="53">
        <v>0</v>
      </c>
      <c r="T37" s="54">
        <v>0</v>
      </c>
      <c r="U37" s="53">
        <v>3697.62</v>
      </c>
      <c r="V37" s="53">
        <v>1230.5999999999999</v>
      </c>
      <c r="W37" s="53">
        <v>1230.5999999999999</v>
      </c>
      <c r="X37" s="53">
        <v>0</v>
      </c>
      <c r="Y37" s="54">
        <v>0</v>
      </c>
    </row>
    <row r="38" spans="1:25" x14ac:dyDescent="0.2">
      <c r="A38" s="50" t="s">
        <v>142</v>
      </c>
      <c r="B38" s="51" t="s">
        <v>107</v>
      </c>
      <c r="C38" s="51"/>
      <c r="D38" s="52">
        <v>28717</v>
      </c>
      <c r="E38" s="51" t="s">
        <v>118</v>
      </c>
      <c r="F38" s="53"/>
      <c r="G38" s="53">
        <v>945.55</v>
      </c>
      <c r="H38" s="53">
        <v>945.55</v>
      </c>
      <c r="I38" s="53">
        <v>0</v>
      </c>
      <c r="J38" s="54"/>
      <c r="K38" s="53"/>
      <c r="L38" s="53">
        <v>1007.05</v>
      </c>
      <c r="M38" s="53">
        <v>1007.05</v>
      </c>
      <c r="N38" s="53">
        <v>0</v>
      </c>
      <c r="O38" s="54"/>
      <c r="P38" s="53"/>
      <c r="Q38" s="53">
        <v>1016.96</v>
      </c>
      <c r="R38" s="53">
        <v>1016.96</v>
      </c>
      <c r="S38" s="53">
        <v>0</v>
      </c>
      <c r="T38" s="54"/>
      <c r="U38" s="53"/>
      <c r="V38" s="53">
        <v>1030.68</v>
      </c>
      <c r="W38" s="53">
        <v>1030.68</v>
      </c>
      <c r="X38" s="53">
        <v>0</v>
      </c>
      <c r="Y38" s="54"/>
    </row>
    <row r="39" spans="1:25" x14ac:dyDescent="0.2">
      <c r="A39" s="50" t="s">
        <v>143</v>
      </c>
      <c r="B39" s="51" t="s">
        <v>109</v>
      </c>
      <c r="C39" s="51"/>
      <c r="D39" s="52">
        <v>37384</v>
      </c>
      <c r="E39" s="51" t="s">
        <v>118</v>
      </c>
      <c r="F39" s="53"/>
      <c r="G39" s="53">
        <v>741.95</v>
      </c>
      <c r="H39" s="53">
        <v>741.95</v>
      </c>
      <c r="I39" s="53">
        <v>0</v>
      </c>
      <c r="J39" s="54"/>
      <c r="K39" s="53"/>
      <c r="L39" s="53">
        <v>790.22</v>
      </c>
      <c r="M39" s="53">
        <v>790.22</v>
      </c>
      <c r="N39" s="53">
        <v>0</v>
      </c>
      <c r="O39" s="54"/>
      <c r="P39" s="53"/>
      <c r="Q39" s="53">
        <v>797.99</v>
      </c>
      <c r="R39" s="53">
        <v>797.99</v>
      </c>
      <c r="S39" s="53">
        <v>0</v>
      </c>
      <c r="T39" s="54"/>
      <c r="U39" s="53"/>
      <c r="V39" s="53">
        <v>808.75</v>
      </c>
      <c r="W39" s="53">
        <v>808.75</v>
      </c>
      <c r="X39" s="53">
        <v>0</v>
      </c>
      <c r="Y39" s="54"/>
    </row>
    <row r="40" spans="1:25" x14ac:dyDescent="0.2">
      <c r="A40" s="50" t="s">
        <v>144</v>
      </c>
      <c r="B40" s="51" t="s">
        <v>109</v>
      </c>
      <c r="C40" s="51"/>
      <c r="D40" s="52">
        <v>38688</v>
      </c>
      <c r="E40" s="51" t="s">
        <v>118</v>
      </c>
      <c r="F40" s="53"/>
      <c r="G40" s="53">
        <v>575.76</v>
      </c>
      <c r="H40" s="53">
        <v>575.76</v>
      </c>
      <c r="I40" s="53">
        <v>0</v>
      </c>
      <c r="J40" s="54"/>
      <c r="K40" s="53"/>
      <c r="L40" s="53">
        <v>613.21</v>
      </c>
      <c r="M40" s="53">
        <v>613.21</v>
      </c>
      <c r="N40" s="53">
        <v>0</v>
      </c>
      <c r="O40" s="54"/>
      <c r="P40" s="53"/>
      <c r="Q40" s="53">
        <v>619.24</v>
      </c>
      <c r="R40" s="53">
        <v>619.24</v>
      </c>
      <c r="S40" s="53">
        <v>0</v>
      </c>
      <c r="T40" s="54"/>
      <c r="U40" s="53"/>
      <c r="V40" s="53">
        <v>627.59</v>
      </c>
      <c r="W40" s="53">
        <v>627.59</v>
      </c>
      <c r="X40" s="53">
        <v>0</v>
      </c>
      <c r="Y40" s="54"/>
    </row>
    <row r="41" spans="1:25" x14ac:dyDescent="0.2">
      <c r="A41" s="50" t="s">
        <v>145</v>
      </c>
      <c r="B41" s="51" t="s">
        <v>65</v>
      </c>
      <c r="C41" s="51" t="s">
        <v>65</v>
      </c>
      <c r="D41" s="52">
        <v>36146</v>
      </c>
      <c r="E41" s="51" t="s">
        <v>111</v>
      </c>
      <c r="F41" s="53">
        <v>741.95</v>
      </c>
      <c r="G41" s="53">
        <v>741.95</v>
      </c>
      <c r="H41" s="53">
        <v>741.95</v>
      </c>
      <c r="I41" s="53">
        <v>0</v>
      </c>
      <c r="J41" s="54">
        <v>0</v>
      </c>
      <c r="K41" s="53">
        <v>790.22</v>
      </c>
      <c r="L41" s="53">
        <v>790.22</v>
      </c>
      <c r="M41" s="53">
        <v>790.22</v>
      </c>
      <c r="N41" s="53">
        <v>0</v>
      </c>
      <c r="O41" s="54">
        <v>0</v>
      </c>
      <c r="P41" s="53">
        <v>797.99</v>
      </c>
      <c r="Q41" s="53">
        <v>797.99</v>
      </c>
      <c r="R41" s="53">
        <v>797.99</v>
      </c>
      <c r="S41" s="53">
        <v>0</v>
      </c>
      <c r="T41" s="54">
        <v>0</v>
      </c>
      <c r="U41" s="53">
        <v>808.75</v>
      </c>
      <c r="V41" s="53">
        <v>808.75</v>
      </c>
      <c r="W41" s="53">
        <v>808.75</v>
      </c>
      <c r="X41" s="53">
        <v>0</v>
      </c>
      <c r="Y41" s="54">
        <v>0</v>
      </c>
    </row>
    <row r="42" spans="1:25" x14ac:dyDescent="0.2">
      <c r="A42" s="50" t="s">
        <v>146</v>
      </c>
      <c r="B42" s="51" t="s">
        <v>65</v>
      </c>
      <c r="C42" s="51" t="s">
        <v>65</v>
      </c>
      <c r="D42" s="52">
        <v>35249</v>
      </c>
      <c r="E42" s="51" t="s">
        <v>147</v>
      </c>
      <c r="F42" s="53">
        <v>756.79</v>
      </c>
      <c r="G42" s="53">
        <v>756.79</v>
      </c>
      <c r="H42" s="53">
        <v>756.79</v>
      </c>
      <c r="I42" s="53">
        <v>0</v>
      </c>
      <c r="J42" s="54">
        <v>0</v>
      </c>
      <c r="K42" s="53">
        <v>806.02</v>
      </c>
      <c r="L42" s="53">
        <v>806.02</v>
      </c>
      <c r="M42" s="53">
        <v>806.02</v>
      </c>
      <c r="N42" s="53">
        <v>0</v>
      </c>
      <c r="O42" s="54">
        <v>0</v>
      </c>
      <c r="P42" s="53">
        <v>813.95</v>
      </c>
      <c r="Q42" s="53">
        <v>813.95</v>
      </c>
      <c r="R42" s="53">
        <v>813.95</v>
      </c>
      <c r="S42" s="53">
        <v>0</v>
      </c>
      <c r="T42" s="54">
        <v>0</v>
      </c>
      <c r="U42" s="53">
        <v>824.93</v>
      </c>
      <c r="V42" s="53">
        <v>824.93</v>
      </c>
      <c r="W42" s="53">
        <v>824.93</v>
      </c>
      <c r="X42" s="53">
        <v>0</v>
      </c>
      <c r="Y42" s="54">
        <v>0</v>
      </c>
    </row>
    <row r="43" spans="1:25" ht="16.149999999999999" customHeight="1" x14ac:dyDescent="0.2">
      <c r="A43" s="226" t="s">
        <v>81</v>
      </c>
      <c r="B43" s="227"/>
      <c r="C43" s="227"/>
      <c r="D43" s="227"/>
      <c r="E43" s="227"/>
      <c r="F43" s="211" t="s">
        <v>170</v>
      </c>
      <c r="G43" s="212"/>
      <c r="H43" s="212"/>
      <c r="I43" s="212"/>
      <c r="J43" s="213"/>
      <c r="K43" s="211" t="s">
        <v>173</v>
      </c>
      <c r="L43" s="212"/>
      <c r="M43" s="212"/>
      <c r="N43" s="212"/>
      <c r="O43" s="213"/>
      <c r="P43" s="211" t="s">
        <v>175</v>
      </c>
      <c r="Q43" s="212"/>
      <c r="R43" s="212"/>
      <c r="S43" s="212"/>
      <c r="T43" s="213"/>
      <c r="U43" s="211" t="s">
        <v>177</v>
      </c>
      <c r="V43" s="212"/>
      <c r="W43" s="212"/>
      <c r="X43" s="212"/>
      <c r="Y43" s="213"/>
    </row>
    <row r="44" spans="1:25" ht="13.9" customHeight="1" x14ac:dyDescent="0.2">
      <c r="A44" s="228" t="s">
        <v>82</v>
      </c>
      <c r="B44" s="229"/>
      <c r="C44" s="229"/>
      <c r="D44" s="229"/>
      <c r="E44" s="229"/>
      <c r="F44" s="214">
        <v>8517.02</v>
      </c>
      <c r="G44" s="215"/>
      <c r="H44" s="215"/>
      <c r="I44" s="215"/>
      <c r="J44" s="216"/>
      <c r="K44" s="214">
        <v>9071.0300000000007</v>
      </c>
      <c r="L44" s="215"/>
      <c r="M44" s="215"/>
      <c r="N44" s="215"/>
      <c r="O44" s="216"/>
      <c r="P44" s="214">
        <v>9160.27</v>
      </c>
      <c r="Q44" s="215"/>
      <c r="R44" s="215"/>
      <c r="S44" s="215"/>
      <c r="T44" s="216"/>
      <c r="U44" s="214">
        <v>9283.85</v>
      </c>
      <c r="V44" s="215"/>
      <c r="W44" s="215"/>
      <c r="X44" s="215"/>
      <c r="Y44" s="216"/>
    </row>
    <row r="45" spans="1:25" ht="13.9" customHeight="1" x14ac:dyDescent="0.2">
      <c r="A45" s="230" t="s">
        <v>83</v>
      </c>
      <c r="B45" s="231"/>
      <c r="C45" s="231"/>
      <c r="D45" s="231"/>
      <c r="E45" s="231"/>
      <c r="F45" s="208">
        <f>F44*12</f>
        <v>102204.24</v>
      </c>
      <c r="G45" s="209"/>
      <c r="H45" s="209"/>
      <c r="I45" s="209"/>
      <c r="J45" s="210"/>
      <c r="K45" s="208">
        <f>K44*12</f>
        <v>108852.36000000002</v>
      </c>
      <c r="L45" s="209"/>
      <c r="M45" s="209"/>
      <c r="N45" s="209"/>
      <c r="O45" s="210"/>
      <c r="P45" s="208">
        <f>P44*12</f>
        <v>109923.24</v>
      </c>
      <c r="Q45" s="209"/>
      <c r="R45" s="209"/>
      <c r="S45" s="209"/>
      <c r="T45" s="210"/>
      <c r="U45" s="208">
        <f>U44*12</f>
        <v>111406.20000000001</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D00-000000000000}"/>
    <hyperlink ref="F46" r:id="rId2" xr:uid="{00000000-0004-0000-4D00-000001000000}"/>
    <hyperlink ref="K7" r:id="rId3" xr:uid="{00000000-0004-0000-4D00-000002000000}"/>
    <hyperlink ref="K46" r:id="rId4" xr:uid="{00000000-0004-0000-4D00-000003000000}"/>
    <hyperlink ref="P7" r:id="rId5" xr:uid="{00000000-0004-0000-4D00-000004000000}"/>
    <hyperlink ref="P46" r:id="rId6" xr:uid="{00000000-0004-0000-4D00-000005000000}"/>
    <hyperlink ref="U7" r:id="rId7" xr:uid="{00000000-0004-0000-4D00-000006000000}"/>
    <hyperlink ref="U46" r:id="rId8" xr:uid="{00000000-0004-0000-4D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35C1-1843-4711-8C5C-0EEB7B475011}">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167</v>
      </c>
      <c r="Q5" s="118"/>
      <c r="R5" s="118"/>
      <c r="S5" s="118"/>
      <c r="T5" s="120"/>
      <c r="U5" s="117" t="s">
        <v>167</v>
      </c>
      <c r="V5" s="118"/>
      <c r="W5" s="118"/>
      <c r="X5" s="118"/>
      <c r="Y5" s="120"/>
    </row>
    <row r="6" spans="1:25" ht="28.5" x14ac:dyDescent="0.2">
      <c r="A6" s="247"/>
      <c r="B6" s="248"/>
      <c r="C6" s="248"/>
      <c r="D6" s="248"/>
      <c r="E6" s="248"/>
      <c r="F6" s="121" t="s">
        <v>178</v>
      </c>
      <c r="G6" s="122"/>
      <c r="H6" s="122"/>
      <c r="I6" s="122"/>
      <c r="J6" s="124"/>
      <c r="K6" s="121" t="s">
        <v>180</v>
      </c>
      <c r="L6" s="122"/>
      <c r="M6" s="122"/>
      <c r="N6" s="122"/>
      <c r="O6" s="124"/>
      <c r="P6" s="121" t="s">
        <v>182</v>
      </c>
      <c r="Q6" s="122"/>
      <c r="R6" s="122"/>
      <c r="S6" s="122"/>
      <c r="T6" s="124"/>
      <c r="U6" s="121" t="s">
        <v>184</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179</v>
      </c>
      <c r="G8" s="233"/>
      <c r="H8" s="233"/>
      <c r="I8" s="233"/>
      <c r="J8" s="234"/>
      <c r="K8" s="232" t="s">
        <v>181</v>
      </c>
      <c r="L8" s="233"/>
      <c r="M8" s="233"/>
      <c r="N8" s="233"/>
      <c r="O8" s="234"/>
      <c r="P8" s="232" t="s">
        <v>183</v>
      </c>
      <c r="Q8" s="233"/>
      <c r="R8" s="233"/>
      <c r="S8" s="233"/>
      <c r="T8" s="234"/>
      <c r="U8" s="232" t="s">
        <v>185</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3259.71</v>
      </c>
      <c r="G10" s="53">
        <v>1489.11</v>
      </c>
      <c r="H10" s="53">
        <v>1489.11</v>
      </c>
      <c r="I10" s="53">
        <v>0</v>
      </c>
      <c r="J10" s="54">
        <v>0</v>
      </c>
      <c r="K10" s="53">
        <v>3395.47</v>
      </c>
      <c r="L10" s="53">
        <v>1551.13</v>
      </c>
      <c r="M10" s="53">
        <v>1551.13</v>
      </c>
      <c r="N10" s="53">
        <v>0</v>
      </c>
      <c r="O10" s="54">
        <v>0</v>
      </c>
      <c r="P10" s="53">
        <v>3487.17</v>
      </c>
      <c r="Q10" s="53">
        <v>1593.02</v>
      </c>
      <c r="R10" s="53">
        <v>1593.02</v>
      </c>
      <c r="S10" s="53">
        <v>0</v>
      </c>
      <c r="T10" s="54">
        <v>0</v>
      </c>
      <c r="U10" s="53">
        <v>3488.29</v>
      </c>
      <c r="V10" s="53">
        <v>1593.53</v>
      </c>
      <c r="W10" s="53">
        <v>1593.53</v>
      </c>
      <c r="X10" s="53">
        <v>0</v>
      </c>
      <c r="Y10" s="54">
        <v>0</v>
      </c>
    </row>
    <row r="11" spans="1:25" x14ac:dyDescent="0.2">
      <c r="A11" s="50" t="s">
        <v>106</v>
      </c>
      <c r="B11" s="51" t="s">
        <v>107</v>
      </c>
      <c r="C11" s="51"/>
      <c r="D11" s="52">
        <v>27837</v>
      </c>
      <c r="E11" s="51" t="s">
        <v>105</v>
      </c>
      <c r="F11" s="53"/>
      <c r="G11" s="53">
        <v>1137.08</v>
      </c>
      <c r="H11" s="53">
        <v>1137.08</v>
      </c>
      <c r="I11" s="53">
        <v>0</v>
      </c>
      <c r="J11" s="54"/>
      <c r="K11" s="53"/>
      <c r="L11" s="53">
        <v>1184.43</v>
      </c>
      <c r="M11" s="53">
        <v>1184.43</v>
      </c>
      <c r="N11" s="53">
        <v>0</v>
      </c>
      <c r="O11" s="54"/>
      <c r="P11" s="53"/>
      <c r="Q11" s="53">
        <v>1216.42</v>
      </c>
      <c r="R11" s="53">
        <v>1216.42</v>
      </c>
      <c r="S11" s="53">
        <v>0</v>
      </c>
      <c r="T11" s="54"/>
      <c r="U11" s="53"/>
      <c r="V11" s="53">
        <v>1216.81</v>
      </c>
      <c r="W11" s="53">
        <v>1216.81</v>
      </c>
      <c r="X11" s="53">
        <v>0</v>
      </c>
      <c r="Y11" s="54"/>
    </row>
    <row r="12" spans="1:25" x14ac:dyDescent="0.2">
      <c r="A12" s="50" t="s">
        <v>108</v>
      </c>
      <c r="B12" s="51" t="s">
        <v>109</v>
      </c>
      <c r="C12" s="51"/>
      <c r="D12" s="52">
        <v>38648</v>
      </c>
      <c r="E12" s="51" t="s">
        <v>105</v>
      </c>
      <c r="F12" s="53"/>
      <c r="G12" s="53">
        <v>633.52</v>
      </c>
      <c r="H12" s="53">
        <v>633.52</v>
      </c>
      <c r="I12" s="53">
        <v>0</v>
      </c>
      <c r="J12" s="54"/>
      <c r="K12" s="53"/>
      <c r="L12" s="53">
        <v>659.91</v>
      </c>
      <c r="M12" s="53">
        <v>659.91</v>
      </c>
      <c r="N12" s="53">
        <v>0</v>
      </c>
      <c r="O12" s="54"/>
      <c r="P12" s="53"/>
      <c r="Q12" s="53">
        <v>677.73</v>
      </c>
      <c r="R12" s="53">
        <v>677.73</v>
      </c>
      <c r="S12" s="53">
        <v>0</v>
      </c>
      <c r="T12" s="54"/>
      <c r="U12" s="53"/>
      <c r="V12" s="53">
        <v>677.95</v>
      </c>
      <c r="W12" s="53">
        <v>677.95</v>
      </c>
      <c r="X12" s="53">
        <v>0</v>
      </c>
      <c r="Y12" s="54"/>
    </row>
    <row r="13" spans="1:25" x14ac:dyDescent="0.2">
      <c r="A13" s="50" t="s">
        <v>110</v>
      </c>
      <c r="B13" s="51" t="s">
        <v>65</v>
      </c>
      <c r="C13" s="51" t="s">
        <v>65</v>
      </c>
      <c r="D13" s="52">
        <v>36345</v>
      </c>
      <c r="E13" s="51" t="s">
        <v>111</v>
      </c>
      <c r="F13" s="53">
        <v>816.4</v>
      </c>
      <c r="G13" s="53">
        <v>816.4</v>
      </c>
      <c r="H13" s="53">
        <v>816.4</v>
      </c>
      <c r="I13" s="53">
        <v>0</v>
      </c>
      <c r="J13" s="54">
        <v>0</v>
      </c>
      <c r="K13" s="53">
        <v>850.4</v>
      </c>
      <c r="L13" s="53">
        <v>850.4</v>
      </c>
      <c r="M13" s="53">
        <v>850.4</v>
      </c>
      <c r="N13" s="53">
        <v>0</v>
      </c>
      <c r="O13" s="54">
        <v>0</v>
      </c>
      <c r="P13" s="53">
        <v>873.37</v>
      </c>
      <c r="Q13" s="53">
        <v>873.37</v>
      </c>
      <c r="R13" s="53">
        <v>873.37</v>
      </c>
      <c r="S13" s="53">
        <v>0</v>
      </c>
      <c r="T13" s="54">
        <v>0</v>
      </c>
      <c r="U13" s="53">
        <v>873.65</v>
      </c>
      <c r="V13" s="53">
        <v>873.65</v>
      </c>
      <c r="W13" s="53">
        <v>873.65</v>
      </c>
      <c r="X13" s="53">
        <v>0</v>
      </c>
      <c r="Y13" s="54">
        <v>0</v>
      </c>
    </row>
    <row r="14" spans="1:25" x14ac:dyDescent="0.2">
      <c r="A14" s="50" t="s">
        <v>112</v>
      </c>
      <c r="B14" s="51" t="s">
        <v>65</v>
      </c>
      <c r="C14" s="51" t="s">
        <v>104</v>
      </c>
      <c r="D14" s="52">
        <v>24895</v>
      </c>
      <c r="E14" s="51" t="s">
        <v>113</v>
      </c>
      <c r="F14" s="53">
        <v>3563.41</v>
      </c>
      <c r="G14" s="53">
        <v>1440.78</v>
      </c>
      <c r="H14" s="53">
        <v>1440.78</v>
      </c>
      <c r="I14" s="53">
        <v>0</v>
      </c>
      <c r="J14" s="54">
        <v>0</v>
      </c>
      <c r="K14" s="53">
        <v>3711.82</v>
      </c>
      <c r="L14" s="53">
        <v>1500.78</v>
      </c>
      <c r="M14" s="53">
        <v>1500.78</v>
      </c>
      <c r="N14" s="53">
        <v>0</v>
      </c>
      <c r="O14" s="54">
        <v>0</v>
      </c>
      <c r="P14" s="53">
        <v>3812.07</v>
      </c>
      <c r="Q14" s="53">
        <v>1541.32</v>
      </c>
      <c r="R14" s="53">
        <v>1541.32</v>
      </c>
      <c r="S14" s="53">
        <v>0</v>
      </c>
      <c r="T14" s="54">
        <v>0</v>
      </c>
      <c r="U14" s="53">
        <v>3813.29</v>
      </c>
      <c r="V14" s="53">
        <v>1541.81</v>
      </c>
      <c r="W14" s="53">
        <v>1541.81</v>
      </c>
      <c r="X14" s="53">
        <v>0</v>
      </c>
      <c r="Y14" s="54">
        <v>0</v>
      </c>
    </row>
    <row r="15" spans="1:25" x14ac:dyDescent="0.2">
      <c r="A15" s="50" t="s">
        <v>114</v>
      </c>
      <c r="B15" s="51" t="s">
        <v>107</v>
      </c>
      <c r="C15" s="51"/>
      <c r="D15" s="52">
        <v>24269</v>
      </c>
      <c r="E15" s="51" t="s">
        <v>113</v>
      </c>
      <c r="F15" s="53"/>
      <c r="G15" s="53">
        <v>1489.11</v>
      </c>
      <c r="H15" s="53">
        <v>1489.11</v>
      </c>
      <c r="I15" s="53">
        <v>0</v>
      </c>
      <c r="J15" s="54"/>
      <c r="K15" s="53"/>
      <c r="L15" s="53">
        <v>1551.13</v>
      </c>
      <c r="M15" s="53">
        <v>1551.13</v>
      </c>
      <c r="N15" s="53">
        <v>0</v>
      </c>
      <c r="O15" s="54"/>
      <c r="P15" s="53"/>
      <c r="Q15" s="53">
        <v>1593.02</v>
      </c>
      <c r="R15" s="53">
        <v>1593.02</v>
      </c>
      <c r="S15" s="53">
        <v>0</v>
      </c>
      <c r="T15" s="54"/>
      <c r="U15" s="53"/>
      <c r="V15" s="53">
        <v>1593.53</v>
      </c>
      <c r="W15" s="53">
        <v>1593.53</v>
      </c>
      <c r="X15" s="53">
        <v>0</v>
      </c>
      <c r="Y15" s="54"/>
    </row>
    <row r="16" spans="1:25" x14ac:dyDescent="0.2">
      <c r="A16" s="50" t="s">
        <v>115</v>
      </c>
      <c r="B16" s="51" t="s">
        <v>109</v>
      </c>
      <c r="C16" s="51"/>
      <c r="D16" s="52">
        <v>38614</v>
      </c>
      <c r="E16" s="51" t="s">
        <v>113</v>
      </c>
      <c r="F16" s="53"/>
      <c r="G16" s="53">
        <v>633.52</v>
      </c>
      <c r="H16" s="53">
        <v>633.52</v>
      </c>
      <c r="I16" s="53">
        <v>0</v>
      </c>
      <c r="J16" s="54"/>
      <c r="K16" s="53"/>
      <c r="L16" s="53">
        <v>659.91</v>
      </c>
      <c r="M16" s="53">
        <v>659.91</v>
      </c>
      <c r="N16" s="53">
        <v>0</v>
      </c>
      <c r="O16" s="54"/>
      <c r="P16" s="53"/>
      <c r="Q16" s="53">
        <v>677.73</v>
      </c>
      <c r="R16" s="53">
        <v>677.73</v>
      </c>
      <c r="S16" s="53">
        <v>0</v>
      </c>
      <c r="T16" s="54"/>
      <c r="U16" s="53"/>
      <c r="V16" s="53">
        <v>677.95</v>
      </c>
      <c r="W16" s="53">
        <v>677.95</v>
      </c>
      <c r="X16" s="53">
        <v>0</v>
      </c>
      <c r="Y16" s="54"/>
    </row>
    <row r="17" spans="1:25" x14ac:dyDescent="0.2">
      <c r="A17" s="50" t="s">
        <v>116</v>
      </c>
      <c r="B17" s="51" t="s">
        <v>65</v>
      </c>
      <c r="C17" s="51" t="s">
        <v>117</v>
      </c>
      <c r="D17" s="52">
        <v>18453</v>
      </c>
      <c r="E17" s="51" t="s">
        <v>118</v>
      </c>
      <c r="F17" s="53">
        <v>2978.22</v>
      </c>
      <c r="G17" s="53">
        <v>1489.11</v>
      </c>
      <c r="H17" s="53">
        <v>1489.11</v>
      </c>
      <c r="I17" s="53">
        <v>0</v>
      </c>
      <c r="J17" s="54">
        <v>0</v>
      </c>
      <c r="K17" s="53">
        <v>3102.26</v>
      </c>
      <c r="L17" s="53">
        <v>1551.13</v>
      </c>
      <c r="M17" s="53">
        <v>1551.13</v>
      </c>
      <c r="N17" s="53">
        <v>0</v>
      </c>
      <c r="O17" s="54">
        <v>0</v>
      </c>
      <c r="P17" s="53">
        <v>3186.04</v>
      </c>
      <c r="Q17" s="53">
        <v>1593.02</v>
      </c>
      <c r="R17" s="53">
        <v>1593.02</v>
      </c>
      <c r="S17" s="53">
        <v>0</v>
      </c>
      <c r="T17" s="54">
        <v>0</v>
      </c>
      <c r="U17" s="53">
        <v>3187.06</v>
      </c>
      <c r="V17" s="53">
        <v>1593.53</v>
      </c>
      <c r="W17" s="53">
        <v>1593.53</v>
      </c>
      <c r="X17" s="53">
        <v>0</v>
      </c>
      <c r="Y17" s="54">
        <v>0</v>
      </c>
    </row>
    <row r="18" spans="1:25" x14ac:dyDescent="0.2">
      <c r="A18" s="50" t="s">
        <v>119</v>
      </c>
      <c r="B18" s="51" t="s">
        <v>107</v>
      </c>
      <c r="C18" s="51"/>
      <c r="D18" s="52">
        <v>19761</v>
      </c>
      <c r="E18" s="51" t="s">
        <v>118</v>
      </c>
      <c r="F18" s="53"/>
      <c r="G18" s="53">
        <v>1489.11</v>
      </c>
      <c r="H18" s="53">
        <v>1489.11</v>
      </c>
      <c r="I18" s="53">
        <v>0</v>
      </c>
      <c r="J18" s="54"/>
      <c r="K18" s="53"/>
      <c r="L18" s="53">
        <v>1551.13</v>
      </c>
      <c r="M18" s="53">
        <v>1551.13</v>
      </c>
      <c r="N18" s="53">
        <v>0</v>
      </c>
      <c r="O18" s="54"/>
      <c r="P18" s="53"/>
      <c r="Q18" s="53">
        <v>1593.02</v>
      </c>
      <c r="R18" s="53">
        <v>1593.02</v>
      </c>
      <c r="S18" s="53">
        <v>0</v>
      </c>
      <c r="T18" s="54"/>
      <c r="U18" s="53"/>
      <c r="V18" s="53">
        <v>1593.53</v>
      </c>
      <c r="W18" s="53">
        <v>1593.53</v>
      </c>
      <c r="X18" s="53">
        <v>0</v>
      </c>
      <c r="Y18" s="54"/>
    </row>
    <row r="19" spans="1:25" x14ac:dyDescent="0.2">
      <c r="A19" s="50" t="s">
        <v>120</v>
      </c>
      <c r="B19" s="51" t="s">
        <v>65</v>
      </c>
      <c r="C19" s="51" t="s">
        <v>65</v>
      </c>
      <c r="D19" s="52">
        <v>35733</v>
      </c>
      <c r="E19" s="51" t="s">
        <v>121</v>
      </c>
      <c r="F19" s="53">
        <v>816.4</v>
      </c>
      <c r="G19" s="53">
        <v>816.4</v>
      </c>
      <c r="H19" s="53">
        <v>816.4</v>
      </c>
      <c r="I19" s="53">
        <v>0</v>
      </c>
      <c r="J19" s="54">
        <v>0</v>
      </c>
      <c r="K19" s="53">
        <v>850.4</v>
      </c>
      <c r="L19" s="53">
        <v>850.4</v>
      </c>
      <c r="M19" s="53">
        <v>850.4</v>
      </c>
      <c r="N19" s="53">
        <v>0</v>
      </c>
      <c r="O19" s="54">
        <v>0</v>
      </c>
      <c r="P19" s="53">
        <v>873.37</v>
      </c>
      <c r="Q19" s="53">
        <v>873.37</v>
      </c>
      <c r="R19" s="53">
        <v>873.37</v>
      </c>
      <c r="S19" s="53">
        <v>0</v>
      </c>
      <c r="T19" s="54">
        <v>0</v>
      </c>
      <c r="U19" s="53">
        <v>873.65</v>
      </c>
      <c r="V19" s="53">
        <v>873.65</v>
      </c>
      <c r="W19" s="53">
        <v>873.65</v>
      </c>
      <c r="X19" s="53">
        <v>0</v>
      </c>
      <c r="Y19" s="54">
        <v>0</v>
      </c>
    </row>
    <row r="20" spans="1:25" x14ac:dyDescent="0.2">
      <c r="A20" s="50" t="s">
        <v>122</v>
      </c>
      <c r="B20" s="51" t="s">
        <v>65</v>
      </c>
      <c r="C20" s="51" t="s">
        <v>104</v>
      </c>
      <c r="D20" s="52">
        <v>24958</v>
      </c>
      <c r="E20" s="51" t="s">
        <v>123</v>
      </c>
      <c r="F20" s="53">
        <v>4087.86</v>
      </c>
      <c r="G20" s="53">
        <v>1440.78</v>
      </c>
      <c r="H20" s="53">
        <v>1440.78</v>
      </c>
      <c r="I20" s="53">
        <v>0</v>
      </c>
      <c r="J20" s="54">
        <v>0</v>
      </c>
      <c r="K20" s="53">
        <v>4258.1099999999997</v>
      </c>
      <c r="L20" s="53">
        <v>1500.78</v>
      </c>
      <c r="M20" s="53">
        <v>1500.78</v>
      </c>
      <c r="N20" s="53">
        <v>0</v>
      </c>
      <c r="O20" s="54">
        <v>0</v>
      </c>
      <c r="P20" s="53">
        <v>4373.12</v>
      </c>
      <c r="Q20" s="53">
        <v>1541.32</v>
      </c>
      <c r="R20" s="53">
        <v>1541.32</v>
      </c>
      <c r="S20" s="53">
        <v>0</v>
      </c>
      <c r="T20" s="54">
        <v>0</v>
      </c>
      <c r="U20" s="53">
        <v>4374.5200000000004</v>
      </c>
      <c r="V20" s="53">
        <v>1541.81</v>
      </c>
      <c r="W20" s="53">
        <v>1541.81</v>
      </c>
      <c r="X20" s="53">
        <v>0</v>
      </c>
      <c r="Y20" s="54">
        <v>0</v>
      </c>
    </row>
    <row r="21" spans="1:25" x14ac:dyDescent="0.2">
      <c r="A21" s="50" t="s">
        <v>124</v>
      </c>
      <c r="B21" s="51" t="s">
        <v>107</v>
      </c>
      <c r="C21" s="51"/>
      <c r="D21" s="52">
        <v>25342</v>
      </c>
      <c r="E21" s="51" t="s">
        <v>123</v>
      </c>
      <c r="F21" s="53"/>
      <c r="G21" s="53">
        <v>1398.98</v>
      </c>
      <c r="H21" s="53">
        <v>1398.98</v>
      </c>
      <c r="I21" s="53">
        <v>0</v>
      </c>
      <c r="J21" s="54"/>
      <c r="K21" s="53"/>
      <c r="L21" s="53">
        <v>1457.24</v>
      </c>
      <c r="M21" s="53">
        <v>1457.24</v>
      </c>
      <c r="N21" s="53">
        <v>0</v>
      </c>
      <c r="O21" s="54"/>
      <c r="P21" s="53"/>
      <c r="Q21" s="53">
        <v>1496.6</v>
      </c>
      <c r="R21" s="53">
        <v>1496.6</v>
      </c>
      <c r="S21" s="53">
        <v>0</v>
      </c>
      <c r="T21" s="54"/>
      <c r="U21" s="53"/>
      <c r="V21" s="53">
        <v>1497.08</v>
      </c>
      <c r="W21" s="53">
        <v>1497.08</v>
      </c>
      <c r="X21" s="53">
        <v>0</v>
      </c>
      <c r="Y21" s="54"/>
    </row>
    <row r="22" spans="1:25" x14ac:dyDescent="0.2">
      <c r="A22" s="50" t="s">
        <v>125</v>
      </c>
      <c r="B22" s="51" t="s">
        <v>109</v>
      </c>
      <c r="C22" s="51"/>
      <c r="D22" s="52">
        <v>38632</v>
      </c>
      <c r="E22" s="51" t="s">
        <v>123</v>
      </c>
      <c r="F22" s="53"/>
      <c r="G22" s="53">
        <v>633.52</v>
      </c>
      <c r="H22" s="53">
        <v>633.52</v>
      </c>
      <c r="I22" s="53">
        <v>0</v>
      </c>
      <c r="J22" s="54"/>
      <c r="K22" s="53"/>
      <c r="L22" s="53">
        <v>659.91</v>
      </c>
      <c r="M22" s="53">
        <v>659.91</v>
      </c>
      <c r="N22" s="53">
        <v>0</v>
      </c>
      <c r="O22" s="54"/>
      <c r="P22" s="53"/>
      <c r="Q22" s="53">
        <v>677.73</v>
      </c>
      <c r="R22" s="53">
        <v>677.73</v>
      </c>
      <c r="S22" s="53">
        <v>0</v>
      </c>
      <c r="T22" s="54"/>
      <c r="U22" s="53"/>
      <c r="V22" s="53">
        <v>677.95</v>
      </c>
      <c r="W22" s="53">
        <v>677.95</v>
      </c>
      <c r="X22" s="53">
        <v>0</v>
      </c>
      <c r="Y22" s="54"/>
    </row>
    <row r="23" spans="1:25" x14ac:dyDescent="0.2">
      <c r="A23" s="50" t="s">
        <v>126</v>
      </c>
      <c r="B23" s="51" t="s">
        <v>109</v>
      </c>
      <c r="C23" s="51"/>
      <c r="D23" s="52">
        <v>39092</v>
      </c>
      <c r="E23" s="51" t="s">
        <v>123</v>
      </c>
      <c r="F23" s="53"/>
      <c r="G23" s="53">
        <v>614.58000000000004</v>
      </c>
      <c r="H23" s="53">
        <v>614.58000000000004</v>
      </c>
      <c r="I23" s="53">
        <v>0</v>
      </c>
      <c r="J23" s="54"/>
      <c r="K23" s="53"/>
      <c r="L23" s="53">
        <v>640.17999999999995</v>
      </c>
      <c r="M23" s="53">
        <v>640.17999999999995</v>
      </c>
      <c r="N23" s="53">
        <v>0</v>
      </c>
      <c r="O23" s="54"/>
      <c r="P23" s="53"/>
      <c r="Q23" s="53">
        <v>657.47</v>
      </c>
      <c r="R23" s="53">
        <v>657.47</v>
      </c>
      <c r="S23" s="53">
        <v>0</v>
      </c>
      <c r="T23" s="54"/>
      <c r="U23" s="53"/>
      <c r="V23" s="53">
        <v>657.68</v>
      </c>
      <c r="W23" s="53">
        <v>657.68</v>
      </c>
      <c r="X23" s="53">
        <v>0</v>
      </c>
      <c r="Y23" s="54"/>
    </row>
    <row r="24" spans="1:25" x14ac:dyDescent="0.2">
      <c r="A24" s="50" t="s">
        <v>127</v>
      </c>
      <c r="B24" s="51" t="s">
        <v>65</v>
      </c>
      <c r="C24" s="51" t="s">
        <v>117</v>
      </c>
      <c r="D24" s="52">
        <v>21309</v>
      </c>
      <c r="E24" s="51" t="s">
        <v>96</v>
      </c>
      <c r="F24" s="53">
        <v>2978.22</v>
      </c>
      <c r="G24" s="53">
        <v>1489.11</v>
      </c>
      <c r="H24" s="53">
        <v>1489.11</v>
      </c>
      <c r="I24" s="53">
        <v>0</v>
      </c>
      <c r="J24" s="54">
        <v>0</v>
      </c>
      <c r="K24" s="53">
        <v>3102.26</v>
      </c>
      <c r="L24" s="53">
        <v>1551.13</v>
      </c>
      <c r="M24" s="53">
        <v>1551.13</v>
      </c>
      <c r="N24" s="53">
        <v>0</v>
      </c>
      <c r="O24" s="54">
        <v>0</v>
      </c>
      <c r="P24" s="53">
        <v>3186.04</v>
      </c>
      <c r="Q24" s="53">
        <v>1593.02</v>
      </c>
      <c r="R24" s="53">
        <v>1593.02</v>
      </c>
      <c r="S24" s="53">
        <v>0</v>
      </c>
      <c r="T24" s="54">
        <v>0</v>
      </c>
      <c r="U24" s="53">
        <v>3187.06</v>
      </c>
      <c r="V24" s="53">
        <v>1593.53</v>
      </c>
      <c r="W24" s="53">
        <v>1593.53</v>
      </c>
      <c r="X24" s="53">
        <v>0</v>
      </c>
      <c r="Y24" s="54">
        <v>0</v>
      </c>
    </row>
    <row r="25" spans="1:25" x14ac:dyDescent="0.2">
      <c r="A25" s="50" t="s">
        <v>128</v>
      </c>
      <c r="B25" s="51" t="s">
        <v>107</v>
      </c>
      <c r="C25" s="51"/>
      <c r="D25" s="52">
        <v>23570</v>
      </c>
      <c r="E25" s="51" t="s">
        <v>96</v>
      </c>
      <c r="F25" s="53"/>
      <c r="G25" s="53">
        <v>1489.11</v>
      </c>
      <c r="H25" s="53">
        <v>1489.11</v>
      </c>
      <c r="I25" s="53">
        <v>0</v>
      </c>
      <c r="J25" s="54"/>
      <c r="K25" s="53"/>
      <c r="L25" s="53">
        <v>1551.13</v>
      </c>
      <c r="M25" s="53">
        <v>1551.13</v>
      </c>
      <c r="N25" s="53">
        <v>0</v>
      </c>
      <c r="O25" s="54"/>
      <c r="P25" s="53"/>
      <c r="Q25" s="53">
        <v>1593.02</v>
      </c>
      <c r="R25" s="53">
        <v>1593.02</v>
      </c>
      <c r="S25" s="53">
        <v>0</v>
      </c>
      <c r="T25" s="54"/>
      <c r="U25" s="53"/>
      <c r="V25" s="53">
        <v>1593.53</v>
      </c>
      <c r="W25" s="53">
        <v>1593.53</v>
      </c>
      <c r="X25" s="53">
        <v>0</v>
      </c>
      <c r="Y25" s="54"/>
    </row>
    <row r="26" spans="1:25" x14ac:dyDescent="0.2">
      <c r="A26" s="50" t="s">
        <v>129</v>
      </c>
      <c r="B26" s="51" t="s">
        <v>65</v>
      </c>
      <c r="C26" s="51" t="s">
        <v>65</v>
      </c>
      <c r="D26" s="52">
        <v>24147</v>
      </c>
      <c r="E26" s="51" t="s">
        <v>113</v>
      </c>
      <c r="F26" s="53">
        <v>1489.11</v>
      </c>
      <c r="G26" s="53">
        <v>1489.11</v>
      </c>
      <c r="H26" s="53">
        <v>1489.11</v>
      </c>
      <c r="I26" s="53">
        <v>0</v>
      </c>
      <c r="J26" s="54">
        <v>0</v>
      </c>
      <c r="K26" s="53">
        <v>1551.13</v>
      </c>
      <c r="L26" s="53">
        <v>1551.13</v>
      </c>
      <c r="M26" s="53">
        <v>1551.13</v>
      </c>
      <c r="N26" s="53">
        <v>0</v>
      </c>
      <c r="O26" s="54">
        <v>0</v>
      </c>
      <c r="P26" s="53">
        <v>1593.02</v>
      </c>
      <c r="Q26" s="53">
        <v>1593.02</v>
      </c>
      <c r="R26" s="53">
        <v>1593.02</v>
      </c>
      <c r="S26" s="53">
        <v>0</v>
      </c>
      <c r="T26" s="54">
        <v>0</v>
      </c>
      <c r="U26" s="53">
        <v>1593.53</v>
      </c>
      <c r="V26" s="53">
        <v>1593.53</v>
      </c>
      <c r="W26" s="53">
        <v>1593.53</v>
      </c>
      <c r="X26" s="53">
        <v>0</v>
      </c>
      <c r="Y26" s="54">
        <v>0</v>
      </c>
    </row>
    <row r="27" spans="1:25" x14ac:dyDescent="0.2">
      <c r="A27" s="50" t="s">
        <v>130</v>
      </c>
      <c r="B27" s="51" t="s">
        <v>65</v>
      </c>
      <c r="C27" s="51" t="s">
        <v>65</v>
      </c>
      <c r="D27" s="52">
        <v>25210</v>
      </c>
      <c r="E27" s="51" t="s">
        <v>131</v>
      </c>
      <c r="F27" s="53">
        <v>1398.98</v>
      </c>
      <c r="G27" s="53">
        <v>1398.98</v>
      </c>
      <c r="H27" s="53">
        <v>1398.98</v>
      </c>
      <c r="I27" s="53">
        <v>0</v>
      </c>
      <c r="J27" s="54">
        <v>0</v>
      </c>
      <c r="K27" s="53">
        <v>1457.24</v>
      </c>
      <c r="L27" s="53">
        <v>1457.24</v>
      </c>
      <c r="M27" s="53">
        <v>1457.24</v>
      </c>
      <c r="N27" s="53">
        <v>0</v>
      </c>
      <c r="O27" s="54">
        <v>0</v>
      </c>
      <c r="P27" s="53">
        <v>1496.6</v>
      </c>
      <c r="Q27" s="53">
        <v>1496.6</v>
      </c>
      <c r="R27" s="53">
        <v>1496.6</v>
      </c>
      <c r="S27" s="53">
        <v>0</v>
      </c>
      <c r="T27" s="54">
        <v>0</v>
      </c>
      <c r="U27" s="53">
        <v>1497.08</v>
      </c>
      <c r="V27" s="53">
        <v>1497.08</v>
      </c>
      <c r="W27" s="53">
        <v>1497.08</v>
      </c>
      <c r="X27" s="53">
        <v>0</v>
      </c>
      <c r="Y27" s="54">
        <v>0</v>
      </c>
    </row>
    <row r="28" spans="1:25" x14ac:dyDescent="0.2">
      <c r="A28" s="50" t="s">
        <v>132</v>
      </c>
      <c r="B28" s="51" t="s">
        <v>65</v>
      </c>
      <c r="C28" s="51" t="s">
        <v>65</v>
      </c>
      <c r="D28" s="52">
        <v>35103</v>
      </c>
      <c r="E28" s="51" t="s">
        <v>113</v>
      </c>
      <c r="F28" s="53">
        <v>840.56</v>
      </c>
      <c r="G28" s="53">
        <v>840.56</v>
      </c>
      <c r="H28" s="53">
        <v>840.56</v>
      </c>
      <c r="I28" s="53">
        <v>0</v>
      </c>
      <c r="J28" s="54">
        <v>0</v>
      </c>
      <c r="K28" s="53">
        <v>875.57</v>
      </c>
      <c r="L28" s="53">
        <v>875.57</v>
      </c>
      <c r="M28" s="53">
        <v>875.57</v>
      </c>
      <c r="N28" s="53">
        <v>0</v>
      </c>
      <c r="O28" s="54">
        <v>0</v>
      </c>
      <c r="P28" s="53">
        <v>899.22</v>
      </c>
      <c r="Q28" s="53">
        <v>899.22</v>
      </c>
      <c r="R28" s="53">
        <v>899.22</v>
      </c>
      <c r="S28" s="53">
        <v>0</v>
      </c>
      <c r="T28" s="54">
        <v>0</v>
      </c>
      <c r="U28" s="53">
        <v>899.51</v>
      </c>
      <c r="V28" s="53">
        <v>899.51</v>
      </c>
      <c r="W28" s="53">
        <v>899.51</v>
      </c>
      <c r="X28" s="53">
        <v>0</v>
      </c>
      <c r="Y28" s="54">
        <v>0</v>
      </c>
    </row>
    <row r="29" spans="1:25" x14ac:dyDescent="0.2">
      <c r="A29" s="50" t="s">
        <v>133</v>
      </c>
      <c r="B29" s="51" t="s">
        <v>65</v>
      </c>
      <c r="C29" s="51" t="s">
        <v>117</v>
      </c>
      <c r="D29" s="52">
        <v>27399</v>
      </c>
      <c r="E29" s="51" t="s">
        <v>113</v>
      </c>
      <c r="F29" s="53">
        <v>2157.25</v>
      </c>
      <c r="G29" s="53">
        <v>1170.3900000000001</v>
      </c>
      <c r="H29" s="53">
        <v>1170.3900000000001</v>
      </c>
      <c r="I29" s="53">
        <v>0</v>
      </c>
      <c r="J29" s="54">
        <v>0</v>
      </c>
      <c r="K29" s="53">
        <v>2247.09</v>
      </c>
      <c r="L29" s="53">
        <v>1219.1300000000001</v>
      </c>
      <c r="M29" s="53">
        <v>1219.1300000000001</v>
      </c>
      <c r="N29" s="53">
        <v>0</v>
      </c>
      <c r="O29" s="54">
        <v>0</v>
      </c>
      <c r="P29" s="53">
        <v>2307.79</v>
      </c>
      <c r="Q29" s="53">
        <v>1252.06</v>
      </c>
      <c r="R29" s="53">
        <v>1252.06</v>
      </c>
      <c r="S29" s="53">
        <v>0</v>
      </c>
      <c r="T29" s="54">
        <v>0</v>
      </c>
      <c r="U29" s="53">
        <v>2308.52</v>
      </c>
      <c r="V29" s="53">
        <v>1252.46</v>
      </c>
      <c r="W29" s="53">
        <v>1252.46</v>
      </c>
      <c r="X29" s="53">
        <v>0</v>
      </c>
      <c r="Y29" s="54">
        <v>0</v>
      </c>
    </row>
    <row r="30" spans="1:25" x14ac:dyDescent="0.2">
      <c r="A30" s="50" t="s">
        <v>134</v>
      </c>
      <c r="B30" s="51" t="s">
        <v>107</v>
      </c>
      <c r="C30" s="51"/>
      <c r="D30" s="52">
        <v>29502</v>
      </c>
      <c r="E30" s="51" t="s">
        <v>113</v>
      </c>
      <c r="F30" s="53"/>
      <c r="G30" s="53">
        <v>986.86</v>
      </c>
      <c r="H30" s="53">
        <v>986.86</v>
      </c>
      <c r="I30" s="53">
        <v>0</v>
      </c>
      <c r="J30" s="54"/>
      <c r="K30" s="53"/>
      <c r="L30" s="53">
        <v>1027.96</v>
      </c>
      <c r="M30" s="53">
        <v>1027.96</v>
      </c>
      <c r="N30" s="53">
        <v>0</v>
      </c>
      <c r="O30" s="54"/>
      <c r="P30" s="53"/>
      <c r="Q30" s="53">
        <v>1055.73</v>
      </c>
      <c r="R30" s="53">
        <v>1055.73</v>
      </c>
      <c r="S30" s="53">
        <v>0</v>
      </c>
      <c r="T30" s="54"/>
      <c r="U30" s="53"/>
      <c r="V30" s="53">
        <v>1056.06</v>
      </c>
      <c r="W30" s="53">
        <v>1056.06</v>
      </c>
      <c r="X30" s="53">
        <v>0</v>
      </c>
      <c r="Y30" s="54"/>
    </row>
    <row r="31" spans="1:25" x14ac:dyDescent="0.2">
      <c r="A31" s="50" t="s">
        <v>135</v>
      </c>
      <c r="B31" s="51" t="s">
        <v>65</v>
      </c>
      <c r="C31" s="51" t="s">
        <v>104</v>
      </c>
      <c r="D31" s="52">
        <v>24592</v>
      </c>
      <c r="E31" s="51" t="s">
        <v>111</v>
      </c>
      <c r="F31" s="53">
        <v>3794.62</v>
      </c>
      <c r="G31" s="53">
        <v>1489.11</v>
      </c>
      <c r="H31" s="53">
        <v>1489.11</v>
      </c>
      <c r="I31" s="53">
        <v>0</v>
      </c>
      <c r="J31" s="54">
        <v>0</v>
      </c>
      <c r="K31" s="53">
        <v>3952.66</v>
      </c>
      <c r="L31" s="53">
        <v>1551.13</v>
      </c>
      <c r="M31" s="53">
        <v>1551.13</v>
      </c>
      <c r="N31" s="53">
        <v>0</v>
      </c>
      <c r="O31" s="54">
        <v>0</v>
      </c>
      <c r="P31" s="53">
        <v>4059.41</v>
      </c>
      <c r="Q31" s="53">
        <v>1593.02</v>
      </c>
      <c r="R31" s="53">
        <v>1593.02</v>
      </c>
      <c r="S31" s="53">
        <v>0</v>
      </c>
      <c r="T31" s="54">
        <v>0</v>
      </c>
      <c r="U31" s="53">
        <v>4060.71</v>
      </c>
      <c r="V31" s="53">
        <v>1593.53</v>
      </c>
      <c r="W31" s="53">
        <v>1593.53</v>
      </c>
      <c r="X31" s="53">
        <v>0</v>
      </c>
      <c r="Y31" s="54">
        <v>0</v>
      </c>
    </row>
    <row r="32" spans="1:25" x14ac:dyDescent="0.2">
      <c r="A32" s="50" t="s">
        <v>136</v>
      </c>
      <c r="B32" s="51" t="s">
        <v>107</v>
      </c>
      <c r="C32" s="51"/>
      <c r="D32" s="52">
        <v>22616</v>
      </c>
      <c r="E32" s="51" t="s">
        <v>111</v>
      </c>
      <c r="F32" s="53"/>
      <c r="G32" s="53">
        <v>1489.11</v>
      </c>
      <c r="H32" s="53">
        <v>1489.11</v>
      </c>
      <c r="I32" s="53">
        <v>0</v>
      </c>
      <c r="J32" s="54"/>
      <c r="K32" s="53"/>
      <c r="L32" s="53">
        <v>1551.13</v>
      </c>
      <c r="M32" s="53">
        <v>1551.13</v>
      </c>
      <c r="N32" s="53">
        <v>0</v>
      </c>
      <c r="O32" s="54"/>
      <c r="P32" s="53"/>
      <c r="Q32" s="53">
        <v>1593.02</v>
      </c>
      <c r="R32" s="53">
        <v>1593.02</v>
      </c>
      <c r="S32" s="53">
        <v>0</v>
      </c>
      <c r="T32" s="54"/>
      <c r="U32" s="53"/>
      <c r="V32" s="53">
        <v>1593.53</v>
      </c>
      <c r="W32" s="53">
        <v>1593.53</v>
      </c>
      <c r="X32" s="53">
        <v>0</v>
      </c>
      <c r="Y32" s="54"/>
    </row>
    <row r="33" spans="1:25" x14ac:dyDescent="0.2">
      <c r="A33" s="50" t="s">
        <v>137</v>
      </c>
      <c r="B33" s="51" t="s">
        <v>109</v>
      </c>
      <c r="C33" s="51"/>
      <c r="D33" s="52">
        <v>37842</v>
      </c>
      <c r="E33" s="51" t="s">
        <v>111</v>
      </c>
      <c r="F33" s="53"/>
      <c r="G33" s="53">
        <v>816.4</v>
      </c>
      <c r="H33" s="53">
        <v>816.4</v>
      </c>
      <c r="I33" s="53">
        <v>0</v>
      </c>
      <c r="J33" s="54"/>
      <c r="K33" s="53"/>
      <c r="L33" s="53">
        <v>850.4</v>
      </c>
      <c r="M33" s="53">
        <v>850.4</v>
      </c>
      <c r="N33" s="53">
        <v>0</v>
      </c>
      <c r="O33" s="54"/>
      <c r="P33" s="53"/>
      <c r="Q33" s="53">
        <v>873.37</v>
      </c>
      <c r="R33" s="53">
        <v>873.37</v>
      </c>
      <c r="S33" s="53">
        <v>0</v>
      </c>
      <c r="T33" s="54"/>
      <c r="U33" s="53"/>
      <c r="V33" s="53">
        <v>873.65</v>
      </c>
      <c r="W33" s="53">
        <v>873.65</v>
      </c>
      <c r="X33" s="53">
        <v>0</v>
      </c>
      <c r="Y33" s="54"/>
    </row>
    <row r="34" spans="1:25" x14ac:dyDescent="0.2">
      <c r="A34" s="50" t="s">
        <v>138</v>
      </c>
      <c r="B34" s="51" t="s">
        <v>65</v>
      </c>
      <c r="C34" s="51" t="s">
        <v>65</v>
      </c>
      <c r="D34" s="52">
        <v>35401</v>
      </c>
      <c r="E34" s="51" t="s">
        <v>113</v>
      </c>
      <c r="F34" s="53">
        <v>832.72</v>
      </c>
      <c r="G34" s="53">
        <v>832.72</v>
      </c>
      <c r="H34" s="53">
        <v>832.72</v>
      </c>
      <c r="I34" s="53">
        <v>0</v>
      </c>
      <c r="J34" s="54">
        <v>0</v>
      </c>
      <c r="K34" s="53">
        <v>867.41</v>
      </c>
      <c r="L34" s="53">
        <v>867.41</v>
      </c>
      <c r="M34" s="53">
        <v>867.41</v>
      </c>
      <c r="N34" s="53">
        <v>0</v>
      </c>
      <c r="O34" s="54">
        <v>0</v>
      </c>
      <c r="P34" s="53">
        <v>890.83</v>
      </c>
      <c r="Q34" s="53">
        <v>890.83</v>
      </c>
      <c r="R34" s="53">
        <v>890.83</v>
      </c>
      <c r="S34" s="53">
        <v>0</v>
      </c>
      <c r="T34" s="54">
        <v>0</v>
      </c>
      <c r="U34" s="53">
        <v>891.12</v>
      </c>
      <c r="V34" s="53">
        <v>891.12</v>
      </c>
      <c r="W34" s="53">
        <v>891.12</v>
      </c>
      <c r="X34" s="53">
        <v>0</v>
      </c>
      <c r="Y34" s="54">
        <v>0</v>
      </c>
    </row>
    <row r="35" spans="1:25" x14ac:dyDescent="0.2">
      <c r="A35" s="50" t="s">
        <v>139</v>
      </c>
      <c r="B35" s="51" t="s">
        <v>65</v>
      </c>
      <c r="C35" s="51" t="s">
        <v>65</v>
      </c>
      <c r="D35" s="52">
        <v>35453</v>
      </c>
      <c r="E35" s="51" t="s">
        <v>113</v>
      </c>
      <c r="F35" s="53">
        <v>832.72</v>
      </c>
      <c r="G35" s="53">
        <v>832.72</v>
      </c>
      <c r="H35" s="53">
        <v>832.72</v>
      </c>
      <c r="I35" s="53">
        <v>0</v>
      </c>
      <c r="J35" s="54">
        <v>0</v>
      </c>
      <c r="K35" s="53">
        <v>867.41</v>
      </c>
      <c r="L35" s="53">
        <v>867.41</v>
      </c>
      <c r="M35" s="53">
        <v>867.41</v>
      </c>
      <c r="N35" s="53">
        <v>0</v>
      </c>
      <c r="O35" s="54">
        <v>0</v>
      </c>
      <c r="P35" s="53">
        <v>890.83</v>
      </c>
      <c r="Q35" s="53">
        <v>890.83</v>
      </c>
      <c r="R35" s="53">
        <v>890.83</v>
      </c>
      <c r="S35" s="53">
        <v>0</v>
      </c>
      <c r="T35" s="54">
        <v>0</v>
      </c>
      <c r="U35" s="53">
        <v>891.12</v>
      </c>
      <c r="V35" s="53">
        <v>891.12</v>
      </c>
      <c r="W35" s="53">
        <v>891.12</v>
      </c>
      <c r="X35" s="53">
        <v>0</v>
      </c>
      <c r="Y35" s="54">
        <v>0</v>
      </c>
    </row>
    <row r="36" spans="1:25" x14ac:dyDescent="0.2">
      <c r="A36" s="50" t="s">
        <v>140</v>
      </c>
      <c r="B36" s="51" t="s">
        <v>65</v>
      </c>
      <c r="C36" s="51" t="s">
        <v>65</v>
      </c>
      <c r="D36" s="52">
        <v>34864</v>
      </c>
      <c r="E36" s="51" t="s">
        <v>118</v>
      </c>
      <c r="F36" s="53">
        <v>840.56</v>
      </c>
      <c r="G36" s="53">
        <v>840.56</v>
      </c>
      <c r="H36" s="53">
        <v>840.56</v>
      </c>
      <c r="I36" s="53">
        <v>0</v>
      </c>
      <c r="J36" s="54">
        <v>0</v>
      </c>
      <c r="K36" s="53">
        <v>875.57</v>
      </c>
      <c r="L36" s="53">
        <v>875.57</v>
      </c>
      <c r="M36" s="53">
        <v>875.57</v>
      </c>
      <c r="N36" s="53">
        <v>0</v>
      </c>
      <c r="O36" s="54">
        <v>0</v>
      </c>
      <c r="P36" s="53">
        <v>899.22</v>
      </c>
      <c r="Q36" s="53">
        <v>899.22</v>
      </c>
      <c r="R36" s="53">
        <v>899.22</v>
      </c>
      <c r="S36" s="53">
        <v>0</v>
      </c>
      <c r="T36" s="54">
        <v>0</v>
      </c>
      <c r="U36" s="53">
        <v>899.51</v>
      </c>
      <c r="V36" s="53">
        <v>899.51</v>
      </c>
      <c r="W36" s="53">
        <v>899.51</v>
      </c>
      <c r="X36" s="53">
        <v>0</v>
      </c>
      <c r="Y36" s="54">
        <v>0</v>
      </c>
    </row>
    <row r="37" spans="1:25" x14ac:dyDescent="0.2">
      <c r="A37" s="50" t="s">
        <v>141</v>
      </c>
      <c r="B37" s="51" t="s">
        <v>65</v>
      </c>
      <c r="C37" s="51" t="s">
        <v>104</v>
      </c>
      <c r="D37" s="52">
        <v>26666</v>
      </c>
      <c r="E37" s="51" t="s">
        <v>118</v>
      </c>
      <c r="F37" s="53">
        <v>3732.57</v>
      </c>
      <c r="G37" s="53">
        <v>1242.23</v>
      </c>
      <c r="H37" s="53">
        <v>1242.23</v>
      </c>
      <c r="I37" s="53">
        <v>0</v>
      </c>
      <c r="J37" s="54">
        <v>0</v>
      </c>
      <c r="K37" s="53">
        <v>3888.03</v>
      </c>
      <c r="L37" s="53">
        <v>1293.97</v>
      </c>
      <c r="M37" s="53">
        <v>1293.97</v>
      </c>
      <c r="N37" s="53">
        <v>0</v>
      </c>
      <c r="O37" s="54">
        <v>0</v>
      </c>
      <c r="P37" s="53">
        <v>3993.03</v>
      </c>
      <c r="Q37" s="53">
        <v>1328.91</v>
      </c>
      <c r="R37" s="53">
        <v>1328.91</v>
      </c>
      <c r="S37" s="53">
        <v>0</v>
      </c>
      <c r="T37" s="54">
        <v>0</v>
      </c>
      <c r="U37" s="53">
        <v>3994.31</v>
      </c>
      <c r="V37" s="53">
        <v>1329.34</v>
      </c>
      <c r="W37" s="53">
        <v>1329.34</v>
      </c>
      <c r="X37" s="53">
        <v>0</v>
      </c>
      <c r="Y37" s="54">
        <v>0</v>
      </c>
    </row>
    <row r="38" spans="1:25" x14ac:dyDescent="0.2">
      <c r="A38" s="50" t="s">
        <v>142</v>
      </c>
      <c r="B38" s="51" t="s">
        <v>107</v>
      </c>
      <c r="C38" s="51"/>
      <c r="D38" s="52">
        <v>28717</v>
      </c>
      <c r="E38" s="51" t="s">
        <v>118</v>
      </c>
      <c r="F38" s="53"/>
      <c r="G38" s="53">
        <v>1040.42</v>
      </c>
      <c r="H38" s="53">
        <v>1040.42</v>
      </c>
      <c r="I38" s="53">
        <v>0</v>
      </c>
      <c r="J38" s="54"/>
      <c r="K38" s="53"/>
      <c r="L38" s="53">
        <v>1083.75</v>
      </c>
      <c r="M38" s="53">
        <v>1083.75</v>
      </c>
      <c r="N38" s="53">
        <v>0</v>
      </c>
      <c r="O38" s="54"/>
      <c r="P38" s="53"/>
      <c r="Q38" s="53">
        <v>1113.02</v>
      </c>
      <c r="R38" s="53">
        <v>1113.02</v>
      </c>
      <c r="S38" s="53">
        <v>0</v>
      </c>
      <c r="T38" s="54"/>
      <c r="U38" s="53"/>
      <c r="V38" s="53">
        <v>1113.3699999999999</v>
      </c>
      <c r="W38" s="53">
        <v>1113.3699999999999</v>
      </c>
      <c r="X38" s="53">
        <v>0</v>
      </c>
      <c r="Y38" s="54"/>
    </row>
    <row r="39" spans="1:25" x14ac:dyDescent="0.2">
      <c r="A39" s="50" t="s">
        <v>143</v>
      </c>
      <c r="B39" s="51" t="s">
        <v>109</v>
      </c>
      <c r="C39" s="51"/>
      <c r="D39" s="52">
        <v>37384</v>
      </c>
      <c r="E39" s="51" t="s">
        <v>118</v>
      </c>
      <c r="F39" s="53"/>
      <c r="G39" s="53">
        <v>816.4</v>
      </c>
      <c r="H39" s="53">
        <v>816.4</v>
      </c>
      <c r="I39" s="53">
        <v>0</v>
      </c>
      <c r="J39" s="54"/>
      <c r="K39" s="53"/>
      <c r="L39" s="53">
        <v>850.4</v>
      </c>
      <c r="M39" s="53">
        <v>850.4</v>
      </c>
      <c r="N39" s="53">
        <v>0</v>
      </c>
      <c r="O39" s="54"/>
      <c r="P39" s="53"/>
      <c r="Q39" s="53">
        <v>873.37</v>
      </c>
      <c r="R39" s="53">
        <v>873.37</v>
      </c>
      <c r="S39" s="53">
        <v>0</v>
      </c>
      <c r="T39" s="54"/>
      <c r="U39" s="53"/>
      <c r="V39" s="53">
        <v>873.65</v>
      </c>
      <c r="W39" s="53">
        <v>873.65</v>
      </c>
      <c r="X39" s="53">
        <v>0</v>
      </c>
      <c r="Y39" s="54"/>
    </row>
    <row r="40" spans="1:25" x14ac:dyDescent="0.2">
      <c r="A40" s="50" t="s">
        <v>144</v>
      </c>
      <c r="B40" s="51" t="s">
        <v>109</v>
      </c>
      <c r="C40" s="51"/>
      <c r="D40" s="52">
        <v>38688</v>
      </c>
      <c r="E40" s="51" t="s">
        <v>118</v>
      </c>
      <c r="F40" s="53"/>
      <c r="G40" s="53">
        <v>633.52</v>
      </c>
      <c r="H40" s="53">
        <v>633.52</v>
      </c>
      <c r="I40" s="53">
        <v>0</v>
      </c>
      <c r="J40" s="54"/>
      <c r="K40" s="53"/>
      <c r="L40" s="53">
        <v>659.91</v>
      </c>
      <c r="M40" s="53">
        <v>659.91</v>
      </c>
      <c r="N40" s="53">
        <v>0</v>
      </c>
      <c r="O40" s="54"/>
      <c r="P40" s="53"/>
      <c r="Q40" s="53">
        <v>677.73</v>
      </c>
      <c r="R40" s="53">
        <v>677.73</v>
      </c>
      <c r="S40" s="53">
        <v>0</v>
      </c>
      <c r="T40" s="54"/>
      <c r="U40" s="53"/>
      <c r="V40" s="53">
        <v>677.95</v>
      </c>
      <c r="W40" s="53">
        <v>677.95</v>
      </c>
      <c r="X40" s="53">
        <v>0</v>
      </c>
      <c r="Y40" s="54"/>
    </row>
    <row r="41" spans="1:25" x14ac:dyDescent="0.2">
      <c r="A41" s="50" t="s">
        <v>145</v>
      </c>
      <c r="B41" s="51" t="s">
        <v>65</v>
      </c>
      <c r="C41" s="51" t="s">
        <v>65</v>
      </c>
      <c r="D41" s="52">
        <v>36146</v>
      </c>
      <c r="E41" s="51" t="s">
        <v>111</v>
      </c>
      <c r="F41" s="53">
        <v>816.4</v>
      </c>
      <c r="G41" s="53">
        <v>816.4</v>
      </c>
      <c r="H41" s="53">
        <v>816.4</v>
      </c>
      <c r="I41" s="53">
        <v>0</v>
      </c>
      <c r="J41" s="54">
        <v>0</v>
      </c>
      <c r="K41" s="53">
        <v>850.4</v>
      </c>
      <c r="L41" s="53">
        <v>850.4</v>
      </c>
      <c r="M41" s="53">
        <v>850.4</v>
      </c>
      <c r="N41" s="53">
        <v>0</v>
      </c>
      <c r="O41" s="54">
        <v>0</v>
      </c>
      <c r="P41" s="53">
        <v>873.37</v>
      </c>
      <c r="Q41" s="53">
        <v>873.37</v>
      </c>
      <c r="R41" s="53">
        <v>873.37</v>
      </c>
      <c r="S41" s="53">
        <v>0</v>
      </c>
      <c r="T41" s="54">
        <v>0</v>
      </c>
      <c r="U41" s="53">
        <v>873.65</v>
      </c>
      <c r="V41" s="53">
        <v>873.65</v>
      </c>
      <c r="W41" s="53">
        <v>873.65</v>
      </c>
      <c r="X41" s="53">
        <v>0</v>
      </c>
      <c r="Y41" s="54">
        <v>0</v>
      </c>
    </row>
    <row r="42" spans="1:25" x14ac:dyDescent="0.2">
      <c r="A42" s="50" t="s">
        <v>146</v>
      </c>
      <c r="B42" s="51" t="s">
        <v>65</v>
      </c>
      <c r="C42" s="51" t="s">
        <v>65</v>
      </c>
      <c r="D42" s="52">
        <v>35249</v>
      </c>
      <c r="E42" s="51" t="s">
        <v>147</v>
      </c>
      <c r="F42" s="53">
        <v>832.72</v>
      </c>
      <c r="G42" s="53">
        <v>832.72</v>
      </c>
      <c r="H42" s="53">
        <v>832.72</v>
      </c>
      <c r="I42" s="53">
        <v>0</v>
      </c>
      <c r="J42" s="54">
        <v>0</v>
      </c>
      <c r="K42" s="53">
        <v>867.41</v>
      </c>
      <c r="L42" s="53">
        <v>867.41</v>
      </c>
      <c r="M42" s="53">
        <v>867.41</v>
      </c>
      <c r="N42" s="53">
        <v>0</v>
      </c>
      <c r="O42" s="54">
        <v>0</v>
      </c>
      <c r="P42" s="53">
        <v>890.83</v>
      </c>
      <c r="Q42" s="53">
        <v>890.83</v>
      </c>
      <c r="R42" s="53">
        <v>890.83</v>
      </c>
      <c r="S42" s="53">
        <v>0</v>
      </c>
      <c r="T42" s="54">
        <v>0</v>
      </c>
      <c r="U42" s="53">
        <v>891.12</v>
      </c>
      <c r="V42" s="53">
        <v>891.12</v>
      </c>
      <c r="W42" s="53">
        <v>891.12</v>
      </c>
      <c r="X42" s="53">
        <v>0</v>
      </c>
      <c r="Y42" s="54">
        <v>0</v>
      </c>
    </row>
    <row r="43" spans="1:25" ht="16.149999999999999" customHeight="1" x14ac:dyDescent="0.2">
      <c r="A43" s="226" t="s">
        <v>81</v>
      </c>
      <c r="B43" s="227"/>
      <c r="C43" s="227"/>
      <c r="D43" s="227"/>
      <c r="E43" s="227"/>
      <c r="F43" s="211" t="s">
        <v>179</v>
      </c>
      <c r="G43" s="212"/>
      <c r="H43" s="212"/>
      <c r="I43" s="212"/>
      <c r="J43" s="213"/>
      <c r="K43" s="211" t="s">
        <v>181</v>
      </c>
      <c r="L43" s="212"/>
      <c r="M43" s="212"/>
      <c r="N43" s="212"/>
      <c r="O43" s="213"/>
      <c r="P43" s="211" t="s">
        <v>183</v>
      </c>
      <c r="Q43" s="212"/>
      <c r="R43" s="212"/>
      <c r="S43" s="212"/>
      <c r="T43" s="213"/>
      <c r="U43" s="211" t="s">
        <v>185</v>
      </c>
      <c r="V43" s="212"/>
      <c r="W43" s="212"/>
      <c r="X43" s="212"/>
      <c r="Y43" s="213"/>
    </row>
    <row r="44" spans="1:25" ht="13.9" customHeight="1" x14ac:dyDescent="0.2">
      <c r="A44" s="228" t="s">
        <v>82</v>
      </c>
      <c r="B44" s="229"/>
      <c r="C44" s="229"/>
      <c r="D44" s="229"/>
      <c r="E44" s="229"/>
      <c r="F44" s="214">
        <v>9371.59</v>
      </c>
      <c r="G44" s="215"/>
      <c r="H44" s="215"/>
      <c r="I44" s="215"/>
      <c r="J44" s="216"/>
      <c r="K44" s="214">
        <v>9761.9</v>
      </c>
      <c r="L44" s="215"/>
      <c r="M44" s="215"/>
      <c r="N44" s="215"/>
      <c r="O44" s="216"/>
      <c r="P44" s="214">
        <v>10025.549999999999</v>
      </c>
      <c r="Q44" s="215"/>
      <c r="R44" s="215"/>
      <c r="S44" s="215"/>
      <c r="T44" s="216"/>
      <c r="U44" s="214">
        <v>10028.76</v>
      </c>
      <c r="V44" s="215"/>
      <c r="W44" s="215"/>
      <c r="X44" s="215"/>
      <c r="Y44" s="216"/>
    </row>
    <row r="45" spans="1:25" ht="13.9" customHeight="1" x14ac:dyDescent="0.2">
      <c r="A45" s="230" t="s">
        <v>83</v>
      </c>
      <c r="B45" s="231"/>
      <c r="C45" s="231"/>
      <c r="D45" s="231"/>
      <c r="E45" s="231"/>
      <c r="F45" s="208">
        <f>F44*12</f>
        <v>112459.08</v>
      </c>
      <c r="G45" s="209"/>
      <c r="H45" s="209"/>
      <c r="I45" s="209"/>
      <c r="J45" s="210"/>
      <c r="K45" s="208">
        <f>K44*12</f>
        <v>117142.79999999999</v>
      </c>
      <c r="L45" s="209"/>
      <c r="M45" s="209"/>
      <c r="N45" s="209"/>
      <c r="O45" s="210"/>
      <c r="P45" s="208">
        <f>P44*12</f>
        <v>120306.59999999999</v>
      </c>
      <c r="Q45" s="209"/>
      <c r="R45" s="209"/>
      <c r="S45" s="209"/>
      <c r="T45" s="210"/>
      <c r="U45" s="208">
        <f>U44*12</f>
        <v>120345.12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E00-000000000000}"/>
    <hyperlink ref="F46" r:id="rId2" xr:uid="{00000000-0004-0000-4E00-000001000000}"/>
    <hyperlink ref="K7" r:id="rId3" xr:uid="{00000000-0004-0000-4E00-000002000000}"/>
    <hyperlink ref="K46" r:id="rId4" xr:uid="{00000000-0004-0000-4E00-000003000000}"/>
    <hyperlink ref="P7" r:id="rId5" xr:uid="{00000000-0004-0000-4E00-000004000000}"/>
    <hyperlink ref="P46" r:id="rId6" xr:uid="{00000000-0004-0000-4E00-000005000000}"/>
    <hyperlink ref="U7" r:id="rId7" xr:uid="{00000000-0004-0000-4E00-000006000000}"/>
    <hyperlink ref="U46" r:id="rId8" xr:uid="{00000000-0004-0000-4E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7040-4D93-43DE-8B2F-43314BAC828C}">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186</v>
      </c>
      <c r="G6" s="122"/>
      <c r="H6" s="122"/>
      <c r="I6" s="122"/>
      <c r="J6" s="124"/>
      <c r="K6" s="121" t="s">
        <v>188</v>
      </c>
      <c r="L6" s="122"/>
      <c r="M6" s="122"/>
      <c r="N6" s="122"/>
      <c r="O6" s="124"/>
      <c r="P6" s="121" t="s">
        <v>190</v>
      </c>
      <c r="Q6" s="122"/>
      <c r="R6" s="122"/>
      <c r="S6" s="122"/>
      <c r="T6" s="124"/>
      <c r="U6" s="121" t="s">
        <v>192</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187</v>
      </c>
      <c r="G8" s="233"/>
      <c r="H8" s="233"/>
      <c r="I8" s="233"/>
      <c r="J8" s="234"/>
      <c r="K8" s="232" t="s">
        <v>189</v>
      </c>
      <c r="L8" s="233"/>
      <c r="M8" s="233"/>
      <c r="N8" s="233"/>
      <c r="O8" s="234"/>
      <c r="P8" s="232" t="s">
        <v>191</v>
      </c>
      <c r="Q8" s="233"/>
      <c r="R8" s="233"/>
      <c r="S8" s="233"/>
      <c r="T8" s="234"/>
      <c r="U8" s="232" t="s">
        <v>193</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3509.64</v>
      </c>
      <c r="G10" s="53">
        <v>1603.28</v>
      </c>
      <c r="H10" s="53">
        <v>1603.28</v>
      </c>
      <c r="I10" s="53">
        <v>0</v>
      </c>
      <c r="J10" s="54">
        <v>0</v>
      </c>
      <c r="K10" s="53">
        <v>3518.44</v>
      </c>
      <c r="L10" s="53">
        <v>1607.3</v>
      </c>
      <c r="M10" s="53">
        <v>1607.3</v>
      </c>
      <c r="N10" s="53">
        <v>0</v>
      </c>
      <c r="O10" s="54">
        <v>0</v>
      </c>
      <c r="P10" s="53">
        <v>3699.77</v>
      </c>
      <c r="Q10" s="53">
        <v>1690.14</v>
      </c>
      <c r="R10" s="53">
        <v>1690.14</v>
      </c>
      <c r="S10" s="53">
        <v>0</v>
      </c>
      <c r="T10" s="54">
        <v>0</v>
      </c>
      <c r="U10" s="53">
        <v>3726.02</v>
      </c>
      <c r="V10" s="53">
        <v>1702.13</v>
      </c>
      <c r="W10" s="53">
        <v>1702.13</v>
      </c>
      <c r="X10" s="53">
        <v>0</v>
      </c>
      <c r="Y10" s="54">
        <v>0</v>
      </c>
    </row>
    <row r="11" spans="1:25" x14ac:dyDescent="0.2">
      <c r="A11" s="50" t="s">
        <v>106</v>
      </c>
      <c r="B11" s="51" t="s">
        <v>107</v>
      </c>
      <c r="C11" s="51"/>
      <c r="D11" s="52">
        <v>27837</v>
      </c>
      <c r="E11" s="51" t="s">
        <v>105</v>
      </c>
      <c r="F11" s="53"/>
      <c r="G11" s="53">
        <v>1224.26</v>
      </c>
      <c r="H11" s="53">
        <v>1224.26</v>
      </c>
      <c r="I11" s="53">
        <v>0</v>
      </c>
      <c r="J11" s="54"/>
      <c r="K11" s="53"/>
      <c r="L11" s="53">
        <v>1227.33</v>
      </c>
      <c r="M11" s="53">
        <v>1227.33</v>
      </c>
      <c r="N11" s="53">
        <v>0</v>
      </c>
      <c r="O11" s="54"/>
      <c r="P11" s="53"/>
      <c r="Q11" s="53">
        <v>1290.58</v>
      </c>
      <c r="R11" s="53">
        <v>1290.58</v>
      </c>
      <c r="S11" s="53">
        <v>0</v>
      </c>
      <c r="T11" s="54"/>
      <c r="U11" s="53"/>
      <c r="V11" s="53">
        <v>1299.74</v>
      </c>
      <c r="W11" s="53">
        <v>1299.74</v>
      </c>
      <c r="X11" s="53">
        <v>0</v>
      </c>
      <c r="Y11" s="54"/>
    </row>
    <row r="12" spans="1:25" x14ac:dyDescent="0.2">
      <c r="A12" s="50" t="s">
        <v>108</v>
      </c>
      <c r="B12" s="51" t="s">
        <v>109</v>
      </c>
      <c r="C12" s="51"/>
      <c r="D12" s="52">
        <v>38648</v>
      </c>
      <c r="E12" s="51" t="s">
        <v>105</v>
      </c>
      <c r="F12" s="53"/>
      <c r="G12" s="53">
        <v>682.1</v>
      </c>
      <c r="H12" s="53">
        <v>682.1</v>
      </c>
      <c r="I12" s="53">
        <v>0</v>
      </c>
      <c r="J12" s="54"/>
      <c r="K12" s="53"/>
      <c r="L12" s="53">
        <v>683.81</v>
      </c>
      <c r="M12" s="53">
        <v>683.81</v>
      </c>
      <c r="N12" s="53">
        <v>0</v>
      </c>
      <c r="O12" s="54"/>
      <c r="P12" s="53"/>
      <c r="Q12" s="53">
        <v>719.05</v>
      </c>
      <c r="R12" s="53">
        <v>719.05</v>
      </c>
      <c r="S12" s="53">
        <v>0</v>
      </c>
      <c r="T12" s="54"/>
      <c r="U12" s="53"/>
      <c r="V12" s="53">
        <v>724.15</v>
      </c>
      <c r="W12" s="53">
        <v>724.15</v>
      </c>
      <c r="X12" s="53">
        <v>0</v>
      </c>
      <c r="Y12" s="54"/>
    </row>
    <row r="13" spans="1:25" x14ac:dyDescent="0.2">
      <c r="A13" s="50" t="s">
        <v>110</v>
      </c>
      <c r="B13" s="51" t="s">
        <v>65</v>
      </c>
      <c r="C13" s="51" t="s">
        <v>65</v>
      </c>
      <c r="D13" s="52">
        <v>36345</v>
      </c>
      <c r="E13" s="51" t="s">
        <v>111</v>
      </c>
      <c r="F13" s="53">
        <v>878.99</v>
      </c>
      <c r="G13" s="53">
        <v>878.99</v>
      </c>
      <c r="H13" s="53">
        <v>878.99</v>
      </c>
      <c r="I13" s="53">
        <v>0</v>
      </c>
      <c r="J13" s="54">
        <v>0</v>
      </c>
      <c r="K13" s="53">
        <v>881.19</v>
      </c>
      <c r="L13" s="53">
        <v>881.19</v>
      </c>
      <c r="M13" s="53">
        <v>881.19</v>
      </c>
      <c r="N13" s="53">
        <v>0</v>
      </c>
      <c r="O13" s="54">
        <v>0</v>
      </c>
      <c r="P13" s="53">
        <v>926.61</v>
      </c>
      <c r="Q13" s="53">
        <v>926.61</v>
      </c>
      <c r="R13" s="53">
        <v>926.61</v>
      </c>
      <c r="S13" s="53">
        <v>0</v>
      </c>
      <c r="T13" s="54">
        <v>0</v>
      </c>
      <c r="U13" s="53">
        <v>933.18</v>
      </c>
      <c r="V13" s="53">
        <v>933.18</v>
      </c>
      <c r="W13" s="53">
        <v>933.18</v>
      </c>
      <c r="X13" s="53">
        <v>0</v>
      </c>
      <c r="Y13" s="54">
        <v>0</v>
      </c>
    </row>
    <row r="14" spans="1:25" x14ac:dyDescent="0.2">
      <c r="A14" s="50" t="s">
        <v>112</v>
      </c>
      <c r="B14" s="51" t="s">
        <v>65</v>
      </c>
      <c r="C14" s="51" t="s">
        <v>104</v>
      </c>
      <c r="D14" s="52">
        <v>24895</v>
      </c>
      <c r="E14" s="51" t="s">
        <v>113</v>
      </c>
      <c r="F14" s="53">
        <v>3836.63</v>
      </c>
      <c r="G14" s="53">
        <v>1551.25</v>
      </c>
      <c r="H14" s="53">
        <v>1551.25</v>
      </c>
      <c r="I14" s="53">
        <v>0</v>
      </c>
      <c r="J14" s="54">
        <v>0</v>
      </c>
      <c r="K14" s="53">
        <v>3846.24</v>
      </c>
      <c r="L14" s="53">
        <v>1555.13</v>
      </c>
      <c r="M14" s="53">
        <v>1555.13</v>
      </c>
      <c r="N14" s="53">
        <v>0</v>
      </c>
      <c r="O14" s="54">
        <v>0</v>
      </c>
      <c r="P14" s="53">
        <v>4044.47</v>
      </c>
      <c r="Q14" s="53">
        <v>1635.28</v>
      </c>
      <c r="R14" s="53">
        <v>1635.28</v>
      </c>
      <c r="S14" s="53">
        <v>0</v>
      </c>
      <c r="T14" s="54">
        <v>0</v>
      </c>
      <c r="U14" s="53">
        <v>4073.16</v>
      </c>
      <c r="V14" s="53">
        <v>1646.88</v>
      </c>
      <c r="W14" s="53">
        <v>1646.88</v>
      </c>
      <c r="X14" s="53">
        <v>0</v>
      </c>
      <c r="Y14" s="54">
        <v>0</v>
      </c>
    </row>
    <row r="15" spans="1:25" x14ac:dyDescent="0.2">
      <c r="A15" s="50" t="s">
        <v>114</v>
      </c>
      <c r="B15" s="51" t="s">
        <v>107</v>
      </c>
      <c r="C15" s="51"/>
      <c r="D15" s="52">
        <v>24269</v>
      </c>
      <c r="E15" s="51" t="s">
        <v>113</v>
      </c>
      <c r="F15" s="53"/>
      <c r="G15" s="53">
        <v>1603.28</v>
      </c>
      <c r="H15" s="53">
        <v>1603.28</v>
      </c>
      <c r="I15" s="53">
        <v>0</v>
      </c>
      <c r="J15" s="54"/>
      <c r="K15" s="53"/>
      <c r="L15" s="53">
        <v>1607.3</v>
      </c>
      <c r="M15" s="53">
        <v>1607.3</v>
      </c>
      <c r="N15" s="53">
        <v>0</v>
      </c>
      <c r="O15" s="54"/>
      <c r="P15" s="53"/>
      <c r="Q15" s="53">
        <v>1690.14</v>
      </c>
      <c r="R15" s="53">
        <v>1690.14</v>
      </c>
      <c r="S15" s="53">
        <v>0</v>
      </c>
      <c r="T15" s="54"/>
      <c r="U15" s="53"/>
      <c r="V15" s="53">
        <v>1702.13</v>
      </c>
      <c r="W15" s="53">
        <v>1702.13</v>
      </c>
      <c r="X15" s="53">
        <v>0</v>
      </c>
      <c r="Y15" s="54"/>
    </row>
    <row r="16" spans="1:25" x14ac:dyDescent="0.2">
      <c r="A16" s="50" t="s">
        <v>115</v>
      </c>
      <c r="B16" s="51" t="s">
        <v>109</v>
      </c>
      <c r="C16" s="51"/>
      <c r="D16" s="52">
        <v>38614</v>
      </c>
      <c r="E16" s="51" t="s">
        <v>113</v>
      </c>
      <c r="F16" s="53"/>
      <c r="G16" s="53">
        <v>682.1</v>
      </c>
      <c r="H16" s="53">
        <v>682.1</v>
      </c>
      <c r="I16" s="53">
        <v>0</v>
      </c>
      <c r="J16" s="54"/>
      <c r="K16" s="53"/>
      <c r="L16" s="53">
        <v>683.81</v>
      </c>
      <c r="M16" s="53">
        <v>683.81</v>
      </c>
      <c r="N16" s="53">
        <v>0</v>
      </c>
      <c r="O16" s="54"/>
      <c r="P16" s="53"/>
      <c r="Q16" s="53">
        <v>719.05</v>
      </c>
      <c r="R16" s="53">
        <v>719.05</v>
      </c>
      <c r="S16" s="53">
        <v>0</v>
      </c>
      <c r="T16" s="54"/>
      <c r="U16" s="53"/>
      <c r="V16" s="53">
        <v>724.15</v>
      </c>
      <c r="W16" s="53">
        <v>724.15</v>
      </c>
      <c r="X16" s="53">
        <v>0</v>
      </c>
      <c r="Y16" s="54"/>
    </row>
    <row r="17" spans="1:25" x14ac:dyDescent="0.2">
      <c r="A17" s="50" t="s">
        <v>116</v>
      </c>
      <c r="B17" s="51" t="s">
        <v>65</v>
      </c>
      <c r="C17" s="51" t="s">
        <v>117</v>
      </c>
      <c r="D17" s="52">
        <v>18453</v>
      </c>
      <c r="E17" s="51" t="s">
        <v>118</v>
      </c>
      <c r="F17" s="53">
        <v>3206.56</v>
      </c>
      <c r="G17" s="53">
        <v>1603.28</v>
      </c>
      <c r="H17" s="53">
        <v>1603.28</v>
      </c>
      <c r="I17" s="53">
        <v>0</v>
      </c>
      <c r="J17" s="54">
        <v>0</v>
      </c>
      <c r="K17" s="53">
        <v>3214.6</v>
      </c>
      <c r="L17" s="53">
        <v>1607.3</v>
      </c>
      <c r="M17" s="53">
        <v>1607.3</v>
      </c>
      <c r="N17" s="53">
        <v>0</v>
      </c>
      <c r="O17" s="54">
        <v>0</v>
      </c>
      <c r="P17" s="53">
        <v>3380.28</v>
      </c>
      <c r="Q17" s="53">
        <v>1690.14</v>
      </c>
      <c r="R17" s="53">
        <v>1690.14</v>
      </c>
      <c r="S17" s="53">
        <v>0</v>
      </c>
      <c r="T17" s="54">
        <v>0</v>
      </c>
      <c r="U17" s="53">
        <v>3404.26</v>
      </c>
      <c r="V17" s="53">
        <v>1702.13</v>
      </c>
      <c r="W17" s="53">
        <v>1702.13</v>
      </c>
      <c r="X17" s="53">
        <v>0</v>
      </c>
      <c r="Y17" s="54">
        <v>0</v>
      </c>
    </row>
    <row r="18" spans="1:25" x14ac:dyDescent="0.2">
      <c r="A18" s="50" t="s">
        <v>119</v>
      </c>
      <c r="B18" s="51" t="s">
        <v>107</v>
      </c>
      <c r="C18" s="51"/>
      <c r="D18" s="52">
        <v>19761</v>
      </c>
      <c r="E18" s="51" t="s">
        <v>118</v>
      </c>
      <c r="F18" s="53"/>
      <c r="G18" s="53">
        <v>1603.28</v>
      </c>
      <c r="H18" s="53">
        <v>1603.28</v>
      </c>
      <c r="I18" s="53">
        <v>0</v>
      </c>
      <c r="J18" s="54"/>
      <c r="K18" s="53"/>
      <c r="L18" s="53">
        <v>1607.3</v>
      </c>
      <c r="M18" s="53">
        <v>1607.3</v>
      </c>
      <c r="N18" s="53">
        <v>0</v>
      </c>
      <c r="O18" s="54"/>
      <c r="P18" s="53"/>
      <c r="Q18" s="53">
        <v>1690.14</v>
      </c>
      <c r="R18" s="53">
        <v>1690.14</v>
      </c>
      <c r="S18" s="53">
        <v>0</v>
      </c>
      <c r="T18" s="54"/>
      <c r="U18" s="53"/>
      <c r="V18" s="53">
        <v>1702.13</v>
      </c>
      <c r="W18" s="53">
        <v>1702.13</v>
      </c>
      <c r="X18" s="53">
        <v>0</v>
      </c>
      <c r="Y18" s="54"/>
    </row>
    <row r="19" spans="1:25" x14ac:dyDescent="0.2">
      <c r="A19" s="50" t="s">
        <v>120</v>
      </c>
      <c r="B19" s="51" t="s">
        <v>65</v>
      </c>
      <c r="C19" s="51" t="s">
        <v>65</v>
      </c>
      <c r="D19" s="52">
        <v>35733</v>
      </c>
      <c r="E19" s="51" t="s">
        <v>121</v>
      </c>
      <c r="F19" s="53">
        <v>878.99</v>
      </c>
      <c r="G19" s="53">
        <v>878.99</v>
      </c>
      <c r="H19" s="53">
        <v>878.99</v>
      </c>
      <c r="I19" s="53">
        <v>0</v>
      </c>
      <c r="J19" s="54">
        <v>0</v>
      </c>
      <c r="K19" s="53">
        <v>881.19</v>
      </c>
      <c r="L19" s="53">
        <v>881.19</v>
      </c>
      <c r="M19" s="53">
        <v>881.19</v>
      </c>
      <c r="N19" s="53">
        <v>0</v>
      </c>
      <c r="O19" s="54">
        <v>0</v>
      </c>
      <c r="P19" s="53">
        <v>926.61</v>
      </c>
      <c r="Q19" s="53">
        <v>926.61</v>
      </c>
      <c r="R19" s="53">
        <v>926.61</v>
      </c>
      <c r="S19" s="53">
        <v>0</v>
      </c>
      <c r="T19" s="54">
        <v>0</v>
      </c>
      <c r="U19" s="53">
        <v>933.18</v>
      </c>
      <c r="V19" s="53">
        <v>933.18</v>
      </c>
      <c r="W19" s="53">
        <v>933.18</v>
      </c>
      <c r="X19" s="53">
        <v>0</v>
      </c>
      <c r="Y19" s="54">
        <v>0</v>
      </c>
    </row>
    <row r="20" spans="1:25" x14ac:dyDescent="0.2">
      <c r="A20" s="50" t="s">
        <v>122</v>
      </c>
      <c r="B20" s="51" t="s">
        <v>65</v>
      </c>
      <c r="C20" s="51" t="s">
        <v>104</v>
      </c>
      <c r="D20" s="52">
        <v>24958</v>
      </c>
      <c r="E20" s="51" t="s">
        <v>123</v>
      </c>
      <c r="F20" s="53">
        <v>4401.3</v>
      </c>
      <c r="G20" s="53">
        <v>1551.25</v>
      </c>
      <c r="H20" s="53">
        <v>1551.25</v>
      </c>
      <c r="I20" s="53">
        <v>0</v>
      </c>
      <c r="J20" s="54">
        <v>0</v>
      </c>
      <c r="K20" s="53">
        <v>4412.3100000000004</v>
      </c>
      <c r="L20" s="53">
        <v>1555.13</v>
      </c>
      <c r="M20" s="53">
        <v>1555.13</v>
      </c>
      <c r="N20" s="53">
        <v>0</v>
      </c>
      <c r="O20" s="54">
        <v>0</v>
      </c>
      <c r="P20" s="53">
        <v>4639.72</v>
      </c>
      <c r="Q20" s="53">
        <v>1635.28</v>
      </c>
      <c r="R20" s="53">
        <v>1635.28</v>
      </c>
      <c r="S20" s="53">
        <v>0</v>
      </c>
      <c r="T20" s="54">
        <v>0</v>
      </c>
      <c r="U20" s="53">
        <v>4672.63</v>
      </c>
      <c r="V20" s="53">
        <v>1646.88</v>
      </c>
      <c r="W20" s="53">
        <v>1646.88</v>
      </c>
      <c r="X20" s="53">
        <v>0</v>
      </c>
      <c r="Y20" s="54">
        <v>0</v>
      </c>
    </row>
    <row r="21" spans="1:25" x14ac:dyDescent="0.2">
      <c r="A21" s="50" t="s">
        <v>124</v>
      </c>
      <c r="B21" s="51" t="s">
        <v>107</v>
      </c>
      <c r="C21" s="51"/>
      <c r="D21" s="52">
        <v>25342</v>
      </c>
      <c r="E21" s="51" t="s">
        <v>123</v>
      </c>
      <c r="F21" s="53"/>
      <c r="G21" s="53">
        <v>1506.24</v>
      </c>
      <c r="H21" s="53">
        <v>1506.24</v>
      </c>
      <c r="I21" s="53">
        <v>0</v>
      </c>
      <c r="J21" s="54"/>
      <c r="K21" s="53"/>
      <c r="L21" s="53">
        <v>1510.01</v>
      </c>
      <c r="M21" s="53">
        <v>1510.01</v>
      </c>
      <c r="N21" s="53">
        <v>0</v>
      </c>
      <c r="O21" s="54"/>
      <c r="P21" s="53"/>
      <c r="Q21" s="53">
        <v>1587.84</v>
      </c>
      <c r="R21" s="53">
        <v>1587.84</v>
      </c>
      <c r="S21" s="53">
        <v>0</v>
      </c>
      <c r="T21" s="54"/>
      <c r="U21" s="53"/>
      <c r="V21" s="53">
        <v>1599.1</v>
      </c>
      <c r="W21" s="53">
        <v>1599.1</v>
      </c>
      <c r="X21" s="53">
        <v>0</v>
      </c>
      <c r="Y21" s="54"/>
    </row>
    <row r="22" spans="1:25" x14ac:dyDescent="0.2">
      <c r="A22" s="50" t="s">
        <v>125</v>
      </c>
      <c r="B22" s="51" t="s">
        <v>109</v>
      </c>
      <c r="C22" s="51"/>
      <c r="D22" s="52">
        <v>38632</v>
      </c>
      <c r="E22" s="51" t="s">
        <v>123</v>
      </c>
      <c r="F22" s="53"/>
      <c r="G22" s="53">
        <v>682.1</v>
      </c>
      <c r="H22" s="53">
        <v>682.1</v>
      </c>
      <c r="I22" s="53">
        <v>0</v>
      </c>
      <c r="J22" s="54"/>
      <c r="K22" s="53"/>
      <c r="L22" s="53">
        <v>683.81</v>
      </c>
      <c r="M22" s="53">
        <v>683.81</v>
      </c>
      <c r="N22" s="53">
        <v>0</v>
      </c>
      <c r="O22" s="54"/>
      <c r="P22" s="53"/>
      <c r="Q22" s="53">
        <v>719.05</v>
      </c>
      <c r="R22" s="53">
        <v>719.05</v>
      </c>
      <c r="S22" s="53">
        <v>0</v>
      </c>
      <c r="T22" s="54"/>
      <c r="U22" s="53"/>
      <c r="V22" s="53">
        <v>724.15</v>
      </c>
      <c r="W22" s="53">
        <v>724.15</v>
      </c>
      <c r="X22" s="53">
        <v>0</v>
      </c>
      <c r="Y22" s="54"/>
    </row>
    <row r="23" spans="1:25" x14ac:dyDescent="0.2">
      <c r="A23" s="50" t="s">
        <v>126</v>
      </c>
      <c r="B23" s="51" t="s">
        <v>109</v>
      </c>
      <c r="C23" s="51"/>
      <c r="D23" s="52">
        <v>39092</v>
      </c>
      <c r="E23" s="51" t="s">
        <v>123</v>
      </c>
      <c r="F23" s="53"/>
      <c r="G23" s="53">
        <v>661.71</v>
      </c>
      <c r="H23" s="53">
        <v>661.71</v>
      </c>
      <c r="I23" s="53">
        <v>0</v>
      </c>
      <c r="J23" s="54"/>
      <c r="K23" s="53"/>
      <c r="L23" s="53">
        <v>663.36</v>
      </c>
      <c r="M23" s="53">
        <v>663.36</v>
      </c>
      <c r="N23" s="53">
        <v>0</v>
      </c>
      <c r="O23" s="54"/>
      <c r="P23" s="53"/>
      <c r="Q23" s="53">
        <v>697.55</v>
      </c>
      <c r="R23" s="53">
        <v>697.55</v>
      </c>
      <c r="S23" s="53">
        <v>0</v>
      </c>
      <c r="T23" s="54"/>
      <c r="U23" s="53"/>
      <c r="V23" s="53">
        <v>702.5</v>
      </c>
      <c r="W23" s="53">
        <v>702.5</v>
      </c>
      <c r="X23" s="53">
        <v>0</v>
      </c>
      <c r="Y23" s="54"/>
    </row>
    <row r="24" spans="1:25" x14ac:dyDescent="0.2">
      <c r="A24" s="50" t="s">
        <v>127</v>
      </c>
      <c r="B24" s="51" t="s">
        <v>65</v>
      </c>
      <c r="C24" s="51" t="s">
        <v>117</v>
      </c>
      <c r="D24" s="52">
        <v>21309</v>
      </c>
      <c r="E24" s="51" t="s">
        <v>96</v>
      </c>
      <c r="F24" s="53">
        <v>3206.56</v>
      </c>
      <c r="G24" s="53">
        <v>1603.28</v>
      </c>
      <c r="H24" s="53">
        <v>1603.28</v>
      </c>
      <c r="I24" s="53">
        <v>0</v>
      </c>
      <c r="J24" s="54">
        <v>0</v>
      </c>
      <c r="K24" s="53">
        <v>3214.6</v>
      </c>
      <c r="L24" s="53">
        <v>1607.3</v>
      </c>
      <c r="M24" s="53">
        <v>1607.3</v>
      </c>
      <c r="N24" s="53">
        <v>0</v>
      </c>
      <c r="O24" s="54">
        <v>0</v>
      </c>
      <c r="P24" s="53">
        <v>3380.28</v>
      </c>
      <c r="Q24" s="53">
        <v>1690.14</v>
      </c>
      <c r="R24" s="53">
        <v>1690.14</v>
      </c>
      <c r="S24" s="53">
        <v>0</v>
      </c>
      <c r="T24" s="54">
        <v>0</v>
      </c>
      <c r="U24" s="53">
        <v>3404.26</v>
      </c>
      <c r="V24" s="53">
        <v>1702.13</v>
      </c>
      <c r="W24" s="53">
        <v>1702.13</v>
      </c>
      <c r="X24" s="53">
        <v>0</v>
      </c>
      <c r="Y24" s="54">
        <v>0</v>
      </c>
    </row>
    <row r="25" spans="1:25" x14ac:dyDescent="0.2">
      <c r="A25" s="50" t="s">
        <v>128</v>
      </c>
      <c r="B25" s="51" t="s">
        <v>107</v>
      </c>
      <c r="C25" s="51"/>
      <c r="D25" s="52">
        <v>23570</v>
      </c>
      <c r="E25" s="51" t="s">
        <v>96</v>
      </c>
      <c r="F25" s="53"/>
      <c r="G25" s="53">
        <v>1603.28</v>
      </c>
      <c r="H25" s="53">
        <v>1603.28</v>
      </c>
      <c r="I25" s="53">
        <v>0</v>
      </c>
      <c r="J25" s="54"/>
      <c r="K25" s="53"/>
      <c r="L25" s="53">
        <v>1607.3</v>
      </c>
      <c r="M25" s="53">
        <v>1607.3</v>
      </c>
      <c r="N25" s="53">
        <v>0</v>
      </c>
      <c r="O25" s="54"/>
      <c r="P25" s="53"/>
      <c r="Q25" s="53">
        <v>1690.14</v>
      </c>
      <c r="R25" s="53">
        <v>1690.14</v>
      </c>
      <c r="S25" s="53">
        <v>0</v>
      </c>
      <c r="T25" s="54"/>
      <c r="U25" s="53"/>
      <c r="V25" s="53">
        <v>1702.13</v>
      </c>
      <c r="W25" s="53">
        <v>1702.13</v>
      </c>
      <c r="X25" s="53">
        <v>0</v>
      </c>
      <c r="Y25" s="54"/>
    </row>
    <row r="26" spans="1:25" x14ac:dyDescent="0.2">
      <c r="A26" s="50" t="s">
        <v>129</v>
      </c>
      <c r="B26" s="51" t="s">
        <v>65</v>
      </c>
      <c r="C26" s="51" t="s">
        <v>65</v>
      </c>
      <c r="D26" s="52">
        <v>24147</v>
      </c>
      <c r="E26" s="51" t="s">
        <v>113</v>
      </c>
      <c r="F26" s="53">
        <v>1603.28</v>
      </c>
      <c r="G26" s="53">
        <v>1603.28</v>
      </c>
      <c r="H26" s="53">
        <v>1603.28</v>
      </c>
      <c r="I26" s="53">
        <v>0</v>
      </c>
      <c r="J26" s="54">
        <v>0</v>
      </c>
      <c r="K26" s="53">
        <v>1607.3</v>
      </c>
      <c r="L26" s="53">
        <v>1607.3</v>
      </c>
      <c r="M26" s="53">
        <v>1607.3</v>
      </c>
      <c r="N26" s="53">
        <v>0</v>
      </c>
      <c r="O26" s="54">
        <v>0</v>
      </c>
      <c r="P26" s="53">
        <v>1690.14</v>
      </c>
      <c r="Q26" s="53">
        <v>1690.14</v>
      </c>
      <c r="R26" s="53">
        <v>1690.14</v>
      </c>
      <c r="S26" s="53">
        <v>0</v>
      </c>
      <c r="T26" s="54">
        <v>0</v>
      </c>
      <c r="U26" s="53">
        <v>1702.13</v>
      </c>
      <c r="V26" s="53">
        <v>1702.13</v>
      </c>
      <c r="W26" s="53">
        <v>1702.13</v>
      </c>
      <c r="X26" s="53">
        <v>0</v>
      </c>
      <c r="Y26" s="54">
        <v>0</v>
      </c>
    </row>
    <row r="27" spans="1:25" x14ac:dyDescent="0.2">
      <c r="A27" s="50" t="s">
        <v>130</v>
      </c>
      <c r="B27" s="51" t="s">
        <v>65</v>
      </c>
      <c r="C27" s="51" t="s">
        <v>65</v>
      </c>
      <c r="D27" s="52">
        <v>25210</v>
      </c>
      <c r="E27" s="51" t="s">
        <v>131</v>
      </c>
      <c r="F27" s="53">
        <v>1506.24</v>
      </c>
      <c r="G27" s="53">
        <v>1506.24</v>
      </c>
      <c r="H27" s="53">
        <v>1506.24</v>
      </c>
      <c r="I27" s="53">
        <v>0</v>
      </c>
      <c r="J27" s="54">
        <v>0</v>
      </c>
      <c r="K27" s="53">
        <v>1510.01</v>
      </c>
      <c r="L27" s="53">
        <v>1510.01</v>
      </c>
      <c r="M27" s="53">
        <v>1510.01</v>
      </c>
      <c r="N27" s="53">
        <v>0</v>
      </c>
      <c r="O27" s="54">
        <v>0</v>
      </c>
      <c r="P27" s="53">
        <v>1587.84</v>
      </c>
      <c r="Q27" s="53">
        <v>1587.84</v>
      </c>
      <c r="R27" s="53">
        <v>1587.84</v>
      </c>
      <c r="S27" s="53">
        <v>0</v>
      </c>
      <c r="T27" s="54">
        <v>0</v>
      </c>
      <c r="U27" s="53">
        <v>1599.1</v>
      </c>
      <c r="V27" s="53">
        <v>1599.1</v>
      </c>
      <c r="W27" s="53">
        <v>1599.1</v>
      </c>
      <c r="X27" s="53">
        <v>0</v>
      </c>
      <c r="Y27" s="54">
        <v>0</v>
      </c>
    </row>
    <row r="28" spans="1:25" x14ac:dyDescent="0.2">
      <c r="A28" s="50" t="s">
        <v>132</v>
      </c>
      <c r="B28" s="51" t="s">
        <v>65</v>
      </c>
      <c r="C28" s="51" t="s">
        <v>65</v>
      </c>
      <c r="D28" s="52">
        <v>35103</v>
      </c>
      <c r="E28" s="51" t="s">
        <v>113</v>
      </c>
      <c r="F28" s="53">
        <v>905.01</v>
      </c>
      <c r="G28" s="53">
        <v>905.01</v>
      </c>
      <c r="H28" s="53">
        <v>905.01</v>
      </c>
      <c r="I28" s="53">
        <v>0</v>
      </c>
      <c r="J28" s="54">
        <v>0</v>
      </c>
      <c r="K28" s="53">
        <v>907.28</v>
      </c>
      <c r="L28" s="53">
        <v>907.28</v>
      </c>
      <c r="M28" s="53">
        <v>907.28</v>
      </c>
      <c r="N28" s="53">
        <v>0</v>
      </c>
      <c r="O28" s="54">
        <v>0</v>
      </c>
      <c r="P28" s="53">
        <v>954.04</v>
      </c>
      <c r="Q28" s="53">
        <v>954.04</v>
      </c>
      <c r="R28" s="53">
        <v>954.04</v>
      </c>
      <c r="S28" s="53">
        <v>0</v>
      </c>
      <c r="T28" s="54">
        <v>0</v>
      </c>
      <c r="U28" s="53">
        <v>960.81</v>
      </c>
      <c r="V28" s="53">
        <v>960.81</v>
      </c>
      <c r="W28" s="53">
        <v>960.81</v>
      </c>
      <c r="X28" s="53">
        <v>0</v>
      </c>
      <c r="Y28" s="54">
        <v>0</v>
      </c>
    </row>
    <row r="29" spans="1:25" x14ac:dyDescent="0.2">
      <c r="A29" s="50" t="s">
        <v>133</v>
      </c>
      <c r="B29" s="51" t="s">
        <v>65</v>
      </c>
      <c r="C29" s="51" t="s">
        <v>117</v>
      </c>
      <c r="D29" s="52">
        <v>27399</v>
      </c>
      <c r="E29" s="51" t="s">
        <v>113</v>
      </c>
      <c r="F29" s="53">
        <v>2322.65</v>
      </c>
      <c r="G29" s="53">
        <v>1260.1199999999999</v>
      </c>
      <c r="H29" s="53">
        <v>1260.1199999999999</v>
      </c>
      <c r="I29" s="53">
        <v>0</v>
      </c>
      <c r="J29" s="54">
        <v>0</v>
      </c>
      <c r="K29" s="53">
        <v>2328.4699999999998</v>
      </c>
      <c r="L29" s="53">
        <v>1263.28</v>
      </c>
      <c r="M29" s="53">
        <v>1263.28</v>
      </c>
      <c r="N29" s="53">
        <v>0</v>
      </c>
      <c r="O29" s="54">
        <v>0</v>
      </c>
      <c r="P29" s="53">
        <v>2448.48</v>
      </c>
      <c r="Q29" s="53">
        <v>1328.39</v>
      </c>
      <c r="R29" s="53">
        <v>1328.39</v>
      </c>
      <c r="S29" s="53">
        <v>0</v>
      </c>
      <c r="T29" s="54">
        <v>0</v>
      </c>
      <c r="U29" s="53">
        <v>2465.84</v>
      </c>
      <c r="V29" s="53">
        <v>1337.81</v>
      </c>
      <c r="W29" s="53">
        <v>1337.81</v>
      </c>
      <c r="X29" s="53">
        <v>0</v>
      </c>
      <c r="Y29" s="54">
        <v>0</v>
      </c>
    </row>
    <row r="30" spans="1:25" x14ac:dyDescent="0.2">
      <c r="A30" s="50" t="s">
        <v>134</v>
      </c>
      <c r="B30" s="51" t="s">
        <v>107</v>
      </c>
      <c r="C30" s="51"/>
      <c r="D30" s="52">
        <v>29502</v>
      </c>
      <c r="E30" s="51" t="s">
        <v>113</v>
      </c>
      <c r="F30" s="53"/>
      <c r="G30" s="53">
        <v>1062.53</v>
      </c>
      <c r="H30" s="53">
        <v>1062.53</v>
      </c>
      <c r="I30" s="53">
        <v>0</v>
      </c>
      <c r="J30" s="54"/>
      <c r="K30" s="53"/>
      <c r="L30" s="53">
        <v>1065.19</v>
      </c>
      <c r="M30" s="53">
        <v>1065.19</v>
      </c>
      <c r="N30" s="53">
        <v>0</v>
      </c>
      <c r="O30" s="54"/>
      <c r="P30" s="53"/>
      <c r="Q30" s="53">
        <v>1120.0899999999999</v>
      </c>
      <c r="R30" s="53">
        <v>1120.0899999999999</v>
      </c>
      <c r="S30" s="53">
        <v>0</v>
      </c>
      <c r="T30" s="54"/>
      <c r="U30" s="53"/>
      <c r="V30" s="53">
        <v>1128.03</v>
      </c>
      <c r="W30" s="53">
        <v>1128.03</v>
      </c>
      <c r="X30" s="53">
        <v>0</v>
      </c>
      <c r="Y30" s="54"/>
    </row>
    <row r="31" spans="1:25" x14ac:dyDescent="0.2">
      <c r="A31" s="50" t="s">
        <v>135</v>
      </c>
      <c r="B31" s="51" t="s">
        <v>65</v>
      </c>
      <c r="C31" s="51" t="s">
        <v>104</v>
      </c>
      <c r="D31" s="52">
        <v>24592</v>
      </c>
      <c r="E31" s="51" t="s">
        <v>111</v>
      </c>
      <c r="F31" s="53">
        <v>4085.55</v>
      </c>
      <c r="G31" s="53">
        <v>1603.28</v>
      </c>
      <c r="H31" s="53">
        <v>1603.28</v>
      </c>
      <c r="I31" s="53">
        <v>0</v>
      </c>
      <c r="J31" s="54">
        <v>0</v>
      </c>
      <c r="K31" s="53">
        <v>4095.79</v>
      </c>
      <c r="L31" s="53">
        <v>1607.3</v>
      </c>
      <c r="M31" s="53">
        <v>1607.3</v>
      </c>
      <c r="N31" s="53">
        <v>0</v>
      </c>
      <c r="O31" s="54">
        <v>0</v>
      </c>
      <c r="P31" s="53">
        <v>4306.8900000000003</v>
      </c>
      <c r="Q31" s="53">
        <v>1690.14</v>
      </c>
      <c r="R31" s="53">
        <v>1690.14</v>
      </c>
      <c r="S31" s="53">
        <v>0</v>
      </c>
      <c r="T31" s="54">
        <v>0</v>
      </c>
      <c r="U31" s="53">
        <v>4337.4399999999996</v>
      </c>
      <c r="V31" s="53">
        <v>1702.13</v>
      </c>
      <c r="W31" s="53">
        <v>1702.13</v>
      </c>
      <c r="X31" s="53">
        <v>0</v>
      </c>
      <c r="Y31" s="54">
        <v>0</v>
      </c>
    </row>
    <row r="32" spans="1:25" x14ac:dyDescent="0.2">
      <c r="A32" s="50" t="s">
        <v>136</v>
      </c>
      <c r="B32" s="51" t="s">
        <v>107</v>
      </c>
      <c r="C32" s="51"/>
      <c r="D32" s="52">
        <v>22616</v>
      </c>
      <c r="E32" s="51" t="s">
        <v>111</v>
      </c>
      <c r="F32" s="53"/>
      <c r="G32" s="53">
        <v>1603.28</v>
      </c>
      <c r="H32" s="53">
        <v>1603.28</v>
      </c>
      <c r="I32" s="53">
        <v>0</v>
      </c>
      <c r="J32" s="54"/>
      <c r="K32" s="53"/>
      <c r="L32" s="53">
        <v>1607.3</v>
      </c>
      <c r="M32" s="53">
        <v>1607.3</v>
      </c>
      <c r="N32" s="53">
        <v>0</v>
      </c>
      <c r="O32" s="54"/>
      <c r="P32" s="53"/>
      <c r="Q32" s="53">
        <v>1690.14</v>
      </c>
      <c r="R32" s="53">
        <v>1690.14</v>
      </c>
      <c r="S32" s="53">
        <v>0</v>
      </c>
      <c r="T32" s="54"/>
      <c r="U32" s="53"/>
      <c r="V32" s="53">
        <v>1702.13</v>
      </c>
      <c r="W32" s="53">
        <v>1702.13</v>
      </c>
      <c r="X32" s="53">
        <v>0</v>
      </c>
      <c r="Y32" s="54"/>
    </row>
    <row r="33" spans="1:25" x14ac:dyDescent="0.2">
      <c r="A33" s="50" t="s">
        <v>137</v>
      </c>
      <c r="B33" s="51" t="s">
        <v>109</v>
      </c>
      <c r="C33" s="51"/>
      <c r="D33" s="52">
        <v>37842</v>
      </c>
      <c r="E33" s="51" t="s">
        <v>111</v>
      </c>
      <c r="F33" s="53"/>
      <c r="G33" s="53">
        <v>878.99</v>
      </c>
      <c r="H33" s="53">
        <v>878.99</v>
      </c>
      <c r="I33" s="53">
        <v>0</v>
      </c>
      <c r="J33" s="54"/>
      <c r="K33" s="53"/>
      <c r="L33" s="53">
        <v>881.19</v>
      </c>
      <c r="M33" s="53">
        <v>881.19</v>
      </c>
      <c r="N33" s="53">
        <v>0</v>
      </c>
      <c r="O33" s="54"/>
      <c r="P33" s="53"/>
      <c r="Q33" s="53">
        <v>926.61</v>
      </c>
      <c r="R33" s="53">
        <v>926.61</v>
      </c>
      <c r="S33" s="53">
        <v>0</v>
      </c>
      <c r="T33" s="54"/>
      <c r="U33" s="53"/>
      <c r="V33" s="53">
        <v>933.18</v>
      </c>
      <c r="W33" s="53">
        <v>933.18</v>
      </c>
      <c r="X33" s="53">
        <v>0</v>
      </c>
      <c r="Y33" s="54"/>
    </row>
    <row r="34" spans="1:25" x14ac:dyDescent="0.2">
      <c r="A34" s="50" t="s">
        <v>138</v>
      </c>
      <c r="B34" s="51" t="s">
        <v>65</v>
      </c>
      <c r="C34" s="51" t="s">
        <v>65</v>
      </c>
      <c r="D34" s="52">
        <v>35401</v>
      </c>
      <c r="E34" s="51" t="s">
        <v>113</v>
      </c>
      <c r="F34" s="53">
        <v>896.57</v>
      </c>
      <c r="G34" s="53">
        <v>896.57</v>
      </c>
      <c r="H34" s="53">
        <v>896.57</v>
      </c>
      <c r="I34" s="53">
        <v>0</v>
      </c>
      <c r="J34" s="54">
        <v>0</v>
      </c>
      <c r="K34" s="53">
        <v>898.82</v>
      </c>
      <c r="L34" s="53">
        <v>898.82</v>
      </c>
      <c r="M34" s="53">
        <v>898.82</v>
      </c>
      <c r="N34" s="53">
        <v>0</v>
      </c>
      <c r="O34" s="54">
        <v>0</v>
      </c>
      <c r="P34" s="53">
        <v>945.14</v>
      </c>
      <c r="Q34" s="53">
        <v>945.14</v>
      </c>
      <c r="R34" s="53">
        <v>945.14</v>
      </c>
      <c r="S34" s="53">
        <v>0</v>
      </c>
      <c r="T34" s="54">
        <v>0</v>
      </c>
      <c r="U34" s="53">
        <v>951.85</v>
      </c>
      <c r="V34" s="53">
        <v>951.85</v>
      </c>
      <c r="W34" s="53">
        <v>951.85</v>
      </c>
      <c r="X34" s="53">
        <v>0</v>
      </c>
      <c r="Y34" s="54">
        <v>0</v>
      </c>
    </row>
    <row r="35" spans="1:25" x14ac:dyDescent="0.2">
      <c r="A35" s="50" t="s">
        <v>139</v>
      </c>
      <c r="B35" s="51" t="s">
        <v>65</v>
      </c>
      <c r="C35" s="51" t="s">
        <v>65</v>
      </c>
      <c r="D35" s="52">
        <v>35453</v>
      </c>
      <c r="E35" s="51" t="s">
        <v>113</v>
      </c>
      <c r="F35" s="53">
        <v>896.57</v>
      </c>
      <c r="G35" s="53">
        <v>896.57</v>
      </c>
      <c r="H35" s="53">
        <v>896.57</v>
      </c>
      <c r="I35" s="53">
        <v>0</v>
      </c>
      <c r="J35" s="54">
        <v>0</v>
      </c>
      <c r="K35" s="53">
        <v>898.82</v>
      </c>
      <c r="L35" s="53">
        <v>898.82</v>
      </c>
      <c r="M35" s="53">
        <v>898.82</v>
      </c>
      <c r="N35" s="53">
        <v>0</v>
      </c>
      <c r="O35" s="54">
        <v>0</v>
      </c>
      <c r="P35" s="53">
        <v>945.14</v>
      </c>
      <c r="Q35" s="53">
        <v>945.14</v>
      </c>
      <c r="R35" s="53">
        <v>945.14</v>
      </c>
      <c r="S35" s="53">
        <v>0</v>
      </c>
      <c r="T35" s="54">
        <v>0</v>
      </c>
      <c r="U35" s="53">
        <v>951.85</v>
      </c>
      <c r="V35" s="53">
        <v>951.85</v>
      </c>
      <c r="W35" s="53">
        <v>951.85</v>
      </c>
      <c r="X35" s="53">
        <v>0</v>
      </c>
      <c r="Y35" s="54">
        <v>0</v>
      </c>
    </row>
    <row r="36" spans="1:25" x14ac:dyDescent="0.2">
      <c r="A36" s="50" t="s">
        <v>140</v>
      </c>
      <c r="B36" s="51" t="s">
        <v>65</v>
      </c>
      <c r="C36" s="51" t="s">
        <v>65</v>
      </c>
      <c r="D36" s="52">
        <v>34864</v>
      </c>
      <c r="E36" s="51" t="s">
        <v>118</v>
      </c>
      <c r="F36" s="53">
        <v>905.01</v>
      </c>
      <c r="G36" s="53">
        <v>905.01</v>
      </c>
      <c r="H36" s="53">
        <v>905.01</v>
      </c>
      <c r="I36" s="53">
        <v>0</v>
      </c>
      <c r="J36" s="54">
        <v>0</v>
      </c>
      <c r="K36" s="53">
        <v>907.28</v>
      </c>
      <c r="L36" s="53">
        <v>907.28</v>
      </c>
      <c r="M36" s="53">
        <v>907.28</v>
      </c>
      <c r="N36" s="53">
        <v>0</v>
      </c>
      <c r="O36" s="54">
        <v>0</v>
      </c>
      <c r="P36" s="53">
        <v>954.04</v>
      </c>
      <c r="Q36" s="53">
        <v>954.04</v>
      </c>
      <c r="R36" s="53">
        <v>954.04</v>
      </c>
      <c r="S36" s="53">
        <v>0</v>
      </c>
      <c r="T36" s="54">
        <v>0</v>
      </c>
      <c r="U36" s="53">
        <v>960.81</v>
      </c>
      <c r="V36" s="53">
        <v>960.81</v>
      </c>
      <c r="W36" s="53">
        <v>960.81</v>
      </c>
      <c r="X36" s="53">
        <v>0</v>
      </c>
      <c r="Y36" s="54">
        <v>0</v>
      </c>
    </row>
    <row r="37" spans="1:25" x14ac:dyDescent="0.2">
      <c r="A37" s="50" t="s">
        <v>141</v>
      </c>
      <c r="B37" s="51" t="s">
        <v>65</v>
      </c>
      <c r="C37" s="51" t="s">
        <v>104</v>
      </c>
      <c r="D37" s="52">
        <v>26666</v>
      </c>
      <c r="E37" s="51" t="s">
        <v>118</v>
      </c>
      <c r="F37" s="53">
        <v>4018.76</v>
      </c>
      <c r="G37" s="53">
        <v>1337.48</v>
      </c>
      <c r="H37" s="53">
        <v>1337.48</v>
      </c>
      <c r="I37" s="53">
        <v>0</v>
      </c>
      <c r="J37" s="54">
        <v>0</v>
      </c>
      <c r="K37" s="53">
        <v>4028.82</v>
      </c>
      <c r="L37" s="53">
        <v>1340.83</v>
      </c>
      <c r="M37" s="53">
        <v>1340.83</v>
      </c>
      <c r="N37" s="53">
        <v>0</v>
      </c>
      <c r="O37" s="54">
        <v>0</v>
      </c>
      <c r="P37" s="53">
        <v>4236.46</v>
      </c>
      <c r="Q37" s="53">
        <v>1409.93</v>
      </c>
      <c r="R37" s="53">
        <v>1409.93</v>
      </c>
      <c r="S37" s="53">
        <v>0</v>
      </c>
      <c r="T37" s="54">
        <v>0</v>
      </c>
      <c r="U37" s="53">
        <v>4266.51</v>
      </c>
      <c r="V37" s="53">
        <v>1419.93</v>
      </c>
      <c r="W37" s="53">
        <v>1419.93</v>
      </c>
      <c r="X37" s="53">
        <v>0</v>
      </c>
      <c r="Y37" s="54">
        <v>0</v>
      </c>
    </row>
    <row r="38" spans="1:25" x14ac:dyDescent="0.2">
      <c r="A38" s="50" t="s">
        <v>142</v>
      </c>
      <c r="B38" s="51" t="s">
        <v>107</v>
      </c>
      <c r="C38" s="51"/>
      <c r="D38" s="52">
        <v>28717</v>
      </c>
      <c r="E38" s="51" t="s">
        <v>118</v>
      </c>
      <c r="F38" s="53"/>
      <c r="G38" s="53">
        <v>1120.19</v>
      </c>
      <c r="H38" s="53">
        <v>1120.19</v>
      </c>
      <c r="I38" s="53">
        <v>0</v>
      </c>
      <c r="J38" s="54"/>
      <c r="K38" s="53"/>
      <c r="L38" s="53">
        <v>1122.99</v>
      </c>
      <c r="M38" s="53">
        <v>1122.99</v>
      </c>
      <c r="N38" s="53">
        <v>0</v>
      </c>
      <c r="O38" s="54"/>
      <c r="P38" s="53"/>
      <c r="Q38" s="53">
        <v>1180.8699999999999</v>
      </c>
      <c r="R38" s="53">
        <v>1180.8699999999999</v>
      </c>
      <c r="S38" s="53">
        <v>0</v>
      </c>
      <c r="T38" s="54"/>
      <c r="U38" s="53"/>
      <c r="V38" s="53">
        <v>1189.25</v>
      </c>
      <c r="W38" s="53">
        <v>1189.25</v>
      </c>
      <c r="X38" s="53">
        <v>0</v>
      </c>
      <c r="Y38" s="54"/>
    </row>
    <row r="39" spans="1:25" x14ac:dyDescent="0.2">
      <c r="A39" s="50" t="s">
        <v>143</v>
      </c>
      <c r="B39" s="51" t="s">
        <v>109</v>
      </c>
      <c r="C39" s="51"/>
      <c r="D39" s="52">
        <v>37384</v>
      </c>
      <c r="E39" s="51" t="s">
        <v>118</v>
      </c>
      <c r="F39" s="53"/>
      <c r="G39" s="53">
        <v>878.99</v>
      </c>
      <c r="H39" s="53">
        <v>878.99</v>
      </c>
      <c r="I39" s="53">
        <v>0</v>
      </c>
      <c r="J39" s="54"/>
      <c r="K39" s="53"/>
      <c r="L39" s="53">
        <v>881.19</v>
      </c>
      <c r="M39" s="53">
        <v>881.19</v>
      </c>
      <c r="N39" s="53">
        <v>0</v>
      </c>
      <c r="O39" s="54"/>
      <c r="P39" s="53"/>
      <c r="Q39" s="53">
        <v>926.61</v>
      </c>
      <c r="R39" s="53">
        <v>926.61</v>
      </c>
      <c r="S39" s="53">
        <v>0</v>
      </c>
      <c r="T39" s="54"/>
      <c r="U39" s="53"/>
      <c r="V39" s="53">
        <v>933.18</v>
      </c>
      <c r="W39" s="53">
        <v>933.18</v>
      </c>
      <c r="X39" s="53">
        <v>0</v>
      </c>
      <c r="Y39" s="54"/>
    </row>
    <row r="40" spans="1:25" x14ac:dyDescent="0.2">
      <c r="A40" s="50" t="s">
        <v>144</v>
      </c>
      <c r="B40" s="51" t="s">
        <v>109</v>
      </c>
      <c r="C40" s="51"/>
      <c r="D40" s="52">
        <v>38688</v>
      </c>
      <c r="E40" s="51" t="s">
        <v>118</v>
      </c>
      <c r="F40" s="53"/>
      <c r="G40" s="53">
        <v>682.1</v>
      </c>
      <c r="H40" s="53">
        <v>682.1</v>
      </c>
      <c r="I40" s="53">
        <v>0</v>
      </c>
      <c r="J40" s="54"/>
      <c r="K40" s="53"/>
      <c r="L40" s="53">
        <v>683.81</v>
      </c>
      <c r="M40" s="53">
        <v>683.81</v>
      </c>
      <c r="N40" s="53">
        <v>0</v>
      </c>
      <c r="O40" s="54"/>
      <c r="P40" s="53"/>
      <c r="Q40" s="53">
        <v>719.05</v>
      </c>
      <c r="R40" s="53">
        <v>719.05</v>
      </c>
      <c r="S40" s="53">
        <v>0</v>
      </c>
      <c r="T40" s="54"/>
      <c r="U40" s="53"/>
      <c r="V40" s="53">
        <v>724.15</v>
      </c>
      <c r="W40" s="53">
        <v>724.15</v>
      </c>
      <c r="X40" s="53">
        <v>0</v>
      </c>
      <c r="Y40" s="54"/>
    </row>
    <row r="41" spans="1:25" x14ac:dyDescent="0.2">
      <c r="A41" s="50" t="s">
        <v>145</v>
      </c>
      <c r="B41" s="51" t="s">
        <v>65</v>
      </c>
      <c r="C41" s="51" t="s">
        <v>65</v>
      </c>
      <c r="D41" s="52">
        <v>36146</v>
      </c>
      <c r="E41" s="51" t="s">
        <v>111</v>
      </c>
      <c r="F41" s="53">
        <v>878.99</v>
      </c>
      <c r="G41" s="53">
        <v>878.99</v>
      </c>
      <c r="H41" s="53">
        <v>878.99</v>
      </c>
      <c r="I41" s="53">
        <v>0</v>
      </c>
      <c r="J41" s="54">
        <v>0</v>
      </c>
      <c r="K41" s="53">
        <v>881.19</v>
      </c>
      <c r="L41" s="53">
        <v>881.19</v>
      </c>
      <c r="M41" s="53">
        <v>881.19</v>
      </c>
      <c r="N41" s="53">
        <v>0</v>
      </c>
      <c r="O41" s="54">
        <v>0</v>
      </c>
      <c r="P41" s="53">
        <v>926.61</v>
      </c>
      <c r="Q41" s="53">
        <v>926.61</v>
      </c>
      <c r="R41" s="53">
        <v>926.61</v>
      </c>
      <c r="S41" s="53">
        <v>0</v>
      </c>
      <c r="T41" s="54">
        <v>0</v>
      </c>
      <c r="U41" s="53">
        <v>933.18</v>
      </c>
      <c r="V41" s="53">
        <v>933.18</v>
      </c>
      <c r="W41" s="53">
        <v>933.18</v>
      </c>
      <c r="X41" s="53">
        <v>0</v>
      </c>
      <c r="Y41" s="54">
        <v>0</v>
      </c>
    </row>
    <row r="42" spans="1:25" x14ac:dyDescent="0.2">
      <c r="A42" s="50" t="s">
        <v>146</v>
      </c>
      <c r="B42" s="51" t="s">
        <v>65</v>
      </c>
      <c r="C42" s="51" t="s">
        <v>65</v>
      </c>
      <c r="D42" s="52">
        <v>35249</v>
      </c>
      <c r="E42" s="51" t="s">
        <v>147</v>
      </c>
      <c r="F42" s="53">
        <v>896.57</v>
      </c>
      <c r="G42" s="53">
        <v>896.57</v>
      </c>
      <c r="H42" s="53">
        <v>896.57</v>
      </c>
      <c r="I42" s="53">
        <v>0</v>
      </c>
      <c r="J42" s="54">
        <v>0</v>
      </c>
      <c r="K42" s="53">
        <v>898.82</v>
      </c>
      <c r="L42" s="53">
        <v>898.82</v>
      </c>
      <c r="M42" s="53">
        <v>898.82</v>
      </c>
      <c r="N42" s="53">
        <v>0</v>
      </c>
      <c r="O42" s="54">
        <v>0</v>
      </c>
      <c r="P42" s="53">
        <v>945.14</v>
      </c>
      <c r="Q42" s="53">
        <v>945.14</v>
      </c>
      <c r="R42" s="53">
        <v>945.14</v>
      </c>
      <c r="S42" s="53">
        <v>0</v>
      </c>
      <c r="T42" s="54">
        <v>0</v>
      </c>
      <c r="U42" s="53">
        <v>951.85</v>
      </c>
      <c r="V42" s="53">
        <v>951.85</v>
      </c>
      <c r="W42" s="53">
        <v>951.85</v>
      </c>
      <c r="X42" s="53">
        <v>0</v>
      </c>
      <c r="Y42" s="54">
        <v>0</v>
      </c>
    </row>
    <row r="43" spans="1:25" ht="16.149999999999999" customHeight="1" x14ac:dyDescent="0.2">
      <c r="A43" s="226" t="s">
        <v>81</v>
      </c>
      <c r="B43" s="227"/>
      <c r="C43" s="227"/>
      <c r="D43" s="227"/>
      <c r="E43" s="227"/>
      <c r="F43" s="211" t="s">
        <v>187</v>
      </c>
      <c r="G43" s="212"/>
      <c r="H43" s="212"/>
      <c r="I43" s="212"/>
      <c r="J43" s="213"/>
      <c r="K43" s="211" t="s">
        <v>189</v>
      </c>
      <c r="L43" s="212"/>
      <c r="M43" s="212"/>
      <c r="N43" s="212"/>
      <c r="O43" s="213"/>
      <c r="P43" s="211" t="s">
        <v>191</v>
      </c>
      <c r="Q43" s="212"/>
      <c r="R43" s="212"/>
      <c r="S43" s="212"/>
      <c r="T43" s="213"/>
      <c r="U43" s="211" t="s">
        <v>193</v>
      </c>
      <c r="V43" s="212"/>
      <c r="W43" s="212"/>
      <c r="X43" s="212"/>
      <c r="Y43" s="213"/>
    </row>
    <row r="44" spans="1:25" ht="13.9" customHeight="1" x14ac:dyDescent="0.2">
      <c r="A44" s="228" t="s">
        <v>82</v>
      </c>
      <c r="B44" s="229"/>
      <c r="C44" s="229"/>
      <c r="D44" s="229"/>
      <c r="E44" s="229"/>
      <c r="F44" s="214">
        <v>10090.129999999999</v>
      </c>
      <c r="G44" s="215"/>
      <c r="H44" s="215"/>
      <c r="I44" s="215"/>
      <c r="J44" s="216"/>
      <c r="K44" s="214">
        <v>10115.4</v>
      </c>
      <c r="L44" s="215"/>
      <c r="M44" s="215"/>
      <c r="N44" s="215"/>
      <c r="O44" s="216"/>
      <c r="P44" s="214">
        <v>10636.75</v>
      </c>
      <c r="Q44" s="215"/>
      <c r="R44" s="215"/>
      <c r="S44" s="215"/>
      <c r="T44" s="216"/>
      <c r="U44" s="214">
        <v>10712.2</v>
      </c>
      <c r="V44" s="215"/>
      <c r="W44" s="215"/>
      <c r="X44" s="215"/>
      <c r="Y44" s="216"/>
    </row>
    <row r="45" spans="1:25" ht="13.9" customHeight="1" x14ac:dyDescent="0.2">
      <c r="A45" s="230" t="s">
        <v>83</v>
      </c>
      <c r="B45" s="231"/>
      <c r="C45" s="231"/>
      <c r="D45" s="231"/>
      <c r="E45" s="231"/>
      <c r="F45" s="208">
        <f>F44*12</f>
        <v>121081.56</v>
      </c>
      <c r="G45" s="209"/>
      <c r="H45" s="209"/>
      <c r="I45" s="209"/>
      <c r="J45" s="210"/>
      <c r="K45" s="208">
        <f>K44*12</f>
        <v>121384.79999999999</v>
      </c>
      <c r="L45" s="209"/>
      <c r="M45" s="209"/>
      <c r="N45" s="209"/>
      <c r="O45" s="210"/>
      <c r="P45" s="208">
        <f>P44*12</f>
        <v>127641</v>
      </c>
      <c r="Q45" s="209"/>
      <c r="R45" s="209"/>
      <c r="S45" s="209"/>
      <c r="T45" s="210"/>
      <c r="U45" s="208">
        <f>U44*12</f>
        <v>128546.40000000001</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4F00-000000000000}"/>
    <hyperlink ref="F46" r:id="rId2" xr:uid="{00000000-0004-0000-4F00-000001000000}"/>
    <hyperlink ref="K7" r:id="rId3" xr:uid="{00000000-0004-0000-4F00-000002000000}"/>
    <hyperlink ref="K46" r:id="rId4" xr:uid="{00000000-0004-0000-4F00-000003000000}"/>
    <hyperlink ref="P7" r:id="rId5" xr:uid="{00000000-0004-0000-4F00-000004000000}"/>
    <hyperlink ref="P46" r:id="rId6" xr:uid="{00000000-0004-0000-4F00-000005000000}"/>
    <hyperlink ref="U7" r:id="rId7" xr:uid="{00000000-0004-0000-4F00-000006000000}"/>
    <hyperlink ref="U46" r:id="rId8" xr:uid="{00000000-0004-0000-4F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E0C2-DCB7-4F0A-B937-CCCD6F889F02}">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167</v>
      </c>
      <c r="L5" s="118"/>
      <c r="M5" s="118"/>
      <c r="N5" s="118"/>
      <c r="O5" s="120"/>
      <c r="P5" s="117" t="s">
        <v>101</v>
      </c>
      <c r="Q5" s="118"/>
      <c r="R5" s="118"/>
      <c r="S5" s="118"/>
      <c r="T5" s="120"/>
      <c r="U5" s="117" t="s">
        <v>172</v>
      </c>
      <c r="V5" s="118"/>
      <c r="W5" s="118"/>
      <c r="X5" s="118"/>
      <c r="Y5" s="120"/>
    </row>
    <row r="6" spans="1:25" x14ac:dyDescent="0.2">
      <c r="A6" s="247"/>
      <c r="B6" s="248"/>
      <c r="C6" s="248"/>
      <c r="D6" s="248"/>
      <c r="E6" s="248"/>
      <c r="F6" s="121" t="s">
        <v>194</v>
      </c>
      <c r="G6" s="122"/>
      <c r="H6" s="122"/>
      <c r="I6" s="122"/>
      <c r="J6" s="124"/>
      <c r="K6" s="121" t="s">
        <v>196</v>
      </c>
      <c r="L6" s="122"/>
      <c r="M6" s="122"/>
      <c r="N6" s="122"/>
      <c r="O6" s="124"/>
      <c r="P6" s="121" t="s">
        <v>198</v>
      </c>
      <c r="Q6" s="122"/>
      <c r="R6" s="122"/>
      <c r="S6" s="122"/>
      <c r="T6" s="124"/>
      <c r="U6" s="121" t="s">
        <v>200</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195</v>
      </c>
      <c r="G8" s="233"/>
      <c r="H8" s="233"/>
      <c r="I8" s="233"/>
      <c r="J8" s="234"/>
      <c r="K8" s="232" t="s">
        <v>197</v>
      </c>
      <c r="L8" s="233"/>
      <c r="M8" s="233"/>
      <c r="N8" s="233"/>
      <c r="O8" s="234"/>
      <c r="P8" s="232" t="s">
        <v>199</v>
      </c>
      <c r="Q8" s="233"/>
      <c r="R8" s="233"/>
      <c r="S8" s="233"/>
      <c r="T8" s="234"/>
      <c r="U8" s="232" t="s">
        <v>201</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3797.58</v>
      </c>
      <c r="G10" s="53">
        <v>1734.82</v>
      </c>
      <c r="H10" s="53">
        <v>1734.82</v>
      </c>
      <c r="I10" s="53">
        <v>0</v>
      </c>
      <c r="J10" s="54">
        <v>0</v>
      </c>
      <c r="K10" s="53">
        <v>3874.92</v>
      </c>
      <c r="L10" s="53">
        <v>1770.15</v>
      </c>
      <c r="M10" s="53">
        <v>1770.15</v>
      </c>
      <c r="N10" s="53">
        <v>0</v>
      </c>
      <c r="O10" s="54">
        <v>0</v>
      </c>
      <c r="P10" s="53">
        <v>3939.11</v>
      </c>
      <c r="Q10" s="53">
        <v>1799.47</v>
      </c>
      <c r="R10" s="53">
        <v>1799.47</v>
      </c>
      <c r="S10" s="53">
        <v>0</v>
      </c>
      <c r="T10" s="54">
        <v>0</v>
      </c>
      <c r="U10" s="53">
        <v>4080.67</v>
      </c>
      <c r="V10" s="53">
        <v>1864.14</v>
      </c>
      <c r="W10" s="53">
        <v>1864.14</v>
      </c>
      <c r="X10" s="53">
        <v>0</v>
      </c>
      <c r="Y10" s="54">
        <v>0</v>
      </c>
    </row>
    <row r="11" spans="1:25" x14ac:dyDescent="0.2">
      <c r="A11" s="50" t="s">
        <v>106</v>
      </c>
      <c r="B11" s="51" t="s">
        <v>107</v>
      </c>
      <c r="C11" s="51"/>
      <c r="D11" s="52">
        <v>27837</v>
      </c>
      <c r="E11" s="51" t="s">
        <v>105</v>
      </c>
      <c r="F11" s="53"/>
      <c r="G11" s="53">
        <v>1324.7</v>
      </c>
      <c r="H11" s="53">
        <v>1324.7</v>
      </c>
      <c r="I11" s="53">
        <v>0</v>
      </c>
      <c r="J11" s="54"/>
      <c r="K11" s="53"/>
      <c r="L11" s="53">
        <v>1351.68</v>
      </c>
      <c r="M11" s="53">
        <v>1351.68</v>
      </c>
      <c r="N11" s="53">
        <v>0</v>
      </c>
      <c r="O11" s="54"/>
      <c r="P11" s="53"/>
      <c r="Q11" s="53">
        <v>1374.07</v>
      </c>
      <c r="R11" s="53">
        <v>1374.07</v>
      </c>
      <c r="S11" s="53">
        <v>0</v>
      </c>
      <c r="T11" s="54"/>
      <c r="U11" s="53"/>
      <c r="V11" s="53">
        <v>1423.45</v>
      </c>
      <c r="W11" s="53">
        <v>1423.45</v>
      </c>
      <c r="X11" s="53">
        <v>0</v>
      </c>
      <c r="Y11" s="54"/>
    </row>
    <row r="12" spans="1:25" x14ac:dyDescent="0.2">
      <c r="A12" s="50" t="s">
        <v>108</v>
      </c>
      <c r="B12" s="51" t="s">
        <v>109</v>
      </c>
      <c r="C12" s="51"/>
      <c r="D12" s="52">
        <v>38648</v>
      </c>
      <c r="E12" s="51" t="s">
        <v>105</v>
      </c>
      <c r="F12" s="53"/>
      <c r="G12" s="53">
        <v>738.06</v>
      </c>
      <c r="H12" s="53">
        <v>738.06</v>
      </c>
      <c r="I12" s="53">
        <v>0</v>
      </c>
      <c r="J12" s="54"/>
      <c r="K12" s="53"/>
      <c r="L12" s="53">
        <v>753.09</v>
      </c>
      <c r="M12" s="53">
        <v>753.09</v>
      </c>
      <c r="N12" s="53">
        <v>0</v>
      </c>
      <c r="O12" s="54"/>
      <c r="P12" s="53"/>
      <c r="Q12" s="53">
        <v>765.57</v>
      </c>
      <c r="R12" s="53">
        <v>765.57</v>
      </c>
      <c r="S12" s="53">
        <v>0</v>
      </c>
      <c r="T12" s="54"/>
      <c r="U12" s="53"/>
      <c r="V12" s="53">
        <v>793.08</v>
      </c>
      <c r="W12" s="53">
        <v>793.08</v>
      </c>
      <c r="X12" s="53">
        <v>0</v>
      </c>
      <c r="Y12" s="54"/>
    </row>
    <row r="13" spans="1:25" x14ac:dyDescent="0.2">
      <c r="A13" s="50" t="s">
        <v>110</v>
      </c>
      <c r="B13" s="51" t="s">
        <v>65</v>
      </c>
      <c r="C13" s="51" t="s">
        <v>65</v>
      </c>
      <c r="D13" s="52">
        <v>36345</v>
      </c>
      <c r="E13" s="51" t="s">
        <v>111</v>
      </c>
      <c r="F13" s="53">
        <v>951.11</v>
      </c>
      <c r="G13" s="53">
        <v>951.11</v>
      </c>
      <c r="H13" s="53">
        <v>951.11</v>
      </c>
      <c r="I13" s="53">
        <v>0</v>
      </c>
      <c r="J13" s="54">
        <v>0</v>
      </c>
      <c r="K13" s="53">
        <v>970.48</v>
      </c>
      <c r="L13" s="53">
        <v>970.48</v>
      </c>
      <c r="M13" s="53">
        <v>970.48</v>
      </c>
      <c r="N13" s="53">
        <v>0</v>
      </c>
      <c r="O13" s="54">
        <v>0</v>
      </c>
      <c r="P13" s="53">
        <v>986.55</v>
      </c>
      <c r="Q13" s="53">
        <v>986.55</v>
      </c>
      <c r="R13" s="53">
        <v>986.55</v>
      </c>
      <c r="S13" s="53">
        <v>0</v>
      </c>
      <c r="T13" s="54">
        <v>0</v>
      </c>
      <c r="U13" s="53">
        <v>1022.01</v>
      </c>
      <c r="V13" s="53">
        <v>1022.01</v>
      </c>
      <c r="W13" s="53">
        <v>1022.01</v>
      </c>
      <c r="X13" s="53">
        <v>0</v>
      </c>
      <c r="Y13" s="54">
        <v>0</v>
      </c>
    </row>
    <row r="14" spans="1:25" x14ac:dyDescent="0.2">
      <c r="A14" s="50" t="s">
        <v>112</v>
      </c>
      <c r="B14" s="51" t="s">
        <v>65</v>
      </c>
      <c r="C14" s="51" t="s">
        <v>104</v>
      </c>
      <c r="D14" s="52">
        <v>24895</v>
      </c>
      <c r="E14" s="51" t="s">
        <v>113</v>
      </c>
      <c r="F14" s="53">
        <v>4151.3900000000003</v>
      </c>
      <c r="G14" s="53">
        <v>1678.51</v>
      </c>
      <c r="H14" s="53">
        <v>1678.51</v>
      </c>
      <c r="I14" s="53">
        <v>0</v>
      </c>
      <c r="J14" s="54">
        <v>0</v>
      </c>
      <c r="K14" s="53">
        <v>4235.9399999999996</v>
      </c>
      <c r="L14" s="53">
        <v>1712.7</v>
      </c>
      <c r="M14" s="53">
        <v>1712.7</v>
      </c>
      <c r="N14" s="53">
        <v>0</v>
      </c>
      <c r="O14" s="54">
        <v>0</v>
      </c>
      <c r="P14" s="53">
        <v>4306.1099999999997</v>
      </c>
      <c r="Q14" s="53">
        <v>1741.07</v>
      </c>
      <c r="R14" s="53">
        <v>1741.07</v>
      </c>
      <c r="S14" s="53">
        <v>0</v>
      </c>
      <c r="T14" s="54">
        <v>0</v>
      </c>
      <c r="U14" s="53">
        <v>4460.8599999999997</v>
      </c>
      <c r="V14" s="53">
        <v>1803.64</v>
      </c>
      <c r="W14" s="53">
        <v>1803.64</v>
      </c>
      <c r="X14" s="53">
        <v>0</v>
      </c>
      <c r="Y14" s="54">
        <v>0</v>
      </c>
    </row>
    <row r="15" spans="1:25" x14ac:dyDescent="0.2">
      <c r="A15" s="50" t="s">
        <v>114</v>
      </c>
      <c r="B15" s="51" t="s">
        <v>107</v>
      </c>
      <c r="C15" s="51"/>
      <c r="D15" s="52">
        <v>24269</v>
      </c>
      <c r="E15" s="51" t="s">
        <v>113</v>
      </c>
      <c r="F15" s="53"/>
      <c r="G15" s="53">
        <v>1734.82</v>
      </c>
      <c r="H15" s="53">
        <v>1734.82</v>
      </c>
      <c r="I15" s="53">
        <v>0</v>
      </c>
      <c r="J15" s="54"/>
      <c r="K15" s="53"/>
      <c r="L15" s="53">
        <v>1770.15</v>
      </c>
      <c r="M15" s="53">
        <v>1770.15</v>
      </c>
      <c r="N15" s="53">
        <v>0</v>
      </c>
      <c r="O15" s="54"/>
      <c r="P15" s="53"/>
      <c r="Q15" s="53">
        <v>1799.47</v>
      </c>
      <c r="R15" s="53">
        <v>1799.47</v>
      </c>
      <c r="S15" s="53">
        <v>0</v>
      </c>
      <c r="T15" s="54"/>
      <c r="U15" s="53"/>
      <c r="V15" s="53">
        <v>1864.14</v>
      </c>
      <c r="W15" s="53">
        <v>1864.14</v>
      </c>
      <c r="X15" s="53">
        <v>0</v>
      </c>
      <c r="Y15" s="54"/>
    </row>
    <row r="16" spans="1:25" x14ac:dyDescent="0.2">
      <c r="A16" s="50" t="s">
        <v>115</v>
      </c>
      <c r="B16" s="51" t="s">
        <v>109</v>
      </c>
      <c r="C16" s="51"/>
      <c r="D16" s="52">
        <v>38614</v>
      </c>
      <c r="E16" s="51" t="s">
        <v>113</v>
      </c>
      <c r="F16" s="53"/>
      <c r="G16" s="53">
        <v>738.06</v>
      </c>
      <c r="H16" s="53">
        <v>738.06</v>
      </c>
      <c r="I16" s="53">
        <v>0</v>
      </c>
      <c r="J16" s="54"/>
      <c r="K16" s="53"/>
      <c r="L16" s="53">
        <v>753.09</v>
      </c>
      <c r="M16" s="53">
        <v>753.09</v>
      </c>
      <c r="N16" s="53">
        <v>0</v>
      </c>
      <c r="O16" s="54"/>
      <c r="P16" s="53"/>
      <c r="Q16" s="53">
        <v>765.57</v>
      </c>
      <c r="R16" s="53">
        <v>765.57</v>
      </c>
      <c r="S16" s="53">
        <v>0</v>
      </c>
      <c r="T16" s="54"/>
      <c r="U16" s="53"/>
      <c r="V16" s="53">
        <v>793.08</v>
      </c>
      <c r="W16" s="53">
        <v>793.08</v>
      </c>
      <c r="X16" s="53">
        <v>0</v>
      </c>
      <c r="Y16" s="54"/>
    </row>
    <row r="17" spans="1:25" x14ac:dyDescent="0.2">
      <c r="A17" s="50" t="s">
        <v>116</v>
      </c>
      <c r="B17" s="51" t="s">
        <v>65</v>
      </c>
      <c r="C17" s="51" t="s">
        <v>117</v>
      </c>
      <c r="D17" s="52">
        <v>18453</v>
      </c>
      <c r="E17" s="51" t="s">
        <v>118</v>
      </c>
      <c r="F17" s="53">
        <v>3469.64</v>
      </c>
      <c r="G17" s="53">
        <v>1734.82</v>
      </c>
      <c r="H17" s="53">
        <v>1734.82</v>
      </c>
      <c r="I17" s="53">
        <v>0</v>
      </c>
      <c r="J17" s="54">
        <v>0</v>
      </c>
      <c r="K17" s="53">
        <v>3540.3</v>
      </c>
      <c r="L17" s="53">
        <v>1770.15</v>
      </c>
      <c r="M17" s="53">
        <v>1770.15</v>
      </c>
      <c r="N17" s="53">
        <v>0</v>
      </c>
      <c r="O17" s="54">
        <v>0</v>
      </c>
      <c r="P17" s="53">
        <v>3598.94</v>
      </c>
      <c r="Q17" s="53">
        <v>1799.47</v>
      </c>
      <c r="R17" s="53">
        <v>1799.47</v>
      </c>
      <c r="S17" s="53">
        <v>0</v>
      </c>
      <c r="T17" s="54">
        <v>0</v>
      </c>
      <c r="U17" s="53">
        <v>3728.28</v>
      </c>
      <c r="V17" s="53">
        <v>1864.14</v>
      </c>
      <c r="W17" s="53">
        <v>1864.14</v>
      </c>
      <c r="X17" s="53">
        <v>0</v>
      </c>
      <c r="Y17" s="54">
        <v>0</v>
      </c>
    </row>
    <row r="18" spans="1:25" x14ac:dyDescent="0.2">
      <c r="A18" s="50" t="s">
        <v>119</v>
      </c>
      <c r="B18" s="51" t="s">
        <v>107</v>
      </c>
      <c r="C18" s="51"/>
      <c r="D18" s="52">
        <v>19761</v>
      </c>
      <c r="E18" s="51" t="s">
        <v>118</v>
      </c>
      <c r="F18" s="53"/>
      <c r="G18" s="53">
        <v>1734.82</v>
      </c>
      <c r="H18" s="53">
        <v>1734.82</v>
      </c>
      <c r="I18" s="53">
        <v>0</v>
      </c>
      <c r="J18" s="54"/>
      <c r="K18" s="53"/>
      <c r="L18" s="53">
        <v>1770.15</v>
      </c>
      <c r="M18" s="53">
        <v>1770.15</v>
      </c>
      <c r="N18" s="53">
        <v>0</v>
      </c>
      <c r="O18" s="54"/>
      <c r="P18" s="53"/>
      <c r="Q18" s="53">
        <v>1799.47</v>
      </c>
      <c r="R18" s="53">
        <v>1799.47</v>
      </c>
      <c r="S18" s="53">
        <v>0</v>
      </c>
      <c r="T18" s="54"/>
      <c r="U18" s="53"/>
      <c r="V18" s="53">
        <v>1864.14</v>
      </c>
      <c r="W18" s="53">
        <v>1864.14</v>
      </c>
      <c r="X18" s="53">
        <v>0</v>
      </c>
      <c r="Y18" s="54"/>
    </row>
    <row r="19" spans="1:25" x14ac:dyDescent="0.2">
      <c r="A19" s="50" t="s">
        <v>120</v>
      </c>
      <c r="B19" s="51" t="s">
        <v>65</v>
      </c>
      <c r="C19" s="51" t="s">
        <v>65</v>
      </c>
      <c r="D19" s="52">
        <v>35733</v>
      </c>
      <c r="E19" s="51" t="s">
        <v>121</v>
      </c>
      <c r="F19" s="53">
        <v>951.11</v>
      </c>
      <c r="G19" s="53">
        <v>951.11</v>
      </c>
      <c r="H19" s="53">
        <v>951.11</v>
      </c>
      <c r="I19" s="53">
        <v>0</v>
      </c>
      <c r="J19" s="54">
        <v>0</v>
      </c>
      <c r="K19" s="53">
        <v>970.48</v>
      </c>
      <c r="L19" s="53">
        <v>970.48</v>
      </c>
      <c r="M19" s="53">
        <v>970.48</v>
      </c>
      <c r="N19" s="53">
        <v>0</v>
      </c>
      <c r="O19" s="54">
        <v>0</v>
      </c>
      <c r="P19" s="53">
        <v>986.55</v>
      </c>
      <c r="Q19" s="53">
        <v>986.55</v>
      </c>
      <c r="R19" s="53">
        <v>986.55</v>
      </c>
      <c r="S19" s="53">
        <v>0</v>
      </c>
      <c r="T19" s="54">
        <v>0</v>
      </c>
      <c r="U19" s="53">
        <v>1022.01</v>
      </c>
      <c r="V19" s="53">
        <v>1022.01</v>
      </c>
      <c r="W19" s="53">
        <v>1022.01</v>
      </c>
      <c r="X19" s="53">
        <v>0</v>
      </c>
      <c r="Y19" s="54">
        <v>0</v>
      </c>
    </row>
    <row r="20" spans="1:25" x14ac:dyDescent="0.2">
      <c r="A20" s="50" t="s">
        <v>122</v>
      </c>
      <c r="B20" s="51" t="s">
        <v>65</v>
      </c>
      <c r="C20" s="51" t="s">
        <v>104</v>
      </c>
      <c r="D20" s="52">
        <v>24958</v>
      </c>
      <c r="E20" s="51" t="s">
        <v>123</v>
      </c>
      <c r="F20" s="53">
        <v>4762.38</v>
      </c>
      <c r="G20" s="53">
        <v>1678.51</v>
      </c>
      <c r="H20" s="53">
        <v>1678.51</v>
      </c>
      <c r="I20" s="53">
        <v>0</v>
      </c>
      <c r="J20" s="54">
        <v>0</v>
      </c>
      <c r="K20" s="53">
        <v>4859.37</v>
      </c>
      <c r="L20" s="53">
        <v>1712.7</v>
      </c>
      <c r="M20" s="53">
        <v>1712.7</v>
      </c>
      <c r="N20" s="53">
        <v>0</v>
      </c>
      <c r="O20" s="54">
        <v>0</v>
      </c>
      <c r="P20" s="53">
        <v>4939.88</v>
      </c>
      <c r="Q20" s="53">
        <v>1741.07</v>
      </c>
      <c r="R20" s="53">
        <v>1741.07</v>
      </c>
      <c r="S20" s="53">
        <v>0</v>
      </c>
      <c r="T20" s="54">
        <v>0</v>
      </c>
      <c r="U20" s="53">
        <v>5117.3999999999996</v>
      </c>
      <c r="V20" s="53">
        <v>1803.64</v>
      </c>
      <c r="W20" s="53">
        <v>1803.64</v>
      </c>
      <c r="X20" s="53">
        <v>0</v>
      </c>
      <c r="Y20" s="54">
        <v>0</v>
      </c>
    </row>
    <row r="21" spans="1:25" x14ac:dyDescent="0.2">
      <c r="A21" s="50" t="s">
        <v>124</v>
      </c>
      <c r="B21" s="51" t="s">
        <v>107</v>
      </c>
      <c r="C21" s="51"/>
      <c r="D21" s="52">
        <v>25342</v>
      </c>
      <c r="E21" s="51" t="s">
        <v>123</v>
      </c>
      <c r="F21" s="53"/>
      <c r="G21" s="53">
        <v>1629.82</v>
      </c>
      <c r="H21" s="53">
        <v>1629.82</v>
      </c>
      <c r="I21" s="53">
        <v>0</v>
      </c>
      <c r="J21" s="54"/>
      <c r="K21" s="53"/>
      <c r="L21" s="53">
        <v>1663.01</v>
      </c>
      <c r="M21" s="53">
        <v>1663.01</v>
      </c>
      <c r="N21" s="53">
        <v>0</v>
      </c>
      <c r="O21" s="54"/>
      <c r="P21" s="53"/>
      <c r="Q21" s="53">
        <v>1690.56</v>
      </c>
      <c r="R21" s="53">
        <v>1690.56</v>
      </c>
      <c r="S21" s="53">
        <v>0</v>
      </c>
      <c r="T21" s="54"/>
      <c r="U21" s="53"/>
      <c r="V21" s="53">
        <v>1751.31</v>
      </c>
      <c r="W21" s="53">
        <v>1751.31</v>
      </c>
      <c r="X21" s="53">
        <v>0</v>
      </c>
      <c r="Y21" s="54"/>
    </row>
    <row r="22" spans="1:25" x14ac:dyDescent="0.2">
      <c r="A22" s="50" t="s">
        <v>125</v>
      </c>
      <c r="B22" s="51" t="s">
        <v>109</v>
      </c>
      <c r="C22" s="51"/>
      <c r="D22" s="52">
        <v>38632</v>
      </c>
      <c r="E22" s="51" t="s">
        <v>123</v>
      </c>
      <c r="F22" s="53"/>
      <c r="G22" s="53">
        <v>738.06</v>
      </c>
      <c r="H22" s="53">
        <v>738.06</v>
      </c>
      <c r="I22" s="53">
        <v>0</v>
      </c>
      <c r="J22" s="54"/>
      <c r="K22" s="53"/>
      <c r="L22" s="53">
        <v>753.09</v>
      </c>
      <c r="M22" s="53">
        <v>753.09</v>
      </c>
      <c r="N22" s="53">
        <v>0</v>
      </c>
      <c r="O22" s="54"/>
      <c r="P22" s="53"/>
      <c r="Q22" s="53">
        <v>765.57</v>
      </c>
      <c r="R22" s="53">
        <v>765.57</v>
      </c>
      <c r="S22" s="53">
        <v>0</v>
      </c>
      <c r="T22" s="54"/>
      <c r="U22" s="53"/>
      <c r="V22" s="53">
        <v>793.08</v>
      </c>
      <c r="W22" s="53">
        <v>793.08</v>
      </c>
      <c r="X22" s="53">
        <v>0</v>
      </c>
      <c r="Y22" s="54"/>
    </row>
    <row r="23" spans="1:25" x14ac:dyDescent="0.2">
      <c r="A23" s="50" t="s">
        <v>126</v>
      </c>
      <c r="B23" s="51" t="s">
        <v>109</v>
      </c>
      <c r="C23" s="51"/>
      <c r="D23" s="52">
        <v>39092</v>
      </c>
      <c r="E23" s="51" t="s">
        <v>123</v>
      </c>
      <c r="F23" s="53"/>
      <c r="G23" s="53">
        <v>715.99</v>
      </c>
      <c r="H23" s="53">
        <v>715.99</v>
      </c>
      <c r="I23" s="53">
        <v>0</v>
      </c>
      <c r="J23" s="54"/>
      <c r="K23" s="53"/>
      <c r="L23" s="53">
        <v>730.57</v>
      </c>
      <c r="M23" s="53">
        <v>730.57</v>
      </c>
      <c r="N23" s="53">
        <v>0</v>
      </c>
      <c r="O23" s="54"/>
      <c r="P23" s="53"/>
      <c r="Q23" s="53">
        <v>742.68</v>
      </c>
      <c r="R23" s="53">
        <v>742.68</v>
      </c>
      <c r="S23" s="53">
        <v>0</v>
      </c>
      <c r="T23" s="54"/>
      <c r="U23" s="53"/>
      <c r="V23" s="53">
        <v>769.37</v>
      </c>
      <c r="W23" s="53">
        <v>769.37</v>
      </c>
      <c r="X23" s="53">
        <v>0</v>
      </c>
      <c r="Y23" s="54"/>
    </row>
    <row r="24" spans="1:25" x14ac:dyDescent="0.2">
      <c r="A24" s="50" t="s">
        <v>127</v>
      </c>
      <c r="B24" s="51" t="s">
        <v>65</v>
      </c>
      <c r="C24" s="51" t="s">
        <v>117</v>
      </c>
      <c r="D24" s="52">
        <v>21309</v>
      </c>
      <c r="E24" s="51" t="s">
        <v>96</v>
      </c>
      <c r="F24" s="53">
        <v>3469.64</v>
      </c>
      <c r="G24" s="53">
        <v>1734.82</v>
      </c>
      <c r="H24" s="53">
        <v>1734.82</v>
      </c>
      <c r="I24" s="53">
        <v>0</v>
      </c>
      <c r="J24" s="54">
        <v>0</v>
      </c>
      <c r="K24" s="53">
        <v>3540.3</v>
      </c>
      <c r="L24" s="53">
        <v>1770.15</v>
      </c>
      <c r="M24" s="53">
        <v>1770.15</v>
      </c>
      <c r="N24" s="53">
        <v>0</v>
      </c>
      <c r="O24" s="54">
        <v>0</v>
      </c>
      <c r="P24" s="53">
        <v>3598.94</v>
      </c>
      <c r="Q24" s="53">
        <v>1799.47</v>
      </c>
      <c r="R24" s="53">
        <v>1799.47</v>
      </c>
      <c r="S24" s="53">
        <v>0</v>
      </c>
      <c r="T24" s="54">
        <v>0</v>
      </c>
      <c r="U24" s="53">
        <v>3728.28</v>
      </c>
      <c r="V24" s="53">
        <v>1864.14</v>
      </c>
      <c r="W24" s="53">
        <v>1864.14</v>
      </c>
      <c r="X24" s="53">
        <v>0</v>
      </c>
      <c r="Y24" s="54">
        <v>0</v>
      </c>
    </row>
    <row r="25" spans="1:25" x14ac:dyDescent="0.2">
      <c r="A25" s="50" t="s">
        <v>128</v>
      </c>
      <c r="B25" s="51" t="s">
        <v>107</v>
      </c>
      <c r="C25" s="51"/>
      <c r="D25" s="52">
        <v>23570</v>
      </c>
      <c r="E25" s="51" t="s">
        <v>96</v>
      </c>
      <c r="F25" s="53"/>
      <c r="G25" s="53">
        <v>1734.82</v>
      </c>
      <c r="H25" s="53">
        <v>1734.82</v>
      </c>
      <c r="I25" s="53">
        <v>0</v>
      </c>
      <c r="J25" s="54"/>
      <c r="K25" s="53"/>
      <c r="L25" s="53">
        <v>1770.15</v>
      </c>
      <c r="M25" s="53">
        <v>1770.15</v>
      </c>
      <c r="N25" s="53">
        <v>0</v>
      </c>
      <c r="O25" s="54"/>
      <c r="P25" s="53"/>
      <c r="Q25" s="53">
        <v>1799.47</v>
      </c>
      <c r="R25" s="53">
        <v>1799.47</v>
      </c>
      <c r="S25" s="53">
        <v>0</v>
      </c>
      <c r="T25" s="54"/>
      <c r="U25" s="53"/>
      <c r="V25" s="53">
        <v>1864.14</v>
      </c>
      <c r="W25" s="53">
        <v>1864.14</v>
      </c>
      <c r="X25" s="53">
        <v>0</v>
      </c>
      <c r="Y25" s="54"/>
    </row>
    <row r="26" spans="1:25" x14ac:dyDescent="0.2">
      <c r="A26" s="50" t="s">
        <v>129</v>
      </c>
      <c r="B26" s="51" t="s">
        <v>65</v>
      </c>
      <c r="C26" s="51" t="s">
        <v>65</v>
      </c>
      <c r="D26" s="52">
        <v>24147</v>
      </c>
      <c r="E26" s="51" t="s">
        <v>113</v>
      </c>
      <c r="F26" s="53">
        <v>1734.82</v>
      </c>
      <c r="G26" s="53">
        <v>1734.82</v>
      </c>
      <c r="H26" s="53">
        <v>1734.82</v>
      </c>
      <c r="I26" s="53">
        <v>0</v>
      </c>
      <c r="J26" s="54">
        <v>0</v>
      </c>
      <c r="K26" s="53">
        <v>1770.15</v>
      </c>
      <c r="L26" s="53">
        <v>1770.15</v>
      </c>
      <c r="M26" s="53">
        <v>1770.15</v>
      </c>
      <c r="N26" s="53">
        <v>0</v>
      </c>
      <c r="O26" s="54">
        <v>0</v>
      </c>
      <c r="P26" s="53">
        <v>1799.47</v>
      </c>
      <c r="Q26" s="53">
        <v>1799.47</v>
      </c>
      <c r="R26" s="53">
        <v>1799.47</v>
      </c>
      <c r="S26" s="53">
        <v>0</v>
      </c>
      <c r="T26" s="54">
        <v>0</v>
      </c>
      <c r="U26" s="53">
        <v>1864.14</v>
      </c>
      <c r="V26" s="53">
        <v>1864.14</v>
      </c>
      <c r="W26" s="53">
        <v>1864.14</v>
      </c>
      <c r="X26" s="53">
        <v>0</v>
      </c>
      <c r="Y26" s="54">
        <v>0</v>
      </c>
    </row>
    <row r="27" spans="1:25" x14ac:dyDescent="0.2">
      <c r="A27" s="50" t="s">
        <v>130</v>
      </c>
      <c r="B27" s="51" t="s">
        <v>65</v>
      </c>
      <c r="C27" s="51" t="s">
        <v>65</v>
      </c>
      <c r="D27" s="52">
        <v>25210</v>
      </c>
      <c r="E27" s="51" t="s">
        <v>131</v>
      </c>
      <c r="F27" s="53">
        <v>1629.82</v>
      </c>
      <c r="G27" s="53">
        <v>1629.82</v>
      </c>
      <c r="H27" s="53">
        <v>1629.82</v>
      </c>
      <c r="I27" s="53">
        <v>0</v>
      </c>
      <c r="J27" s="54">
        <v>0</v>
      </c>
      <c r="K27" s="53">
        <v>1663.01</v>
      </c>
      <c r="L27" s="53">
        <v>1663.01</v>
      </c>
      <c r="M27" s="53">
        <v>1663.01</v>
      </c>
      <c r="N27" s="53">
        <v>0</v>
      </c>
      <c r="O27" s="54">
        <v>0</v>
      </c>
      <c r="P27" s="53">
        <v>1690.56</v>
      </c>
      <c r="Q27" s="53">
        <v>1690.56</v>
      </c>
      <c r="R27" s="53">
        <v>1690.56</v>
      </c>
      <c r="S27" s="53">
        <v>0</v>
      </c>
      <c r="T27" s="54">
        <v>0</v>
      </c>
      <c r="U27" s="53">
        <v>1751.31</v>
      </c>
      <c r="V27" s="53">
        <v>1751.31</v>
      </c>
      <c r="W27" s="53">
        <v>1751.31</v>
      </c>
      <c r="X27" s="53">
        <v>0</v>
      </c>
      <c r="Y27" s="54">
        <v>0</v>
      </c>
    </row>
    <row r="28" spans="1:25" x14ac:dyDescent="0.2">
      <c r="A28" s="50" t="s">
        <v>132</v>
      </c>
      <c r="B28" s="51" t="s">
        <v>65</v>
      </c>
      <c r="C28" s="51" t="s">
        <v>65</v>
      </c>
      <c r="D28" s="52">
        <v>35103</v>
      </c>
      <c r="E28" s="51" t="s">
        <v>113</v>
      </c>
      <c r="F28" s="53">
        <v>979.26</v>
      </c>
      <c r="G28" s="53">
        <v>979.26</v>
      </c>
      <c r="H28" s="53">
        <v>979.26</v>
      </c>
      <c r="I28" s="53">
        <v>0</v>
      </c>
      <c r="J28" s="54">
        <v>0</v>
      </c>
      <c r="K28" s="53">
        <v>999.2</v>
      </c>
      <c r="L28" s="53">
        <v>999.2</v>
      </c>
      <c r="M28" s="53">
        <v>999.2</v>
      </c>
      <c r="N28" s="53">
        <v>0</v>
      </c>
      <c r="O28" s="54">
        <v>0</v>
      </c>
      <c r="P28" s="53">
        <v>1015.76</v>
      </c>
      <c r="Q28" s="53">
        <v>1015.76</v>
      </c>
      <c r="R28" s="53">
        <v>1015.76</v>
      </c>
      <c r="S28" s="53">
        <v>0</v>
      </c>
      <c r="T28" s="54">
        <v>0</v>
      </c>
      <c r="U28" s="53">
        <v>1052.26</v>
      </c>
      <c r="V28" s="53">
        <v>1052.26</v>
      </c>
      <c r="W28" s="53">
        <v>1052.26</v>
      </c>
      <c r="X28" s="53">
        <v>0</v>
      </c>
      <c r="Y28" s="54">
        <v>0</v>
      </c>
    </row>
    <row r="29" spans="1:25" x14ac:dyDescent="0.2">
      <c r="A29" s="50" t="s">
        <v>133</v>
      </c>
      <c r="B29" s="51" t="s">
        <v>65</v>
      </c>
      <c r="C29" s="51" t="s">
        <v>117</v>
      </c>
      <c r="D29" s="52">
        <v>27399</v>
      </c>
      <c r="E29" s="51" t="s">
        <v>113</v>
      </c>
      <c r="F29" s="53">
        <v>2513.21</v>
      </c>
      <c r="G29" s="53">
        <v>1363.51</v>
      </c>
      <c r="H29" s="53">
        <v>1363.51</v>
      </c>
      <c r="I29" s="53">
        <v>0</v>
      </c>
      <c r="J29" s="54">
        <v>0</v>
      </c>
      <c r="K29" s="53">
        <v>2564.39</v>
      </c>
      <c r="L29" s="53">
        <v>1391.28</v>
      </c>
      <c r="M29" s="53">
        <v>1391.28</v>
      </c>
      <c r="N29" s="53">
        <v>0</v>
      </c>
      <c r="O29" s="54">
        <v>0</v>
      </c>
      <c r="P29" s="53">
        <v>2606.87</v>
      </c>
      <c r="Q29" s="53">
        <v>1414.32</v>
      </c>
      <c r="R29" s="53">
        <v>1414.32</v>
      </c>
      <c r="S29" s="53">
        <v>0</v>
      </c>
      <c r="T29" s="54">
        <v>0</v>
      </c>
      <c r="U29" s="53">
        <v>2700.55</v>
      </c>
      <c r="V29" s="53">
        <v>1465.15</v>
      </c>
      <c r="W29" s="53">
        <v>1465.15</v>
      </c>
      <c r="X29" s="53">
        <v>0</v>
      </c>
      <c r="Y29" s="54">
        <v>0</v>
      </c>
    </row>
    <row r="30" spans="1:25" x14ac:dyDescent="0.2">
      <c r="A30" s="50" t="s">
        <v>134</v>
      </c>
      <c r="B30" s="51" t="s">
        <v>107</v>
      </c>
      <c r="C30" s="51"/>
      <c r="D30" s="52">
        <v>29502</v>
      </c>
      <c r="E30" s="51" t="s">
        <v>113</v>
      </c>
      <c r="F30" s="53"/>
      <c r="G30" s="53">
        <v>1149.7</v>
      </c>
      <c r="H30" s="53">
        <v>1149.7</v>
      </c>
      <c r="I30" s="53">
        <v>0</v>
      </c>
      <c r="J30" s="54"/>
      <c r="K30" s="53"/>
      <c r="L30" s="53">
        <v>1173.1099999999999</v>
      </c>
      <c r="M30" s="53">
        <v>1173.1099999999999</v>
      </c>
      <c r="N30" s="53">
        <v>0</v>
      </c>
      <c r="O30" s="54"/>
      <c r="P30" s="53"/>
      <c r="Q30" s="53">
        <v>1192.55</v>
      </c>
      <c r="R30" s="53">
        <v>1192.55</v>
      </c>
      <c r="S30" s="53">
        <v>0</v>
      </c>
      <c r="T30" s="54"/>
      <c r="U30" s="53"/>
      <c r="V30" s="53">
        <v>1235.4000000000001</v>
      </c>
      <c r="W30" s="53">
        <v>1235.4000000000001</v>
      </c>
      <c r="X30" s="53">
        <v>0</v>
      </c>
      <c r="Y30" s="54"/>
    </row>
    <row r="31" spans="1:25" x14ac:dyDescent="0.2">
      <c r="A31" s="50" t="s">
        <v>135</v>
      </c>
      <c r="B31" s="51" t="s">
        <v>65</v>
      </c>
      <c r="C31" s="51" t="s">
        <v>104</v>
      </c>
      <c r="D31" s="52">
        <v>24592</v>
      </c>
      <c r="E31" s="51" t="s">
        <v>111</v>
      </c>
      <c r="F31" s="53">
        <v>4420.75</v>
      </c>
      <c r="G31" s="53">
        <v>1734.82</v>
      </c>
      <c r="H31" s="53">
        <v>1734.82</v>
      </c>
      <c r="I31" s="53">
        <v>0</v>
      </c>
      <c r="J31" s="54">
        <v>0</v>
      </c>
      <c r="K31" s="53">
        <v>4510.78</v>
      </c>
      <c r="L31" s="53">
        <v>1770.15</v>
      </c>
      <c r="M31" s="53">
        <v>1770.15</v>
      </c>
      <c r="N31" s="53">
        <v>0</v>
      </c>
      <c r="O31" s="54">
        <v>0</v>
      </c>
      <c r="P31" s="53">
        <v>4585.49</v>
      </c>
      <c r="Q31" s="53">
        <v>1799.47</v>
      </c>
      <c r="R31" s="53">
        <v>1799.47</v>
      </c>
      <c r="S31" s="53">
        <v>0</v>
      </c>
      <c r="T31" s="54">
        <v>0</v>
      </c>
      <c r="U31" s="53">
        <v>4750.29</v>
      </c>
      <c r="V31" s="53">
        <v>1864.14</v>
      </c>
      <c r="W31" s="53">
        <v>1864.14</v>
      </c>
      <c r="X31" s="53">
        <v>0</v>
      </c>
      <c r="Y31" s="54">
        <v>0</v>
      </c>
    </row>
    <row r="32" spans="1:25" x14ac:dyDescent="0.2">
      <c r="A32" s="50" t="s">
        <v>136</v>
      </c>
      <c r="B32" s="51" t="s">
        <v>107</v>
      </c>
      <c r="C32" s="51"/>
      <c r="D32" s="52">
        <v>22616</v>
      </c>
      <c r="E32" s="51" t="s">
        <v>111</v>
      </c>
      <c r="F32" s="53"/>
      <c r="G32" s="53">
        <v>1734.82</v>
      </c>
      <c r="H32" s="53">
        <v>1734.82</v>
      </c>
      <c r="I32" s="53">
        <v>0</v>
      </c>
      <c r="J32" s="54"/>
      <c r="K32" s="53"/>
      <c r="L32" s="53">
        <v>1770.15</v>
      </c>
      <c r="M32" s="53">
        <v>1770.15</v>
      </c>
      <c r="N32" s="53">
        <v>0</v>
      </c>
      <c r="O32" s="54"/>
      <c r="P32" s="53"/>
      <c r="Q32" s="53">
        <v>1799.47</v>
      </c>
      <c r="R32" s="53">
        <v>1799.47</v>
      </c>
      <c r="S32" s="53">
        <v>0</v>
      </c>
      <c r="T32" s="54"/>
      <c r="U32" s="53"/>
      <c r="V32" s="53">
        <v>1864.14</v>
      </c>
      <c r="W32" s="53">
        <v>1864.14</v>
      </c>
      <c r="X32" s="53">
        <v>0</v>
      </c>
      <c r="Y32" s="54"/>
    </row>
    <row r="33" spans="1:25" x14ac:dyDescent="0.2">
      <c r="A33" s="50" t="s">
        <v>137</v>
      </c>
      <c r="B33" s="51" t="s">
        <v>109</v>
      </c>
      <c r="C33" s="51"/>
      <c r="D33" s="52">
        <v>37842</v>
      </c>
      <c r="E33" s="51" t="s">
        <v>111</v>
      </c>
      <c r="F33" s="53"/>
      <c r="G33" s="53">
        <v>951.11</v>
      </c>
      <c r="H33" s="53">
        <v>951.11</v>
      </c>
      <c r="I33" s="53">
        <v>0</v>
      </c>
      <c r="J33" s="54"/>
      <c r="K33" s="53"/>
      <c r="L33" s="53">
        <v>970.48</v>
      </c>
      <c r="M33" s="53">
        <v>970.48</v>
      </c>
      <c r="N33" s="53">
        <v>0</v>
      </c>
      <c r="O33" s="54"/>
      <c r="P33" s="53"/>
      <c r="Q33" s="53">
        <v>986.55</v>
      </c>
      <c r="R33" s="53">
        <v>986.55</v>
      </c>
      <c r="S33" s="53">
        <v>0</v>
      </c>
      <c r="T33" s="54"/>
      <c r="U33" s="53"/>
      <c r="V33" s="53">
        <v>1022.01</v>
      </c>
      <c r="W33" s="53">
        <v>1022.01</v>
      </c>
      <c r="X33" s="53">
        <v>0</v>
      </c>
      <c r="Y33" s="54"/>
    </row>
    <row r="34" spans="1:25" x14ac:dyDescent="0.2">
      <c r="A34" s="50" t="s">
        <v>138</v>
      </c>
      <c r="B34" s="51" t="s">
        <v>65</v>
      </c>
      <c r="C34" s="51" t="s">
        <v>65</v>
      </c>
      <c r="D34" s="52">
        <v>35401</v>
      </c>
      <c r="E34" s="51" t="s">
        <v>113</v>
      </c>
      <c r="F34" s="53">
        <v>970.13</v>
      </c>
      <c r="G34" s="53">
        <v>970.13</v>
      </c>
      <c r="H34" s="53">
        <v>970.13</v>
      </c>
      <c r="I34" s="53">
        <v>0</v>
      </c>
      <c r="J34" s="54">
        <v>0</v>
      </c>
      <c r="K34" s="53">
        <v>989.89</v>
      </c>
      <c r="L34" s="53">
        <v>989.89</v>
      </c>
      <c r="M34" s="53">
        <v>989.89</v>
      </c>
      <c r="N34" s="53">
        <v>0</v>
      </c>
      <c r="O34" s="54">
        <v>0</v>
      </c>
      <c r="P34" s="53">
        <v>1006.29</v>
      </c>
      <c r="Q34" s="53">
        <v>1006.29</v>
      </c>
      <c r="R34" s="53">
        <v>1006.29</v>
      </c>
      <c r="S34" s="53">
        <v>0</v>
      </c>
      <c r="T34" s="54">
        <v>0</v>
      </c>
      <c r="U34" s="53">
        <v>1042.45</v>
      </c>
      <c r="V34" s="53">
        <v>1042.45</v>
      </c>
      <c r="W34" s="53">
        <v>1042.45</v>
      </c>
      <c r="X34" s="53">
        <v>0</v>
      </c>
      <c r="Y34" s="54">
        <v>0</v>
      </c>
    </row>
    <row r="35" spans="1:25" x14ac:dyDescent="0.2">
      <c r="A35" s="50" t="s">
        <v>139</v>
      </c>
      <c r="B35" s="51" t="s">
        <v>65</v>
      </c>
      <c r="C35" s="51" t="s">
        <v>65</v>
      </c>
      <c r="D35" s="52">
        <v>35453</v>
      </c>
      <c r="E35" s="51" t="s">
        <v>113</v>
      </c>
      <c r="F35" s="53">
        <v>970.13</v>
      </c>
      <c r="G35" s="53">
        <v>970.13</v>
      </c>
      <c r="H35" s="53">
        <v>970.13</v>
      </c>
      <c r="I35" s="53">
        <v>0</v>
      </c>
      <c r="J35" s="54">
        <v>0</v>
      </c>
      <c r="K35" s="53">
        <v>989.89</v>
      </c>
      <c r="L35" s="53">
        <v>989.89</v>
      </c>
      <c r="M35" s="53">
        <v>989.89</v>
      </c>
      <c r="N35" s="53">
        <v>0</v>
      </c>
      <c r="O35" s="54">
        <v>0</v>
      </c>
      <c r="P35" s="53">
        <v>1006.29</v>
      </c>
      <c r="Q35" s="53">
        <v>1006.29</v>
      </c>
      <c r="R35" s="53">
        <v>1006.29</v>
      </c>
      <c r="S35" s="53">
        <v>0</v>
      </c>
      <c r="T35" s="54">
        <v>0</v>
      </c>
      <c r="U35" s="53">
        <v>1042.45</v>
      </c>
      <c r="V35" s="53">
        <v>1042.45</v>
      </c>
      <c r="W35" s="53">
        <v>1042.45</v>
      </c>
      <c r="X35" s="53">
        <v>0</v>
      </c>
      <c r="Y35" s="54">
        <v>0</v>
      </c>
    </row>
    <row r="36" spans="1:25" x14ac:dyDescent="0.2">
      <c r="A36" s="50" t="s">
        <v>140</v>
      </c>
      <c r="B36" s="51" t="s">
        <v>65</v>
      </c>
      <c r="C36" s="51" t="s">
        <v>65</v>
      </c>
      <c r="D36" s="52">
        <v>34864</v>
      </c>
      <c r="E36" s="51" t="s">
        <v>118</v>
      </c>
      <c r="F36" s="53">
        <v>979.26</v>
      </c>
      <c r="G36" s="53">
        <v>979.26</v>
      </c>
      <c r="H36" s="53">
        <v>979.26</v>
      </c>
      <c r="I36" s="53">
        <v>0</v>
      </c>
      <c r="J36" s="54">
        <v>0</v>
      </c>
      <c r="K36" s="53">
        <v>999.2</v>
      </c>
      <c r="L36" s="53">
        <v>999.2</v>
      </c>
      <c r="M36" s="53">
        <v>999.2</v>
      </c>
      <c r="N36" s="53">
        <v>0</v>
      </c>
      <c r="O36" s="54">
        <v>0</v>
      </c>
      <c r="P36" s="53">
        <v>1015.76</v>
      </c>
      <c r="Q36" s="53">
        <v>1015.76</v>
      </c>
      <c r="R36" s="53">
        <v>1015.76</v>
      </c>
      <c r="S36" s="53">
        <v>0</v>
      </c>
      <c r="T36" s="54">
        <v>0</v>
      </c>
      <c r="U36" s="53">
        <v>1052.26</v>
      </c>
      <c r="V36" s="53">
        <v>1052.26</v>
      </c>
      <c r="W36" s="53">
        <v>1052.26</v>
      </c>
      <c r="X36" s="53">
        <v>0</v>
      </c>
      <c r="Y36" s="54">
        <v>0</v>
      </c>
    </row>
    <row r="37" spans="1:25" x14ac:dyDescent="0.2">
      <c r="A37" s="50" t="s">
        <v>141</v>
      </c>
      <c r="B37" s="51" t="s">
        <v>65</v>
      </c>
      <c r="C37" s="51" t="s">
        <v>104</v>
      </c>
      <c r="D37" s="52">
        <v>26666</v>
      </c>
      <c r="E37" s="51" t="s">
        <v>118</v>
      </c>
      <c r="F37" s="53">
        <v>4348.46</v>
      </c>
      <c r="G37" s="53">
        <v>1447.2</v>
      </c>
      <c r="H37" s="53">
        <v>1447.2</v>
      </c>
      <c r="I37" s="53">
        <v>0</v>
      </c>
      <c r="J37" s="54">
        <v>0</v>
      </c>
      <c r="K37" s="53">
        <v>4437.03</v>
      </c>
      <c r="L37" s="53">
        <v>1476.68</v>
      </c>
      <c r="M37" s="53">
        <v>1476.68</v>
      </c>
      <c r="N37" s="53">
        <v>0</v>
      </c>
      <c r="O37" s="54">
        <v>0</v>
      </c>
      <c r="P37" s="53">
        <v>4510.5200000000004</v>
      </c>
      <c r="Q37" s="53">
        <v>1501.14</v>
      </c>
      <c r="R37" s="53">
        <v>1501.14</v>
      </c>
      <c r="S37" s="53">
        <v>0</v>
      </c>
      <c r="T37" s="54">
        <v>0</v>
      </c>
      <c r="U37" s="53">
        <v>4672.63</v>
      </c>
      <c r="V37" s="53">
        <v>1555.09</v>
      </c>
      <c r="W37" s="53">
        <v>1555.09</v>
      </c>
      <c r="X37" s="53">
        <v>0</v>
      </c>
      <c r="Y37" s="54">
        <v>0</v>
      </c>
    </row>
    <row r="38" spans="1:25" x14ac:dyDescent="0.2">
      <c r="A38" s="50" t="s">
        <v>142</v>
      </c>
      <c r="B38" s="51" t="s">
        <v>107</v>
      </c>
      <c r="C38" s="51"/>
      <c r="D38" s="52">
        <v>28717</v>
      </c>
      <c r="E38" s="51" t="s">
        <v>118</v>
      </c>
      <c r="F38" s="53"/>
      <c r="G38" s="53">
        <v>1212.0899999999999</v>
      </c>
      <c r="H38" s="53">
        <v>1212.0899999999999</v>
      </c>
      <c r="I38" s="53">
        <v>0</v>
      </c>
      <c r="J38" s="54"/>
      <c r="K38" s="53"/>
      <c r="L38" s="53">
        <v>1236.78</v>
      </c>
      <c r="M38" s="53">
        <v>1236.78</v>
      </c>
      <c r="N38" s="53">
        <v>0</v>
      </c>
      <c r="O38" s="54"/>
      <c r="P38" s="53"/>
      <c r="Q38" s="53">
        <v>1257.26</v>
      </c>
      <c r="R38" s="53">
        <v>1257.26</v>
      </c>
      <c r="S38" s="53">
        <v>0</v>
      </c>
      <c r="T38" s="54"/>
      <c r="U38" s="53"/>
      <c r="V38" s="53">
        <v>1302.45</v>
      </c>
      <c r="W38" s="53">
        <v>1302.45</v>
      </c>
      <c r="X38" s="53">
        <v>0</v>
      </c>
      <c r="Y38" s="54"/>
    </row>
    <row r="39" spans="1:25" x14ac:dyDescent="0.2">
      <c r="A39" s="50" t="s">
        <v>143</v>
      </c>
      <c r="B39" s="51" t="s">
        <v>109</v>
      </c>
      <c r="C39" s="51"/>
      <c r="D39" s="52">
        <v>37384</v>
      </c>
      <c r="E39" s="51" t="s">
        <v>118</v>
      </c>
      <c r="F39" s="53"/>
      <c r="G39" s="53">
        <v>951.11</v>
      </c>
      <c r="H39" s="53">
        <v>951.11</v>
      </c>
      <c r="I39" s="53">
        <v>0</v>
      </c>
      <c r="J39" s="54"/>
      <c r="K39" s="53"/>
      <c r="L39" s="53">
        <v>970.48</v>
      </c>
      <c r="M39" s="53">
        <v>970.48</v>
      </c>
      <c r="N39" s="53">
        <v>0</v>
      </c>
      <c r="O39" s="54"/>
      <c r="P39" s="53"/>
      <c r="Q39" s="53">
        <v>986.55</v>
      </c>
      <c r="R39" s="53">
        <v>986.55</v>
      </c>
      <c r="S39" s="53">
        <v>0</v>
      </c>
      <c r="T39" s="54"/>
      <c r="U39" s="53"/>
      <c r="V39" s="53">
        <v>1022.01</v>
      </c>
      <c r="W39" s="53">
        <v>1022.01</v>
      </c>
      <c r="X39" s="53">
        <v>0</v>
      </c>
      <c r="Y39" s="54"/>
    </row>
    <row r="40" spans="1:25" x14ac:dyDescent="0.2">
      <c r="A40" s="50" t="s">
        <v>144</v>
      </c>
      <c r="B40" s="51" t="s">
        <v>109</v>
      </c>
      <c r="C40" s="51"/>
      <c r="D40" s="52">
        <v>38688</v>
      </c>
      <c r="E40" s="51" t="s">
        <v>118</v>
      </c>
      <c r="F40" s="53"/>
      <c r="G40" s="53">
        <v>738.06</v>
      </c>
      <c r="H40" s="53">
        <v>738.06</v>
      </c>
      <c r="I40" s="53">
        <v>0</v>
      </c>
      <c r="J40" s="54"/>
      <c r="K40" s="53"/>
      <c r="L40" s="53">
        <v>753.09</v>
      </c>
      <c r="M40" s="53">
        <v>753.09</v>
      </c>
      <c r="N40" s="53">
        <v>0</v>
      </c>
      <c r="O40" s="54"/>
      <c r="P40" s="53"/>
      <c r="Q40" s="53">
        <v>765.57</v>
      </c>
      <c r="R40" s="53">
        <v>765.57</v>
      </c>
      <c r="S40" s="53">
        <v>0</v>
      </c>
      <c r="T40" s="54"/>
      <c r="U40" s="53"/>
      <c r="V40" s="53">
        <v>793.08</v>
      </c>
      <c r="W40" s="53">
        <v>793.08</v>
      </c>
      <c r="X40" s="53">
        <v>0</v>
      </c>
      <c r="Y40" s="54"/>
    </row>
    <row r="41" spans="1:25" x14ac:dyDescent="0.2">
      <c r="A41" s="50" t="s">
        <v>145</v>
      </c>
      <c r="B41" s="51" t="s">
        <v>65</v>
      </c>
      <c r="C41" s="51" t="s">
        <v>65</v>
      </c>
      <c r="D41" s="52">
        <v>36146</v>
      </c>
      <c r="E41" s="51" t="s">
        <v>111</v>
      </c>
      <c r="F41" s="53">
        <v>951.11</v>
      </c>
      <c r="G41" s="53">
        <v>951.11</v>
      </c>
      <c r="H41" s="53">
        <v>951.11</v>
      </c>
      <c r="I41" s="53">
        <v>0</v>
      </c>
      <c r="J41" s="54">
        <v>0</v>
      </c>
      <c r="K41" s="53">
        <v>970.48</v>
      </c>
      <c r="L41" s="53">
        <v>970.48</v>
      </c>
      <c r="M41" s="53">
        <v>970.48</v>
      </c>
      <c r="N41" s="53">
        <v>0</v>
      </c>
      <c r="O41" s="54">
        <v>0</v>
      </c>
      <c r="P41" s="53">
        <v>986.55</v>
      </c>
      <c r="Q41" s="53">
        <v>986.55</v>
      </c>
      <c r="R41" s="53">
        <v>986.55</v>
      </c>
      <c r="S41" s="53">
        <v>0</v>
      </c>
      <c r="T41" s="54">
        <v>0</v>
      </c>
      <c r="U41" s="53">
        <v>1022.01</v>
      </c>
      <c r="V41" s="53">
        <v>1022.01</v>
      </c>
      <c r="W41" s="53">
        <v>1022.01</v>
      </c>
      <c r="X41" s="53">
        <v>0</v>
      </c>
      <c r="Y41" s="54">
        <v>0</v>
      </c>
    </row>
    <row r="42" spans="1:25" x14ac:dyDescent="0.2">
      <c r="A42" s="50" t="s">
        <v>146</v>
      </c>
      <c r="B42" s="51" t="s">
        <v>65</v>
      </c>
      <c r="C42" s="51" t="s">
        <v>65</v>
      </c>
      <c r="D42" s="52">
        <v>35249</v>
      </c>
      <c r="E42" s="51" t="s">
        <v>147</v>
      </c>
      <c r="F42" s="53">
        <v>970.13</v>
      </c>
      <c r="G42" s="53">
        <v>970.13</v>
      </c>
      <c r="H42" s="53">
        <v>970.13</v>
      </c>
      <c r="I42" s="53">
        <v>0</v>
      </c>
      <c r="J42" s="54">
        <v>0</v>
      </c>
      <c r="K42" s="53">
        <v>989.89</v>
      </c>
      <c r="L42" s="53">
        <v>989.89</v>
      </c>
      <c r="M42" s="53">
        <v>989.89</v>
      </c>
      <c r="N42" s="53">
        <v>0</v>
      </c>
      <c r="O42" s="54">
        <v>0</v>
      </c>
      <c r="P42" s="53">
        <v>1006.29</v>
      </c>
      <c r="Q42" s="53">
        <v>1006.29</v>
      </c>
      <c r="R42" s="53">
        <v>1006.29</v>
      </c>
      <c r="S42" s="53">
        <v>0</v>
      </c>
      <c r="T42" s="54">
        <v>0</v>
      </c>
      <c r="U42" s="53">
        <v>1042.45</v>
      </c>
      <c r="V42" s="53">
        <v>1042.45</v>
      </c>
      <c r="W42" s="53">
        <v>1042.45</v>
      </c>
      <c r="X42" s="53">
        <v>0</v>
      </c>
      <c r="Y42" s="54">
        <v>0</v>
      </c>
    </row>
    <row r="43" spans="1:25" ht="16.149999999999999" customHeight="1" x14ac:dyDescent="0.2">
      <c r="A43" s="226" t="s">
        <v>81</v>
      </c>
      <c r="B43" s="227"/>
      <c r="C43" s="227"/>
      <c r="D43" s="227"/>
      <c r="E43" s="227"/>
      <c r="F43" s="211" t="s">
        <v>195</v>
      </c>
      <c r="G43" s="212"/>
      <c r="H43" s="212"/>
      <c r="I43" s="212"/>
      <c r="J43" s="213"/>
      <c r="K43" s="211" t="s">
        <v>197</v>
      </c>
      <c r="L43" s="212"/>
      <c r="M43" s="212"/>
      <c r="N43" s="212"/>
      <c r="O43" s="213"/>
      <c r="P43" s="211" t="s">
        <v>199</v>
      </c>
      <c r="Q43" s="212"/>
      <c r="R43" s="212"/>
      <c r="S43" s="212"/>
      <c r="T43" s="213"/>
      <c r="U43" s="211" t="s">
        <v>201</v>
      </c>
      <c r="V43" s="212"/>
      <c r="W43" s="212"/>
      <c r="X43" s="212"/>
      <c r="Y43" s="213"/>
    </row>
    <row r="44" spans="1:25" ht="13.9" customHeight="1" x14ac:dyDescent="0.2">
      <c r="A44" s="228" t="s">
        <v>82</v>
      </c>
      <c r="B44" s="229"/>
      <c r="C44" s="229"/>
      <c r="D44" s="229"/>
      <c r="E44" s="229"/>
      <c r="F44" s="214">
        <v>10917.95</v>
      </c>
      <c r="G44" s="215"/>
      <c r="H44" s="215"/>
      <c r="I44" s="215"/>
      <c r="J44" s="216"/>
      <c r="K44" s="214">
        <v>11140.3</v>
      </c>
      <c r="L44" s="215"/>
      <c r="M44" s="215"/>
      <c r="N44" s="215"/>
      <c r="O44" s="216"/>
      <c r="P44" s="214">
        <v>11324.84</v>
      </c>
      <c r="Q44" s="215"/>
      <c r="R44" s="215"/>
      <c r="S44" s="215"/>
      <c r="T44" s="216"/>
      <c r="U44" s="214">
        <v>11731.83</v>
      </c>
      <c r="V44" s="215"/>
      <c r="W44" s="215"/>
      <c r="X44" s="215"/>
      <c r="Y44" s="216"/>
    </row>
    <row r="45" spans="1:25" ht="13.9" customHeight="1" x14ac:dyDescent="0.2">
      <c r="A45" s="230" t="s">
        <v>83</v>
      </c>
      <c r="B45" s="231"/>
      <c r="C45" s="231"/>
      <c r="D45" s="231"/>
      <c r="E45" s="231"/>
      <c r="F45" s="208">
        <f>F44*12</f>
        <v>131015.40000000001</v>
      </c>
      <c r="G45" s="209"/>
      <c r="H45" s="209"/>
      <c r="I45" s="209"/>
      <c r="J45" s="210"/>
      <c r="K45" s="208">
        <f>K44*12</f>
        <v>133683.59999999998</v>
      </c>
      <c r="L45" s="209"/>
      <c r="M45" s="209"/>
      <c r="N45" s="209"/>
      <c r="O45" s="210"/>
      <c r="P45" s="208">
        <f>P44*12</f>
        <v>135898.08000000002</v>
      </c>
      <c r="Q45" s="209"/>
      <c r="R45" s="209"/>
      <c r="S45" s="209"/>
      <c r="T45" s="210"/>
      <c r="U45" s="208">
        <f>U44*12</f>
        <v>140781.96</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000-000000000000}"/>
    <hyperlink ref="F46" r:id="rId2" xr:uid="{00000000-0004-0000-5000-000001000000}"/>
    <hyperlink ref="K7" r:id="rId3" xr:uid="{00000000-0004-0000-5000-000002000000}"/>
    <hyperlink ref="K46" r:id="rId4" xr:uid="{00000000-0004-0000-5000-000003000000}"/>
    <hyperlink ref="P7" r:id="rId5" xr:uid="{00000000-0004-0000-5000-000004000000}"/>
    <hyperlink ref="P46" r:id="rId6" xr:uid="{00000000-0004-0000-5000-000005000000}"/>
    <hyperlink ref="U7" r:id="rId7" xr:uid="{00000000-0004-0000-5000-000006000000}"/>
    <hyperlink ref="U46" r:id="rId8" xr:uid="{00000000-0004-0000-50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367A-32BB-43E6-ACD2-A06BB9BED297}">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202</v>
      </c>
      <c r="G6" s="122"/>
      <c r="H6" s="122"/>
      <c r="I6" s="122"/>
      <c r="J6" s="124"/>
      <c r="K6" s="121" t="s">
        <v>204</v>
      </c>
      <c r="L6" s="122"/>
      <c r="M6" s="122"/>
      <c r="N6" s="122"/>
      <c r="O6" s="124"/>
      <c r="P6" s="121" t="s">
        <v>206</v>
      </c>
      <c r="Q6" s="122"/>
      <c r="R6" s="122"/>
      <c r="S6" s="122"/>
      <c r="T6" s="124"/>
      <c r="U6" s="121" t="s">
        <v>208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203</v>
      </c>
      <c r="G8" s="233"/>
      <c r="H8" s="233"/>
      <c r="I8" s="233"/>
      <c r="J8" s="234"/>
      <c r="K8" s="232" t="s">
        <v>205</v>
      </c>
      <c r="L8" s="233"/>
      <c r="M8" s="233"/>
      <c r="N8" s="233"/>
      <c r="O8" s="234"/>
      <c r="P8" s="232" t="s">
        <v>207</v>
      </c>
      <c r="Q8" s="233"/>
      <c r="R8" s="233"/>
      <c r="S8" s="233"/>
      <c r="T8" s="234"/>
      <c r="U8" s="232" t="s">
        <v>209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4157.4399999999996</v>
      </c>
      <c r="G10" s="53">
        <v>1899.21</v>
      </c>
      <c r="H10" s="53">
        <v>1899.21</v>
      </c>
      <c r="I10" s="53">
        <v>0</v>
      </c>
      <c r="J10" s="54">
        <v>0</v>
      </c>
      <c r="K10" s="53">
        <v>4230.92</v>
      </c>
      <c r="L10" s="53">
        <v>1932.78</v>
      </c>
      <c r="M10" s="53">
        <v>1932.78</v>
      </c>
      <c r="N10" s="53">
        <v>0</v>
      </c>
      <c r="O10" s="54">
        <v>0</v>
      </c>
      <c r="P10" s="53">
        <v>4292.24</v>
      </c>
      <c r="Q10" s="53">
        <v>1960.79</v>
      </c>
      <c r="R10" s="53">
        <v>1960.79</v>
      </c>
      <c r="S10" s="53">
        <v>0</v>
      </c>
      <c r="T10" s="54">
        <v>0</v>
      </c>
      <c r="U10" s="53">
        <v>4333.01</v>
      </c>
      <c r="V10" s="53">
        <v>1979.42</v>
      </c>
      <c r="W10" s="53">
        <v>1979.42</v>
      </c>
      <c r="X10" s="53">
        <v>0</v>
      </c>
      <c r="Y10" s="54">
        <v>0</v>
      </c>
    </row>
    <row r="11" spans="1:25" x14ac:dyDescent="0.2">
      <c r="A11" s="50" t="s">
        <v>106</v>
      </c>
      <c r="B11" s="51" t="s">
        <v>107</v>
      </c>
      <c r="C11" s="51"/>
      <c r="D11" s="52">
        <v>27837</v>
      </c>
      <c r="E11" s="51" t="s">
        <v>105</v>
      </c>
      <c r="F11" s="53"/>
      <c r="G11" s="53">
        <v>1450.23</v>
      </c>
      <c r="H11" s="53">
        <v>1450.23</v>
      </c>
      <c r="I11" s="53">
        <v>0</v>
      </c>
      <c r="J11" s="54"/>
      <c r="K11" s="53"/>
      <c r="L11" s="53">
        <v>1475.86</v>
      </c>
      <c r="M11" s="53">
        <v>1475.86</v>
      </c>
      <c r="N11" s="53">
        <v>0</v>
      </c>
      <c r="O11" s="54"/>
      <c r="P11" s="53"/>
      <c r="Q11" s="53">
        <v>1497.25</v>
      </c>
      <c r="R11" s="53">
        <v>1497.25</v>
      </c>
      <c r="S11" s="53">
        <v>0</v>
      </c>
      <c r="T11" s="54"/>
      <c r="U11" s="53"/>
      <c r="V11" s="53">
        <v>1511.47</v>
      </c>
      <c r="W11" s="53">
        <v>1511.47</v>
      </c>
      <c r="X11" s="53">
        <v>0</v>
      </c>
      <c r="Y11" s="54"/>
    </row>
    <row r="12" spans="1:25" x14ac:dyDescent="0.2">
      <c r="A12" s="50" t="s">
        <v>108</v>
      </c>
      <c r="B12" s="51" t="s">
        <v>109</v>
      </c>
      <c r="C12" s="51"/>
      <c r="D12" s="52">
        <v>38648</v>
      </c>
      <c r="E12" s="51" t="s">
        <v>105</v>
      </c>
      <c r="F12" s="53"/>
      <c r="G12" s="53">
        <v>808</v>
      </c>
      <c r="H12" s="53">
        <v>808</v>
      </c>
      <c r="I12" s="53">
        <v>0</v>
      </c>
      <c r="J12" s="54"/>
      <c r="K12" s="53"/>
      <c r="L12" s="53">
        <v>822.28</v>
      </c>
      <c r="M12" s="53">
        <v>822.28</v>
      </c>
      <c r="N12" s="53">
        <v>0</v>
      </c>
      <c r="O12" s="54"/>
      <c r="P12" s="53"/>
      <c r="Q12" s="53">
        <v>834.2</v>
      </c>
      <c r="R12" s="53">
        <v>834.2</v>
      </c>
      <c r="S12" s="53">
        <v>0</v>
      </c>
      <c r="T12" s="54"/>
      <c r="U12" s="53"/>
      <c r="V12" s="53">
        <v>842.12</v>
      </c>
      <c r="W12" s="53">
        <v>842.12</v>
      </c>
      <c r="X12" s="53">
        <v>0</v>
      </c>
      <c r="Y12" s="54"/>
    </row>
    <row r="13" spans="1:25" x14ac:dyDescent="0.2">
      <c r="A13" s="50" t="s">
        <v>110</v>
      </c>
      <c r="B13" s="51" t="s">
        <v>65</v>
      </c>
      <c r="C13" s="51" t="s">
        <v>65</v>
      </c>
      <c r="D13" s="52">
        <v>36345</v>
      </c>
      <c r="E13" s="51" t="s">
        <v>111</v>
      </c>
      <c r="F13" s="53">
        <v>1041.23</v>
      </c>
      <c r="G13" s="53">
        <v>1041.23</v>
      </c>
      <c r="H13" s="53">
        <v>1041.23</v>
      </c>
      <c r="I13" s="53">
        <v>0</v>
      </c>
      <c r="J13" s="54">
        <v>0</v>
      </c>
      <c r="K13" s="53">
        <v>1059.6400000000001</v>
      </c>
      <c r="L13" s="53">
        <v>1059.6400000000001</v>
      </c>
      <c r="M13" s="53">
        <v>1059.6400000000001</v>
      </c>
      <c r="N13" s="53">
        <v>0</v>
      </c>
      <c r="O13" s="54">
        <v>0</v>
      </c>
      <c r="P13" s="53">
        <v>1074.99</v>
      </c>
      <c r="Q13" s="53">
        <v>1074.99</v>
      </c>
      <c r="R13" s="53">
        <v>1074.99</v>
      </c>
      <c r="S13" s="53">
        <v>0</v>
      </c>
      <c r="T13" s="54">
        <v>0</v>
      </c>
      <c r="U13" s="53">
        <v>1085.21</v>
      </c>
      <c r="V13" s="53">
        <v>1085.21</v>
      </c>
      <c r="W13" s="53">
        <v>1085.21</v>
      </c>
      <c r="X13" s="53">
        <v>0</v>
      </c>
      <c r="Y13" s="54">
        <v>0</v>
      </c>
    </row>
    <row r="14" spans="1:25" x14ac:dyDescent="0.2">
      <c r="A14" s="50" t="s">
        <v>112</v>
      </c>
      <c r="B14" s="51" t="s">
        <v>65</v>
      </c>
      <c r="C14" s="51" t="s">
        <v>104</v>
      </c>
      <c r="D14" s="52">
        <v>24895</v>
      </c>
      <c r="E14" s="51" t="s">
        <v>113</v>
      </c>
      <c r="F14" s="53">
        <v>4544.78</v>
      </c>
      <c r="G14" s="53">
        <v>1837.57</v>
      </c>
      <c r="H14" s="53">
        <v>1837.57</v>
      </c>
      <c r="I14" s="53">
        <v>0</v>
      </c>
      <c r="J14" s="54">
        <v>0</v>
      </c>
      <c r="K14" s="53">
        <v>4625.1099999999997</v>
      </c>
      <c r="L14" s="53">
        <v>1870.05</v>
      </c>
      <c r="M14" s="53">
        <v>1870.05</v>
      </c>
      <c r="N14" s="53">
        <v>0</v>
      </c>
      <c r="O14" s="54">
        <v>0</v>
      </c>
      <c r="P14" s="53">
        <v>4692.1400000000003</v>
      </c>
      <c r="Q14" s="53">
        <v>1897.15</v>
      </c>
      <c r="R14" s="53">
        <v>1897.15</v>
      </c>
      <c r="S14" s="53">
        <v>0</v>
      </c>
      <c r="T14" s="54">
        <v>0</v>
      </c>
      <c r="U14" s="53">
        <v>4736.71</v>
      </c>
      <c r="V14" s="53">
        <v>1915.17</v>
      </c>
      <c r="W14" s="53">
        <v>1915.17</v>
      </c>
      <c r="X14" s="53">
        <v>0</v>
      </c>
      <c r="Y14" s="54">
        <v>0</v>
      </c>
    </row>
    <row r="15" spans="1:25" x14ac:dyDescent="0.2">
      <c r="A15" s="50" t="s">
        <v>114</v>
      </c>
      <c r="B15" s="51" t="s">
        <v>107</v>
      </c>
      <c r="C15" s="51"/>
      <c r="D15" s="52">
        <v>24269</v>
      </c>
      <c r="E15" s="51" t="s">
        <v>113</v>
      </c>
      <c r="F15" s="53"/>
      <c r="G15" s="53">
        <v>1899.21</v>
      </c>
      <c r="H15" s="53">
        <v>1899.21</v>
      </c>
      <c r="I15" s="53">
        <v>0</v>
      </c>
      <c r="J15" s="54"/>
      <c r="K15" s="53"/>
      <c r="L15" s="53">
        <v>1932.78</v>
      </c>
      <c r="M15" s="53">
        <v>1932.78</v>
      </c>
      <c r="N15" s="53">
        <v>0</v>
      </c>
      <c r="O15" s="54"/>
      <c r="P15" s="53"/>
      <c r="Q15" s="53">
        <v>1960.79</v>
      </c>
      <c r="R15" s="53">
        <v>1960.79</v>
      </c>
      <c r="S15" s="53">
        <v>0</v>
      </c>
      <c r="T15" s="54"/>
      <c r="U15" s="53"/>
      <c r="V15" s="53">
        <v>1979.42</v>
      </c>
      <c r="W15" s="53">
        <v>1979.42</v>
      </c>
      <c r="X15" s="53">
        <v>0</v>
      </c>
      <c r="Y15" s="54"/>
    </row>
    <row r="16" spans="1:25" x14ac:dyDescent="0.2">
      <c r="A16" s="50" t="s">
        <v>115</v>
      </c>
      <c r="B16" s="51" t="s">
        <v>109</v>
      </c>
      <c r="C16" s="51"/>
      <c r="D16" s="52">
        <v>38614</v>
      </c>
      <c r="E16" s="51" t="s">
        <v>113</v>
      </c>
      <c r="F16" s="53"/>
      <c r="G16" s="53">
        <v>808</v>
      </c>
      <c r="H16" s="53">
        <v>808</v>
      </c>
      <c r="I16" s="53">
        <v>0</v>
      </c>
      <c r="J16" s="54"/>
      <c r="K16" s="53"/>
      <c r="L16" s="53">
        <v>822.28</v>
      </c>
      <c r="M16" s="53">
        <v>822.28</v>
      </c>
      <c r="N16" s="53">
        <v>0</v>
      </c>
      <c r="O16" s="54"/>
      <c r="P16" s="53"/>
      <c r="Q16" s="53">
        <v>834.2</v>
      </c>
      <c r="R16" s="53">
        <v>834.2</v>
      </c>
      <c r="S16" s="53">
        <v>0</v>
      </c>
      <c r="T16" s="54"/>
      <c r="U16" s="53"/>
      <c r="V16" s="53">
        <v>842.12</v>
      </c>
      <c r="W16" s="53">
        <v>842.12</v>
      </c>
      <c r="X16" s="53">
        <v>0</v>
      </c>
      <c r="Y16" s="54"/>
    </row>
    <row r="17" spans="1:25" x14ac:dyDescent="0.2">
      <c r="A17" s="50" t="s">
        <v>116</v>
      </c>
      <c r="B17" s="51" t="s">
        <v>65</v>
      </c>
      <c r="C17" s="51" t="s">
        <v>117</v>
      </c>
      <c r="D17" s="52">
        <v>18453</v>
      </c>
      <c r="E17" s="51" t="s">
        <v>118</v>
      </c>
      <c r="F17" s="53">
        <v>3798.42</v>
      </c>
      <c r="G17" s="53">
        <v>1899.21</v>
      </c>
      <c r="H17" s="53">
        <v>1899.21</v>
      </c>
      <c r="I17" s="53">
        <v>0</v>
      </c>
      <c r="J17" s="54">
        <v>0</v>
      </c>
      <c r="K17" s="53">
        <v>3865.56</v>
      </c>
      <c r="L17" s="53">
        <v>1932.78</v>
      </c>
      <c r="M17" s="53">
        <v>1932.78</v>
      </c>
      <c r="N17" s="53">
        <v>0</v>
      </c>
      <c r="O17" s="54">
        <v>0</v>
      </c>
      <c r="P17" s="53">
        <v>3921.58</v>
      </c>
      <c r="Q17" s="53">
        <v>1960.79</v>
      </c>
      <c r="R17" s="53">
        <v>1960.79</v>
      </c>
      <c r="S17" s="53">
        <v>0</v>
      </c>
      <c r="T17" s="54">
        <v>0</v>
      </c>
      <c r="U17" s="53">
        <v>3958.84</v>
      </c>
      <c r="V17" s="53">
        <v>1979.42</v>
      </c>
      <c r="W17" s="53">
        <v>1979.42</v>
      </c>
      <c r="X17" s="53">
        <v>0</v>
      </c>
      <c r="Y17" s="54">
        <v>0</v>
      </c>
    </row>
    <row r="18" spans="1:25" x14ac:dyDescent="0.2">
      <c r="A18" s="50" t="s">
        <v>119</v>
      </c>
      <c r="B18" s="51" t="s">
        <v>107</v>
      </c>
      <c r="C18" s="51"/>
      <c r="D18" s="52">
        <v>19761</v>
      </c>
      <c r="E18" s="51" t="s">
        <v>118</v>
      </c>
      <c r="F18" s="53"/>
      <c r="G18" s="53">
        <v>1899.21</v>
      </c>
      <c r="H18" s="53">
        <v>1899.21</v>
      </c>
      <c r="I18" s="53">
        <v>0</v>
      </c>
      <c r="J18" s="54"/>
      <c r="K18" s="53"/>
      <c r="L18" s="53">
        <v>1932.78</v>
      </c>
      <c r="M18" s="53">
        <v>1932.78</v>
      </c>
      <c r="N18" s="53">
        <v>0</v>
      </c>
      <c r="O18" s="54"/>
      <c r="P18" s="53"/>
      <c r="Q18" s="53">
        <v>1960.79</v>
      </c>
      <c r="R18" s="53">
        <v>1960.79</v>
      </c>
      <c r="S18" s="53">
        <v>0</v>
      </c>
      <c r="T18" s="54"/>
      <c r="U18" s="53"/>
      <c r="V18" s="53">
        <v>1979.42</v>
      </c>
      <c r="W18" s="53">
        <v>1979.42</v>
      </c>
      <c r="X18" s="53">
        <v>0</v>
      </c>
      <c r="Y18" s="54"/>
    </row>
    <row r="19" spans="1:25" x14ac:dyDescent="0.2">
      <c r="A19" s="50" t="s">
        <v>120</v>
      </c>
      <c r="B19" s="51" t="s">
        <v>65</v>
      </c>
      <c r="C19" s="51" t="s">
        <v>65</v>
      </c>
      <c r="D19" s="52">
        <v>35733</v>
      </c>
      <c r="E19" s="51" t="s">
        <v>121</v>
      </c>
      <c r="F19" s="53">
        <v>1041.23</v>
      </c>
      <c r="G19" s="53">
        <v>1041.23</v>
      </c>
      <c r="H19" s="53">
        <v>1041.23</v>
      </c>
      <c r="I19" s="53">
        <v>0</v>
      </c>
      <c r="J19" s="54">
        <v>0</v>
      </c>
      <c r="K19" s="53">
        <v>1059.6400000000001</v>
      </c>
      <c r="L19" s="53">
        <v>1059.6400000000001</v>
      </c>
      <c r="M19" s="53">
        <v>1059.6400000000001</v>
      </c>
      <c r="N19" s="53">
        <v>0</v>
      </c>
      <c r="O19" s="54">
        <v>0</v>
      </c>
      <c r="P19" s="53">
        <v>1074.99</v>
      </c>
      <c r="Q19" s="53">
        <v>1074.99</v>
      </c>
      <c r="R19" s="53">
        <v>1074.99</v>
      </c>
      <c r="S19" s="53">
        <v>0</v>
      </c>
      <c r="T19" s="54">
        <v>0</v>
      </c>
      <c r="U19" s="53">
        <v>1085.21</v>
      </c>
      <c r="V19" s="53">
        <v>1085.21</v>
      </c>
      <c r="W19" s="53">
        <v>1085.21</v>
      </c>
      <c r="X19" s="53">
        <v>0</v>
      </c>
      <c r="Y19" s="54">
        <v>0</v>
      </c>
    </row>
    <row r="20" spans="1:25" x14ac:dyDescent="0.2">
      <c r="A20" s="50" t="s">
        <v>122</v>
      </c>
      <c r="B20" s="51" t="s">
        <v>65</v>
      </c>
      <c r="C20" s="51" t="s">
        <v>104</v>
      </c>
      <c r="D20" s="52">
        <v>24958</v>
      </c>
      <c r="E20" s="51" t="s">
        <v>123</v>
      </c>
      <c r="F20" s="53">
        <v>5213.67</v>
      </c>
      <c r="G20" s="53">
        <v>1837.57</v>
      </c>
      <c r="H20" s="53">
        <v>1837.57</v>
      </c>
      <c r="I20" s="53">
        <v>0</v>
      </c>
      <c r="J20" s="54">
        <v>0</v>
      </c>
      <c r="K20" s="53">
        <v>5305.83</v>
      </c>
      <c r="L20" s="53">
        <v>1870.05</v>
      </c>
      <c r="M20" s="53">
        <v>1870.05</v>
      </c>
      <c r="N20" s="53">
        <v>0</v>
      </c>
      <c r="O20" s="54">
        <v>0</v>
      </c>
      <c r="P20" s="53">
        <v>5382.72</v>
      </c>
      <c r="Q20" s="53">
        <v>1897.15</v>
      </c>
      <c r="R20" s="53">
        <v>1897.15</v>
      </c>
      <c r="S20" s="53">
        <v>0</v>
      </c>
      <c r="T20" s="54">
        <v>0</v>
      </c>
      <c r="U20" s="53">
        <v>5433.84</v>
      </c>
      <c r="V20" s="53">
        <v>1915.17</v>
      </c>
      <c r="W20" s="53">
        <v>1915.17</v>
      </c>
      <c r="X20" s="53">
        <v>0</v>
      </c>
      <c r="Y20" s="54">
        <v>0</v>
      </c>
    </row>
    <row r="21" spans="1:25" x14ac:dyDescent="0.2">
      <c r="A21" s="50" t="s">
        <v>124</v>
      </c>
      <c r="B21" s="51" t="s">
        <v>107</v>
      </c>
      <c r="C21" s="51"/>
      <c r="D21" s="52">
        <v>25342</v>
      </c>
      <c r="E21" s="51" t="s">
        <v>123</v>
      </c>
      <c r="F21" s="53"/>
      <c r="G21" s="53">
        <v>1784.26</v>
      </c>
      <c r="H21" s="53">
        <v>1784.26</v>
      </c>
      <c r="I21" s="53">
        <v>0</v>
      </c>
      <c r="J21" s="54"/>
      <c r="K21" s="53"/>
      <c r="L21" s="53">
        <v>1815.8</v>
      </c>
      <c r="M21" s="53">
        <v>1815.8</v>
      </c>
      <c r="N21" s="53">
        <v>0</v>
      </c>
      <c r="O21" s="54"/>
      <c r="P21" s="53"/>
      <c r="Q21" s="53">
        <v>1842.11</v>
      </c>
      <c r="R21" s="53">
        <v>1842.11</v>
      </c>
      <c r="S21" s="53">
        <v>0</v>
      </c>
      <c r="T21" s="54"/>
      <c r="U21" s="53"/>
      <c r="V21" s="53">
        <v>1859.61</v>
      </c>
      <c r="W21" s="53">
        <v>1859.61</v>
      </c>
      <c r="X21" s="53">
        <v>0</v>
      </c>
      <c r="Y21" s="54"/>
    </row>
    <row r="22" spans="1:25" x14ac:dyDescent="0.2">
      <c r="A22" s="50" t="s">
        <v>125</v>
      </c>
      <c r="B22" s="51" t="s">
        <v>109</v>
      </c>
      <c r="C22" s="51"/>
      <c r="D22" s="52">
        <v>38632</v>
      </c>
      <c r="E22" s="51" t="s">
        <v>123</v>
      </c>
      <c r="F22" s="53"/>
      <c r="G22" s="53">
        <v>808</v>
      </c>
      <c r="H22" s="53">
        <v>808</v>
      </c>
      <c r="I22" s="53">
        <v>0</v>
      </c>
      <c r="J22" s="54"/>
      <c r="K22" s="53"/>
      <c r="L22" s="53">
        <v>822.28</v>
      </c>
      <c r="M22" s="53">
        <v>822.28</v>
      </c>
      <c r="N22" s="53">
        <v>0</v>
      </c>
      <c r="O22" s="54"/>
      <c r="P22" s="53"/>
      <c r="Q22" s="53">
        <v>834.2</v>
      </c>
      <c r="R22" s="53">
        <v>834.2</v>
      </c>
      <c r="S22" s="53">
        <v>0</v>
      </c>
      <c r="T22" s="54"/>
      <c r="U22" s="53"/>
      <c r="V22" s="53">
        <v>842.12</v>
      </c>
      <c r="W22" s="53">
        <v>842.12</v>
      </c>
      <c r="X22" s="53">
        <v>0</v>
      </c>
      <c r="Y22" s="54"/>
    </row>
    <row r="23" spans="1:25" x14ac:dyDescent="0.2">
      <c r="A23" s="50" t="s">
        <v>126</v>
      </c>
      <c r="B23" s="51" t="s">
        <v>109</v>
      </c>
      <c r="C23" s="51"/>
      <c r="D23" s="52">
        <v>39092</v>
      </c>
      <c r="E23" s="51" t="s">
        <v>123</v>
      </c>
      <c r="F23" s="53"/>
      <c r="G23" s="53">
        <v>783.84</v>
      </c>
      <c r="H23" s="53">
        <v>783.84</v>
      </c>
      <c r="I23" s="53">
        <v>0</v>
      </c>
      <c r="J23" s="54"/>
      <c r="K23" s="53"/>
      <c r="L23" s="53">
        <v>797.7</v>
      </c>
      <c r="M23" s="53">
        <v>797.7</v>
      </c>
      <c r="N23" s="53">
        <v>0</v>
      </c>
      <c r="O23" s="54"/>
      <c r="P23" s="53"/>
      <c r="Q23" s="53">
        <v>809.26</v>
      </c>
      <c r="R23" s="53">
        <v>809.26</v>
      </c>
      <c r="S23" s="53">
        <v>0</v>
      </c>
      <c r="T23" s="54"/>
      <c r="U23" s="53"/>
      <c r="V23" s="53">
        <v>816.94</v>
      </c>
      <c r="W23" s="53">
        <v>816.94</v>
      </c>
      <c r="X23" s="53">
        <v>0</v>
      </c>
      <c r="Y23" s="54"/>
    </row>
    <row r="24" spans="1:25" x14ac:dyDescent="0.2">
      <c r="A24" s="50" t="s">
        <v>127</v>
      </c>
      <c r="B24" s="51" t="s">
        <v>65</v>
      </c>
      <c r="C24" s="51" t="s">
        <v>117</v>
      </c>
      <c r="D24" s="52">
        <v>21309</v>
      </c>
      <c r="E24" s="51" t="s">
        <v>96</v>
      </c>
      <c r="F24" s="53">
        <v>3798.42</v>
      </c>
      <c r="G24" s="53">
        <v>1899.21</v>
      </c>
      <c r="H24" s="53">
        <v>1899.21</v>
      </c>
      <c r="I24" s="53">
        <v>0</v>
      </c>
      <c r="J24" s="54">
        <v>0</v>
      </c>
      <c r="K24" s="53">
        <v>3865.56</v>
      </c>
      <c r="L24" s="53">
        <v>1932.78</v>
      </c>
      <c r="M24" s="53">
        <v>1932.78</v>
      </c>
      <c r="N24" s="53">
        <v>0</v>
      </c>
      <c r="O24" s="54">
        <v>0</v>
      </c>
      <c r="P24" s="53">
        <v>3921.58</v>
      </c>
      <c r="Q24" s="53">
        <v>1960.79</v>
      </c>
      <c r="R24" s="53">
        <v>1960.79</v>
      </c>
      <c r="S24" s="53">
        <v>0</v>
      </c>
      <c r="T24" s="54">
        <v>0</v>
      </c>
      <c r="U24" s="53">
        <v>3958.84</v>
      </c>
      <c r="V24" s="53">
        <v>1979.42</v>
      </c>
      <c r="W24" s="53">
        <v>1979.42</v>
      </c>
      <c r="X24" s="53">
        <v>0</v>
      </c>
      <c r="Y24" s="54">
        <v>0</v>
      </c>
    </row>
    <row r="25" spans="1:25" x14ac:dyDescent="0.2">
      <c r="A25" s="50" t="s">
        <v>128</v>
      </c>
      <c r="B25" s="51" t="s">
        <v>107</v>
      </c>
      <c r="C25" s="51"/>
      <c r="D25" s="52">
        <v>23570</v>
      </c>
      <c r="E25" s="51" t="s">
        <v>96</v>
      </c>
      <c r="F25" s="53"/>
      <c r="G25" s="53">
        <v>1899.21</v>
      </c>
      <c r="H25" s="53">
        <v>1899.21</v>
      </c>
      <c r="I25" s="53">
        <v>0</v>
      </c>
      <c r="J25" s="54"/>
      <c r="K25" s="53"/>
      <c r="L25" s="53">
        <v>1932.78</v>
      </c>
      <c r="M25" s="53">
        <v>1932.78</v>
      </c>
      <c r="N25" s="53">
        <v>0</v>
      </c>
      <c r="O25" s="54"/>
      <c r="P25" s="53"/>
      <c r="Q25" s="53">
        <v>1960.79</v>
      </c>
      <c r="R25" s="53">
        <v>1960.79</v>
      </c>
      <c r="S25" s="53">
        <v>0</v>
      </c>
      <c r="T25" s="54"/>
      <c r="U25" s="53"/>
      <c r="V25" s="53">
        <v>1979.42</v>
      </c>
      <c r="W25" s="53">
        <v>1979.42</v>
      </c>
      <c r="X25" s="53">
        <v>0</v>
      </c>
      <c r="Y25" s="54"/>
    </row>
    <row r="26" spans="1:25" x14ac:dyDescent="0.2">
      <c r="A26" s="50" t="s">
        <v>129</v>
      </c>
      <c r="B26" s="51" t="s">
        <v>65</v>
      </c>
      <c r="C26" s="51" t="s">
        <v>65</v>
      </c>
      <c r="D26" s="52">
        <v>24147</v>
      </c>
      <c r="E26" s="51" t="s">
        <v>113</v>
      </c>
      <c r="F26" s="53">
        <v>1899.21</v>
      </c>
      <c r="G26" s="53">
        <v>1899.21</v>
      </c>
      <c r="H26" s="53">
        <v>1899.21</v>
      </c>
      <c r="I26" s="53">
        <v>0</v>
      </c>
      <c r="J26" s="54">
        <v>0</v>
      </c>
      <c r="K26" s="53">
        <v>1932.78</v>
      </c>
      <c r="L26" s="53">
        <v>1932.78</v>
      </c>
      <c r="M26" s="53">
        <v>1932.78</v>
      </c>
      <c r="N26" s="53">
        <v>0</v>
      </c>
      <c r="O26" s="54">
        <v>0</v>
      </c>
      <c r="P26" s="53">
        <v>1960.79</v>
      </c>
      <c r="Q26" s="53">
        <v>1960.79</v>
      </c>
      <c r="R26" s="53">
        <v>1960.79</v>
      </c>
      <c r="S26" s="53">
        <v>0</v>
      </c>
      <c r="T26" s="54">
        <v>0</v>
      </c>
      <c r="U26" s="53">
        <v>1979.42</v>
      </c>
      <c r="V26" s="53">
        <v>1979.42</v>
      </c>
      <c r="W26" s="53">
        <v>1979.42</v>
      </c>
      <c r="X26" s="53">
        <v>0</v>
      </c>
      <c r="Y26" s="54">
        <v>0</v>
      </c>
    </row>
    <row r="27" spans="1:25" x14ac:dyDescent="0.2">
      <c r="A27" s="50" t="s">
        <v>130</v>
      </c>
      <c r="B27" s="51" t="s">
        <v>65</v>
      </c>
      <c r="C27" s="51" t="s">
        <v>65</v>
      </c>
      <c r="D27" s="52">
        <v>25210</v>
      </c>
      <c r="E27" s="51" t="s">
        <v>131</v>
      </c>
      <c r="F27" s="53">
        <v>1784.26</v>
      </c>
      <c r="G27" s="53">
        <v>1784.26</v>
      </c>
      <c r="H27" s="53">
        <v>1784.26</v>
      </c>
      <c r="I27" s="53">
        <v>0</v>
      </c>
      <c r="J27" s="54">
        <v>0</v>
      </c>
      <c r="K27" s="53">
        <v>1815.8</v>
      </c>
      <c r="L27" s="53">
        <v>1815.8</v>
      </c>
      <c r="M27" s="53">
        <v>1815.8</v>
      </c>
      <c r="N27" s="53">
        <v>0</v>
      </c>
      <c r="O27" s="54">
        <v>0</v>
      </c>
      <c r="P27" s="53">
        <v>1842.11</v>
      </c>
      <c r="Q27" s="53">
        <v>1842.11</v>
      </c>
      <c r="R27" s="53">
        <v>1842.11</v>
      </c>
      <c r="S27" s="53">
        <v>0</v>
      </c>
      <c r="T27" s="54">
        <v>0</v>
      </c>
      <c r="U27" s="53">
        <v>1859.61</v>
      </c>
      <c r="V27" s="53">
        <v>1859.61</v>
      </c>
      <c r="W27" s="53">
        <v>1859.61</v>
      </c>
      <c r="X27" s="53">
        <v>0</v>
      </c>
      <c r="Y27" s="54">
        <v>0</v>
      </c>
    </row>
    <row r="28" spans="1:25" x14ac:dyDescent="0.2">
      <c r="A28" s="50" t="s">
        <v>132</v>
      </c>
      <c r="B28" s="51" t="s">
        <v>65</v>
      </c>
      <c r="C28" s="51" t="s">
        <v>65</v>
      </c>
      <c r="D28" s="52">
        <v>35103</v>
      </c>
      <c r="E28" s="51" t="s">
        <v>113</v>
      </c>
      <c r="F28" s="53">
        <v>1072.05</v>
      </c>
      <c r="G28" s="53">
        <v>1072.05</v>
      </c>
      <c r="H28" s="53">
        <v>1072.05</v>
      </c>
      <c r="I28" s="53">
        <v>0</v>
      </c>
      <c r="J28" s="54">
        <v>0</v>
      </c>
      <c r="K28" s="53">
        <v>1091</v>
      </c>
      <c r="L28" s="53">
        <v>1091</v>
      </c>
      <c r="M28" s="53">
        <v>1091</v>
      </c>
      <c r="N28" s="53">
        <v>0</v>
      </c>
      <c r="O28" s="54">
        <v>0</v>
      </c>
      <c r="P28" s="53">
        <v>1106.81</v>
      </c>
      <c r="Q28" s="53">
        <v>1106.81</v>
      </c>
      <c r="R28" s="53">
        <v>1106.81</v>
      </c>
      <c r="S28" s="53">
        <v>0</v>
      </c>
      <c r="T28" s="54">
        <v>0</v>
      </c>
      <c r="U28" s="53">
        <v>1117.33</v>
      </c>
      <c r="V28" s="53">
        <v>1117.33</v>
      </c>
      <c r="W28" s="53">
        <v>1117.33</v>
      </c>
      <c r="X28" s="53">
        <v>0</v>
      </c>
      <c r="Y28" s="54">
        <v>0</v>
      </c>
    </row>
    <row r="29" spans="1:25" x14ac:dyDescent="0.2">
      <c r="A29" s="50" t="s">
        <v>133</v>
      </c>
      <c r="B29" s="51" t="s">
        <v>65</v>
      </c>
      <c r="C29" s="51" t="s">
        <v>117</v>
      </c>
      <c r="D29" s="52">
        <v>27399</v>
      </c>
      <c r="E29" s="51" t="s">
        <v>113</v>
      </c>
      <c r="F29" s="53">
        <v>2751.35</v>
      </c>
      <c r="G29" s="53">
        <v>1492.71</v>
      </c>
      <c r="H29" s="53">
        <v>1492.71</v>
      </c>
      <c r="I29" s="53">
        <v>0</v>
      </c>
      <c r="J29" s="54">
        <v>0</v>
      </c>
      <c r="K29" s="53">
        <v>2799.99</v>
      </c>
      <c r="L29" s="53">
        <v>1519.1</v>
      </c>
      <c r="M29" s="53">
        <v>1519.1</v>
      </c>
      <c r="N29" s="53">
        <v>0</v>
      </c>
      <c r="O29" s="54">
        <v>0</v>
      </c>
      <c r="P29" s="53">
        <v>2840.56</v>
      </c>
      <c r="Q29" s="53">
        <v>1541.11</v>
      </c>
      <c r="R29" s="53">
        <v>1541.11</v>
      </c>
      <c r="S29" s="53">
        <v>0</v>
      </c>
      <c r="T29" s="54">
        <v>0</v>
      </c>
      <c r="U29" s="53">
        <v>2867.55</v>
      </c>
      <c r="V29" s="53">
        <v>1555.75</v>
      </c>
      <c r="W29" s="53">
        <v>1555.75</v>
      </c>
      <c r="X29" s="53">
        <v>0</v>
      </c>
      <c r="Y29" s="54">
        <v>0</v>
      </c>
    </row>
    <row r="30" spans="1:25" x14ac:dyDescent="0.2">
      <c r="A30" s="50" t="s">
        <v>134</v>
      </c>
      <c r="B30" s="51" t="s">
        <v>107</v>
      </c>
      <c r="C30" s="51"/>
      <c r="D30" s="52">
        <v>29502</v>
      </c>
      <c r="E30" s="51" t="s">
        <v>113</v>
      </c>
      <c r="F30" s="53"/>
      <c r="G30" s="53">
        <v>1258.6400000000001</v>
      </c>
      <c r="H30" s="53">
        <v>1258.6400000000001</v>
      </c>
      <c r="I30" s="53">
        <v>0</v>
      </c>
      <c r="J30" s="54"/>
      <c r="K30" s="53"/>
      <c r="L30" s="53">
        <v>1280.8900000000001</v>
      </c>
      <c r="M30" s="53">
        <v>1280.8900000000001</v>
      </c>
      <c r="N30" s="53">
        <v>0</v>
      </c>
      <c r="O30" s="54"/>
      <c r="P30" s="53"/>
      <c r="Q30" s="53">
        <v>1299.45</v>
      </c>
      <c r="R30" s="53">
        <v>1299.45</v>
      </c>
      <c r="S30" s="53">
        <v>0</v>
      </c>
      <c r="T30" s="54"/>
      <c r="U30" s="53"/>
      <c r="V30" s="53">
        <v>1311.8</v>
      </c>
      <c r="W30" s="53">
        <v>1311.8</v>
      </c>
      <c r="X30" s="53">
        <v>0</v>
      </c>
      <c r="Y30" s="54"/>
    </row>
    <row r="31" spans="1:25" x14ac:dyDescent="0.2">
      <c r="A31" s="50" t="s">
        <v>135</v>
      </c>
      <c r="B31" s="51" t="s">
        <v>65</v>
      </c>
      <c r="C31" s="51" t="s">
        <v>104</v>
      </c>
      <c r="D31" s="52">
        <v>24592</v>
      </c>
      <c r="E31" s="51" t="s">
        <v>111</v>
      </c>
      <c r="F31" s="53">
        <v>4839.6499999999996</v>
      </c>
      <c r="G31" s="53">
        <v>1899.21</v>
      </c>
      <c r="H31" s="53">
        <v>1899.21</v>
      </c>
      <c r="I31" s="53">
        <v>0</v>
      </c>
      <c r="J31" s="54">
        <v>0</v>
      </c>
      <c r="K31" s="53">
        <v>4925.2</v>
      </c>
      <c r="L31" s="53">
        <v>1932.78</v>
      </c>
      <c r="M31" s="53">
        <v>1932.78</v>
      </c>
      <c r="N31" s="53">
        <v>0</v>
      </c>
      <c r="O31" s="54">
        <v>0</v>
      </c>
      <c r="P31" s="53">
        <v>4996.57</v>
      </c>
      <c r="Q31" s="53">
        <v>1960.79</v>
      </c>
      <c r="R31" s="53">
        <v>1960.79</v>
      </c>
      <c r="S31" s="53">
        <v>0</v>
      </c>
      <c r="T31" s="54">
        <v>0</v>
      </c>
      <c r="U31" s="53">
        <v>5044.05</v>
      </c>
      <c r="V31" s="53">
        <v>1979.42</v>
      </c>
      <c r="W31" s="53">
        <v>1979.42</v>
      </c>
      <c r="X31" s="53">
        <v>0</v>
      </c>
      <c r="Y31" s="54">
        <v>0</v>
      </c>
    </row>
    <row r="32" spans="1:25" x14ac:dyDescent="0.2">
      <c r="A32" s="50" t="s">
        <v>136</v>
      </c>
      <c r="B32" s="51" t="s">
        <v>107</v>
      </c>
      <c r="C32" s="51"/>
      <c r="D32" s="52">
        <v>22616</v>
      </c>
      <c r="E32" s="51" t="s">
        <v>111</v>
      </c>
      <c r="F32" s="53"/>
      <c r="G32" s="53">
        <v>1899.21</v>
      </c>
      <c r="H32" s="53">
        <v>1899.21</v>
      </c>
      <c r="I32" s="53">
        <v>0</v>
      </c>
      <c r="J32" s="54"/>
      <c r="K32" s="53"/>
      <c r="L32" s="53">
        <v>1932.78</v>
      </c>
      <c r="M32" s="53">
        <v>1932.78</v>
      </c>
      <c r="N32" s="53">
        <v>0</v>
      </c>
      <c r="O32" s="54"/>
      <c r="P32" s="53"/>
      <c r="Q32" s="53">
        <v>1960.79</v>
      </c>
      <c r="R32" s="53">
        <v>1960.79</v>
      </c>
      <c r="S32" s="53">
        <v>0</v>
      </c>
      <c r="T32" s="54"/>
      <c r="U32" s="53"/>
      <c r="V32" s="53">
        <v>1979.42</v>
      </c>
      <c r="W32" s="53">
        <v>1979.42</v>
      </c>
      <c r="X32" s="53">
        <v>0</v>
      </c>
      <c r="Y32" s="54"/>
    </row>
    <row r="33" spans="1:25" x14ac:dyDescent="0.2">
      <c r="A33" s="50" t="s">
        <v>137</v>
      </c>
      <c r="B33" s="51" t="s">
        <v>109</v>
      </c>
      <c r="C33" s="51"/>
      <c r="D33" s="52">
        <v>37842</v>
      </c>
      <c r="E33" s="51" t="s">
        <v>111</v>
      </c>
      <c r="F33" s="53"/>
      <c r="G33" s="53">
        <v>1041.23</v>
      </c>
      <c r="H33" s="53">
        <v>1041.23</v>
      </c>
      <c r="I33" s="53">
        <v>0</v>
      </c>
      <c r="J33" s="54"/>
      <c r="K33" s="53"/>
      <c r="L33" s="53">
        <v>1059.6400000000001</v>
      </c>
      <c r="M33" s="53">
        <v>1059.6400000000001</v>
      </c>
      <c r="N33" s="53">
        <v>0</v>
      </c>
      <c r="O33" s="54"/>
      <c r="P33" s="53"/>
      <c r="Q33" s="53">
        <v>1074.99</v>
      </c>
      <c r="R33" s="53">
        <v>1074.99</v>
      </c>
      <c r="S33" s="53">
        <v>0</v>
      </c>
      <c r="T33" s="54"/>
      <c r="U33" s="53"/>
      <c r="V33" s="53">
        <v>1085.21</v>
      </c>
      <c r="W33" s="53">
        <v>1085.21</v>
      </c>
      <c r="X33" s="53">
        <v>0</v>
      </c>
      <c r="Y33" s="54"/>
    </row>
    <row r="34" spans="1:25" x14ac:dyDescent="0.2">
      <c r="A34" s="50" t="s">
        <v>138</v>
      </c>
      <c r="B34" s="51" t="s">
        <v>65</v>
      </c>
      <c r="C34" s="51" t="s">
        <v>65</v>
      </c>
      <c r="D34" s="52">
        <v>35401</v>
      </c>
      <c r="E34" s="51" t="s">
        <v>113</v>
      </c>
      <c r="F34" s="53">
        <v>1062.06</v>
      </c>
      <c r="G34" s="53">
        <v>1062.06</v>
      </c>
      <c r="H34" s="53">
        <v>1062.06</v>
      </c>
      <c r="I34" s="53">
        <v>0</v>
      </c>
      <c r="J34" s="54">
        <v>0</v>
      </c>
      <c r="K34" s="53">
        <v>1080.83</v>
      </c>
      <c r="L34" s="53">
        <v>1080.83</v>
      </c>
      <c r="M34" s="53">
        <v>1080.83</v>
      </c>
      <c r="N34" s="53">
        <v>0</v>
      </c>
      <c r="O34" s="54">
        <v>0</v>
      </c>
      <c r="P34" s="53">
        <v>1096.49</v>
      </c>
      <c r="Q34" s="53">
        <v>1096.49</v>
      </c>
      <c r="R34" s="53">
        <v>1096.49</v>
      </c>
      <c r="S34" s="53">
        <v>0</v>
      </c>
      <c r="T34" s="54">
        <v>0</v>
      </c>
      <c r="U34" s="53">
        <v>1106.9100000000001</v>
      </c>
      <c r="V34" s="53">
        <v>1106.9100000000001</v>
      </c>
      <c r="W34" s="53">
        <v>1106.9100000000001</v>
      </c>
      <c r="X34" s="53">
        <v>0</v>
      </c>
      <c r="Y34" s="54">
        <v>0</v>
      </c>
    </row>
    <row r="35" spans="1:25" x14ac:dyDescent="0.2">
      <c r="A35" s="50" t="s">
        <v>139</v>
      </c>
      <c r="B35" s="51" t="s">
        <v>65</v>
      </c>
      <c r="C35" s="51" t="s">
        <v>65</v>
      </c>
      <c r="D35" s="52">
        <v>35453</v>
      </c>
      <c r="E35" s="51" t="s">
        <v>113</v>
      </c>
      <c r="F35" s="53">
        <v>1062.06</v>
      </c>
      <c r="G35" s="53">
        <v>1062.06</v>
      </c>
      <c r="H35" s="53">
        <v>1062.06</v>
      </c>
      <c r="I35" s="53">
        <v>0</v>
      </c>
      <c r="J35" s="54">
        <v>0</v>
      </c>
      <c r="K35" s="53">
        <v>1080.83</v>
      </c>
      <c r="L35" s="53">
        <v>1080.83</v>
      </c>
      <c r="M35" s="53">
        <v>1080.83</v>
      </c>
      <c r="N35" s="53">
        <v>0</v>
      </c>
      <c r="O35" s="54">
        <v>0</v>
      </c>
      <c r="P35" s="53">
        <v>1096.49</v>
      </c>
      <c r="Q35" s="53">
        <v>1096.49</v>
      </c>
      <c r="R35" s="53">
        <v>1096.49</v>
      </c>
      <c r="S35" s="53">
        <v>0</v>
      </c>
      <c r="T35" s="54">
        <v>0</v>
      </c>
      <c r="U35" s="53">
        <v>1106.9100000000001</v>
      </c>
      <c r="V35" s="53">
        <v>1106.9100000000001</v>
      </c>
      <c r="W35" s="53">
        <v>1106.9100000000001</v>
      </c>
      <c r="X35" s="53">
        <v>0</v>
      </c>
      <c r="Y35" s="54">
        <v>0</v>
      </c>
    </row>
    <row r="36" spans="1:25" x14ac:dyDescent="0.2">
      <c r="A36" s="50" t="s">
        <v>140</v>
      </c>
      <c r="B36" s="51" t="s">
        <v>65</v>
      </c>
      <c r="C36" s="51" t="s">
        <v>65</v>
      </c>
      <c r="D36" s="52">
        <v>34864</v>
      </c>
      <c r="E36" s="51" t="s">
        <v>118</v>
      </c>
      <c r="F36" s="53">
        <v>1072.05</v>
      </c>
      <c r="G36" s="53">
        <v>1072.05</v>
      </c>
      <c r="H36" s="53">
        <v>1072.05</v>
      </c>
      <c r="I36" s="53">
        <v>0</v>
      </c>
      <c r="J36" s="54">
        <v>0</v>
      </c>
      <c r="K36" s="53">
        <v>1091</v>
      </c>
      <c r="L36" s="53">
        <v>1091</v>
      </c>
      <c r="M36" s="53">
        <v>1091</v>
      </c>
      <c r="N36" s="53">
        <v>0</v>
      </c>
      <c r="O36" s="54">
        <v>0</v>
      </c>
      <c r="P36" s="53">
        <v>1106.81</v>
      </c>
      <c r="Q36" s="53">
        <v>1106.81</v>
      </c>
      <c r="R36" s="53">
        <v>1106.81</v>
      </c>
      <c r="S36" s="53">
        <v>0</v>
      </c>
      <c r="T36" s="54">
        <v>0</v>
      </c>
      <c r="U36" s="53">
        <v>1117.33</v>
      </c>
      <c r="V36" s="53">
        <v>1117.33</v>
      </c>
      <c r="W36" s="53">
        <v>1117.33</v>
      </c>
      <c r="X36" s="53">
        <v>0</v>
      </c>
      <c r="Y36" s="54">
        <v>0</v>
      </c>
    </row>
    <row r="37" spans="1:25" x14ac:dyDescent="0.2">
      <c r="A37" s="50" t="s">
        <v>141</v>
      </c>
      <c r="B37" s="51" t="s">
        <v>65</v>
      </c>
      <c r="C37" s="51" t="s">
        <v>104</v>
      </c>
      <c r="D37" s="52">
        <v>26666</v>
      </c>
      <c r="E37" s="51" t="s">
        <v>118</v>
      </c>
      <c r="F37" s="53">
        <v>4760.5200000000004</v>
      </c>
      <c r="G37" s="53">
        <v>1584.34</v>
      </c>
      <c r="H37" s="53">
        <v>1584.34</v>
      </c>
      <c r="I37" s="53">
        <v>0</v>
      </c>
      <c r="J37" s="54">
        <v>0</v>
      </c>
      <c r="K37" s="53">
        <v>4844.66</v>
      </c>
      <c r="L37" s="53">
        <v>1612.34</v>
      </c>
      <c r="M37" s="53">
        <v>1612.34</v>
      </c>
      <c r="N37" s="53">
        <v>0</v>
      </c>
      <c r="O37" s="54">
        <v>0</v>
      </c>
      <c r="P37" s="53">
        <v>4914.87</v>
      </c>
      <c r="Q37" s="53">
        <v>1635.71</v>
      </c>
      <c r="R37" s="53">
        <v>1635.71</v>
      </c>
      <c r="S37" s="53">
        <v>0</v>
      </c>
      <c r="T37" s="54">
        <v>0</v>
      </c>
      <c r="U37" s="53">
        <v>4961.57</v>
      </c>
      <c r="V37" s="53">
        <v>1651.25</v>
      </c>
      <c r="W37" s="53">
        <v>1651.25</v>
      </c>
      <c r="X37" s="53">
        <v>0</v>
      </c>
      <c r="Y37" s="54">
        <v>0</v>
      </c>
    </row>
    <row r="38" spans="1:25" x14ac:dyDescent="0.2">
      <c r="A38" s="50" t="s">
        <v>142</v>
      </c>
      <c r="B38" s="51" t="s">
        <v>107</v>
      </c>
      <c r="C38" s="51"/>
      <c r="D38" s="52">
        <v>28717</v>
      </c>
      <c r="E38" s="51" t="s">
        <v>118</v>
      </c>
      <c r="F38" s="53"/>
      <c r="G38" s="53">
        <v>1326.95</v>
      </c>
      <c r="H38" s="53">
        <v>1326.95</v>
      </c>
      <c r="I38" s="53">
        <v>0</v>
      </c>
      <c r="J38" s="54"/>
      <c r="K38" s="53"/>
      <c r="L38" s="53">
        <v>1350.4</v>
      </c>
      <c r="M38" s="53">
        <v>1350.4</v>
      </c>
      <c r="N38" s="53">
        <v>0</v>
      </c>
      <c r="O38" s="54"/>
      <c r="P38" s="53"/>
      <c r="Q38" s="53">
        <v>1369.97</v>
      </c>
      <c r="R38" s="53">
        <v>1369.97</v>
      </c>
      <c r="S38" s="53">
        <v>0</v>
      </c>
      <c r="T38" s="54"/>
      <c r="U38" s="53"/>
      <c r="V38" s="53">
        <v>1382.99</v>
      </c>
      <c r="W38" s="53">
        <v>1382.99</v>
      </c>
      <c r="X38" s="53">
        <v>0</v>
      </c>
      <c r="Y38" s="54"/>
    </row>
    <row r="39" spans="1:25" x14ac:dyDescent="0.2">
      <c r="A39" s="50" t="s">
        <v>143</v>
      </c>
      <c r="B39" s="51" t="s">
        <v>109</v>
      </c>
      <c r="C39" s="51"/>
      <c r="D39" s="52">
        <v>37384</v>
      </c>
      <c r="E39" s="51" t="s">
        <v>118</v>
      </c>
      <c r="F39" s="53"/>
      <c r="G39" s="53">
        <v>1041.23</v>
      </c>
      <c r="H39" s="53">
        <v>1041.23</v>
      </c>
      <c r="I39" s="53">
        <v>0</v>
      </c>
      <c r="J39" s="54"/>
      <c r="K39" s="53"/>
      <c r="L39" s="53">
        <v>1059.6400000000001</v>
      </c>
      <c r="M39" s="53">
        <v>1059.6400000000001</v>
      </c>
      <c r="N39" s="53">
        <v>0</v>
      </c>
      <c r="O39" s="54"/>
      <c r="P39" s="53"/>
      <c r="Q39" s="53">
        <v>1074.99</v>
      </c>
      <c r="R39" s="53">
        <v>1074.99</v>
      </c>
      <c r="S39" s="53">
        <v>0</v>
      </c>
      <c r="T39" s="54"/>
      <c r="U39" s="53"/>
      <c r="V39" s="53">
        <v>1085.21</v>
      </c>
      <c r="W39" s="53">
        <v>1085.21</v>
      </c>
      <c r="X39" s="53">
        <v>0</v>
      </c>
      <c r="Y39" s="54"/>
    </row>
    <row r="40" spans="1:25" x14ac:dyDescent="0.2">
      <c r="A40" s="50" t="s">
        <v>144</v>
      </c>
      <c r="B40" s="51" t="s">
        <v>109</v>
      </c>
      <c r="C40" s="51"/>
      <c r="D40" s="52">
        <v>38688</v>
      </c>
      <c r="E40" s="51" t="s">
        <v>118</v>
      </c>
      <c r="F40" s="53"/>
      <c r="G40" s="53">
        <v>808</v>
      </c>
      <c r="H40" s="53">
        <v>808</v>
      </c>
      <c r="I40" s="53">
        <v>0</v>
      </c>
      <c r="J40" s="54"/>
      <c r="K40" s="53"/>
      <c r="L40" s="53">
        <v>822.28</v>
      </c>
      <c r="M40" s="53">
        <v>822.28</v>
      </c>
      <c r="N40" s="53">
        <v>0</v>
      </c>
      <c r="O40" s="54"/>
      <c r="P40" s="53"/>
      <c r="Q40" s="53">
        <v>834.2</v>
      </c>
      <c r="R40" s="53">
        <v>834.2</v>
      </c>
      <c r="S40" s="53">
        <v>0</v>
      </c>
      <c r="T40" s="54"/>
      <c r="U40" s="53"/>
      <c r="V40" s="53">
        <v>842.12</v>
      </c>
      <c r="W40" s="53">
        <v>842.12</v>
      </c>
      <c r="X40" s="53">
        <v>0</v>
      </c>
      <c r="Y40" s="54"/>
    </row>
    <row r="41" spans="1:25" x14ac:dyDescent="0.2">
      <c r="A41" s="50" t="s">
        <v>145</v>
      </c>
      <c r="B41" s="51" t="s">
        <v>65</v>
      </c>
      <c r="C41" s="51" t="s">
        <v>65</v>
      </c>
      <c r="D41" s="52">
        <v>36146</v>
      </c>
      <c r="E41" s="51" t="s">
        <v>111</v>
      </c>
      <c r="F41" s="53">
        <v>1041.23</v>
      </c>
      <c r="G41" s="53">
        <v>1041.23</v>
      </c>
      <c r="H41" s="53">
        <v>1041.23</v>
      </c>
      <c r="I41" s="53">
        <v>0</v>
      </c>
      <c r="J41" s="54">
        <v>0</v>
      </c>
      <c r="K41" s="53">
        <v>1059.6400000000001</v>
      </c>
      <c r="L41" s="53">
        <v>1059.6400000000001</v>
      </c>
      <c r="M41" s="53">
        <v>1059.6400000000001</v>
      </c>
      <c r="N41" s="53">
        <v>0</v>
      </c>
      <c r="O41" s="54">
        <v>0</v>
      </c>
      <c r="P41" s="53">
        <v>1074.99</v>
      </c>
      <c r="Q41" s="53">
        <v>1074.99</v>
      </c>
      <c r="R41" s="53">
        <v>1074.99</v>
      </c>
      <c r="S41" s="53">
        <v>0</v>
      </c>
      <c r="T41" s="54">
        <v>0</v>
      </c>
      <c r="U41" s="53">
        <v>1085.21</v>
      </c>
      <c r="V41" s="53">
        <v>1085.21</v>
      </c>
      <c r="W41" s="53">
        <v>1085.21</v>
      </c>
      <c r="X41" s="53">
        <v>0</v>
      </c>
      <c r="Y41" s="54">
        <v>0</v>
      </c>
    </row>
    <row r="42" spans="1:25" x14ac:dyDescent="0.2">
      <c r="A42" s="50" t="s">
        <v>146</v>
      </c>
      <c r="B42" s="51" t="s">
        <v>65</v>
      </c>
      <c r="C42" s="51" t="s">
        <v>65</v>
      </c>
      <c r="D42" s="52">
        <v>35249</v>
      </c>
      <c r="E42" s="51" t="s">
        <v>147</v>
      </c>
      <c r="F42" s="53">
        <v>1062.06</v>
      </c>
      <c r="G42" s="53">
        <v>1062.06</v>
      </c>
      <c r="H42" s="53">
        <v>1062.06</v>
      </c>
      <c r="I42" s="53">
        <v>0</v>
      </c>
      <c r="J42" s="54">
        <v>0</v>
      </c>
      <c r="K42" s="53">
        <v>1080.83</v>
      </c>
      <c r="L42" s="53">
        <v>1080.83</v>
      </c>
      <c r="M42" s="53">
        <v>1080.83</v>
      </c>
      <c r="N42" s="53">
        <v>0</v>
      </c>
      <c r="O42" s="54">
        <v>0</v>
      </c>
      <c r="P42" s="53">
        <v>1096.49</v>
      </c>
      <c r="Q42" s="53">
        <v>1096.49</v>
      </c>
      <c r="R42" s="53">
        <v>1096.49</v>
      </c>
      <c r="S42" s="53">
        <v>0</v>
      </c>
      <c r="T42" s="54">
        <v>0</v>
      </c>
      <c r="U42" s="53">
        <v>1106.9100000000001</v>
      </c>
      <c r="V42" s="53">
        <v>1106.9100000000001</v>
      </c>
      <c r="W42" s="53">
        <v>1106.9100000000001</v>
      </c>
      <c r="X42" s="53">
        <v>0</v>
      </c>
      <c r="Y42" s="54">
        <v>0</v>
      </c>
    </row>
    <row r="43" spans="1:25" ht="16.149999999999999" customHeight="1" x14ac:dyDescent="0.2">
      <c r="A43" s="226" t="s">
        <v>81</v>
      </c>
      <c r="B43" s="227"/>
      <c r="C43" s="227"/>
      <c r="D43" s="227"/>
      <c r="E43" s="227"/>
      <c r="F43" s="211" t="s">
        <v>203</v>
      </c>
      <c r="G43" s="212"/>
      <c r="H43" s="212"/>
      <c r="I43" s="212"/>
      <c r="J43" s="213"/>
      <c r="K43" s="211" t="s">
        <v>205</v>
      </c>
      <c r="L43" s="212"/>
      <c r="M43" s="212"/>
      <c r="N43" s="212"/>
      <c r="O43" s="213"/>
      <c r="P43" s="211" t="s">
        <v>207</v>
      </c>
      <c r="Q43" s="212"/>
      <c r="R43" s="212"/>
      <c r="S43" s="212"/>
      <c r="T43" s="213"/>
      <c r="U43" s="211" t="s">
        <v>209</v>
      </c>
      <c r="V43" s="212"/>
      <c r="W43" s="212"/>
      <c r="X43" s="212"/>
      <c r="Y43" s="213"/>
    </row>
    <row r="44" spans="1:25" ht="13.9" customHeight="1" x14ac:dyDescent="0.2">
      <c r="A44" s="228" t="s">
        <v>82</v>
      </c>
      <c r="B44" s="229"/>
      <c r="C44" s="229"/>
      <c r="D44" s="229"/>
      <c r="E44" s="229"/>
      <c r="F44" s="214">
        <v>11952.53</v>
      </c>
      <c r="G44" s="215"/>
      <c r="H44" s="215"/>
      <c r="I44" s="215"/>
      <c r="J44" s="216"/>
      <c r="K44" s="214">
        <v>12163.81</v>
      </c>
      <c r="L44" s="215"/>
      <c r="M44" s="215"/>
      <c r="N44" s="215"/>
      <c r="O44" s="216"/>
      <c r="P44" s="214">
        <v>12340.08</v>
      </c>
      <c r="Q44" s="215"/>
      <c r="R44" s="215"/>
      <c r="S44" s="215"/>
      <c r="T44" s="216"/>
      <c r="U44" s="214">
        <v>12457.31</v>
      </c>
      <c r="V44" s="215"/>
      <c r="W44" s="215"/>
      <c r="X44" s="215"/>
      <c r="Y44" s="216"/>
    </row>
    <row r="45" spans="1:25" ht="13.9" customHeight="1" x14ac:dyDescent="0.2">
      <c r="A45" s="230" t="s">
        <v>83</v>
      </c>
      <c r="B45" s="231"/>
      <c r="C45" s="231"/>
      <c r="D45" s="231"/>
      <c r="E45" s="231"/>
      <c r="F45" s="208">
        <f>F44*12</f>
        <v>143430.36000000002</v>
      </c>
      <c r="G45" s="209"/>
      <c r="H45" s="209"/>
      <c r="I45" s="209"/>
      <c r="J45" s="210"/>
      <c r="K45" s="208">
        <f>K44*12</f>
        <v>145965.72</v>
      </c>
      <c r="L45" s="209"/>
      <c r="M45" s="209"/>
      <c r="N45" s="209"/>
      <c r="O45" s="210"/>
      <c r="P45" s="208">
        <f>P44*12</f>
        <v>148080.95999999999</v>
      </c>
      <c r="Q45" s="209"/>
      <c r="R45" s="209"/>
      <c r="S45" s="209"/>
      <c r="T45" s="210"/>
      <c r="U45" s="208">
        <f>U44*12</f>
        <v>149487.72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100-000000000000}"/>
    <hyperlink ref="F46" r:id="rId2" xr:uid="{00000000-0004-0000-5100-000001000000}"/>
    <hyperlink ref="K7" r:id="rId3" xr:uid="{00000000-0004-0000-5100-000002000000}"/>
    <hyperlink ref="K46" r:id="rId4" xr:uid="{00000000-0004-0000-5100-000003000000}"/>
    <hyperlink ref="P7" r:id="rId5" xr:uid="{00000000-0004-0000-5100-000004000000}"/>
    <hyperlink ref="P46" r:id="rId6" xr:uid="{00000000-0004-0000-5100-000005000000}"/>
    <hyperlink ref="U7" r:id="rId7" xr:uid="{00000000-0004-0000-5100-000006000000}"/>
    <hyperlink ref="U46" r:id="rId8" xr:uid="{00000000-0004-0000-51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B59F0-182D-40BC-A983-94295BA9B80B}">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172</v>
      </c>
      <c r="Q5" s="118"/>
      <c r="R5" s="118"/>
      <c r="S5" s="118"/>
      <c r="T5" s="120"/>
      <c r="U5" s="117" t="s">
        <v>167</v>
      </c>
      <c r="V5" s="118"/>
      <c r="W5" s="118"/>
      <c r="X5" s="118"/>
      <c r="Y5" s="120"/>
    </row>
    <row r="6" spans="1:25" x14ac:dyDescent="0.2">
      <c r="A6" s="247"/>
      <c r="B6" s="248"/>
      <c r="C6" s="248"/>
      <c r="D6" s="248"/>
      <c r="E6" s="248"/>
      <c r="F6" s="121" t="s">
        <v>210</v>
      </c>
      <c r="G6" s="122"/>
      <c r="H6" s="122"/>
      <c r="I6" s="122"/>
      <c r="J6" s="124"/>
      <c r="K6" s="121" t="s">
        <v>212</v>
      </c>
      <c r="L6" s="122"/>
      <c r="M6" s="122"/>
      <c r="N6" s="122"/>
      <c r="O6" s="124"/>
      <c r="P6" s="121" t="s">
        <v>214</v>
      </c>
      <c r="Q6" s="122"/>
      <c r="R6" s="122"/>
      <c r="S6" s="122"/>
      <c r="T6" s="124"/>
      <c r="U6" s="121" t="s">
        <v>216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211</v>
      </c>
      <c r="G8" s="233"/>
      <c r="H8" s="233"/>
      <c r="I8" s="233"/>
      <c r="J8" s="234"/>
      <c r="K8" s="232" t="s">
        <v>213</v>
      </c>
      <c r="L8" s="233"/>
      <c r="M8" s="233"/>
      <c r="N8" s="233"/>
      <c r="O8" s="234"/>
      <c r="P8" s="232" t="s">
        <v>215</v>
      </c>
      <c r="Q8" s="233"/>
      <c r="R8" s="233"/>
      <c r="S8" s="233"/>
      <c r="T8" s="234"/>
      <c r="U8" s="232" t="s">
        <v>217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4706.37</v>
      </c>
      <c r="G10" s="53">
        <v>2149.98</v>
      </c>
      <c r="H10" s="53">
        <v>2149.98</v>
      </c>
      <c r="I10" s="53">
        <v>0</v>
      </c>
      <c r="J10" s="54">
        <v>0</v>
      </c>
      <c r="K10" s="53">
        <v>4751.0600000000004</v>
      </c>
      <c r="L10" s="53">
        <v>2170.39</v>
      </c>
      <c r="M10" s="53">
        <v>2170.39</v>
      </c>
      <c r="N10" s="53">
        <v>0</v>
      </c>
      <c r="O10" s="54">
        <v>0</v>
      </c>
      <c r="P10" s="53">
        <v>4781.75</v>
      </c>
      <c r="Q10" s="53">
        <v>2184.41</v>
      </c>
      <c r="R10" s="53">
        <v>2184.41</v>
      </c>
      <c r="S10" s="53">
        <v>0</v>
      </c>
      <c r="T10" s="54">
        <v>0</v>
      </c>
      <c r="U10" s="53">
        <v>5192.1499999999996</v>
      </c>
      <c r="V10" s="53">
        <v>2371.89</v>
      </c>
      <c r="W10" s="53">
        <v>2371.89</v>
      </c>
      <c r="X10" s="53">
        <v>0</v>
      </c>
      <c r="Y10" s="54">
        <v>0</v>
      </c>
    </row>
    <row r="11" spans="1:25" x14ac:dyDescent="0.2">
      <c r="A11" s="50" t="s">
        <v>106</v>
      </c>
      <c r="B11" s="51" t="s">
        <v>107</v>
      </c>
      <c r="C11" s="51"/>
      <c r="D11" s="52">
        <v>27837</v>
      </c>
      <c r="E11" s="51" t="s">
        <v>105</v>
      </c>
      <c r="F11" s="53"/>
      <c r="G11" s="53">
        <v>1641.71</v>
      </c>
      <c r="H11" s="53">
        <v>1641.71</v>
      </c>
      <c r="I11" s="53">
        <v>0</v>
      </c>
      <c r="J11" s="54"/>
      <c r="K11" s="53"/>
      <c r="L11" s="53">
        <v>1657.3</v>
      </c>
      <c r="M11" s="53">
        <v>1657.3</v>
      </c>
      <c r="N11" s="53">
        <v>0</v>
      </c>
      <c r="O11" s="54"/>
      <c r="P11" s="53"/>
      <c r="Q11" s="53">
        <v>1668.01</v>
      </c>
      <c r="R11" s="53">
        <v>1668.01</v>
      </c>
      <c r="S11" s="53">
        <v>0</v>
      </c>
      <c r="T11" s="54"/>
      <c r="U11" s="53"/>
      <c r="V11" s="53">
        <v>1811.17</v>
      </c>
      <c r="W11" s="53">
        <v>1811.17</v>
      </c>
      <c r="X11" s="53">
        <v>0</v>
      </c>
      <c r="Y11" s="54"/>
    </row>
    <row r="12" spans="1:25" x14ac:dyDescent="0.2">
      <c r="A12" s="50" t="s">
        <v>108</v>
      </c>
      <c r="B12" s="51" t="s">
        <v>109</v>
      </c>
      <c r="C12" s="51"/>
      <c r="D12" s="52">
        <v>38648</v>
      </c>
      <c r="E12" s="51" t="s">
        <v>105</v>
      </c>
      <c r="F12" s="53"/>
      <c r="G12" s="53">
        <v>914.68</v>
      </c>
      <c r="H12" s="53">
        <v>914.68</v>
      </c>
      <c r="I12" s="53">
        <v>0</v>
      </c>
      <c r="J12" s="54"/>
      <c r="K12" s="53"/>
      <c r="L12" s="53">
        <v>923.37</v>
      </c>
      <c r="M12" s="53">
        <v>923.37</v>
      </c>
      <c r="N12" s="53">
        <v>0</v>
      </c>
      <c r="O12" s="54"/>
      <c r="P12" s="53"/>
      <c r="Q12" s="53">
        <v>929.33</v>
      </c>
      <c r="R12" s="53">
        <v>929.33</v>
      </c>
      <c r="S12" s="53">
        <v>0</v>
      </c>
      <c r="T12" s="54"/>
      <c r="U12" s="53"/>
      <c r="V12" s="53">
        <v>1009.09</v>
      </c>
      <c r="W12" s="53">
        <v>1009.09</v>
      </c>
      <c r="X12" s="53">
        <v>0</v>
      </c>
      <c r="Y12" s="54"/>
    </row>
    <row r="13" spans="1:25" x14ac:dyDescent="0.2">
      <c r="A13" s="50" t="s">
        <v>110</v>
      </c>
      <c r="B13" s="51" t="s">
        <v>65</v>
      </c>
      <c r="C13" s="51" t="s">
        <v>65</v>
      </c>
      <c r="D13" s="52">
        <v>36345</v>
      </c>
      <c r="E13" s="51" t="s">
        <v>111</v>
      </c>
      <c r="F13" s="53">
        <v>1178.71</v>
      </c>
      <c r="G13" s="53">
        <v>1178.71</v>
      </c>
      <c r="H13" s="53">
        <v>1178.71</v>
      </c>
      <c r="I13" s="53">
        <v>0</v>
      </c>
      <c r="J13" s="54">
        <v>0</v>
      </c>
      <c r="K13" s="53">
        <v>1189.9100000000001</v>
      </c>
      <c r="L13" s="53">
        <v>1189.9100000000001</v>
      </c>
      <c r="M13" s="53">
        <v>1189.9100000000001</v>
      </c>
      <c r="N13" s="53">
        <v>0</v>
      </c>
      <c r="O13" s="54">
        <v>0</v>
      </c>
      <c r="P13" s="53">
        <v>1197.5899999999999</v>
      </c>
      <c r="Q13" s="53">
        <v>1197.5899999999999</v>
      </c>
      <c r="R13" s="53">
        <v>1197.5899999999999</v>
      </c>
      <c r="S13" s="53">
        <v>0</v>
      </c>
      <c r="T13" s="54">
        <v>0</v>
      </c>
      <c r="U13" s="53">
        <v>1300.3800000000001</v>
      </c>
      <c r="V13" s="53">
        <v>1300.3800000000001</v>
      </c>
      <c r="W13" s="53">
        <v>1300.3800000000001</v>
      </c>
      <c r="X13" s="53">
        <v>0</v>
      </c>
      <c r="Y13" s="54">
        <v>0</v>
      </c>
    </row>
    <row r="14" spans="1:25" x14ac:dyDescent="0.2">
      <c r="A14" s="50" t="s">
        <v>112</v>
      </c>
      <c r="B14" s="51" t="s">
        <v>65</v>
      </c>
      <c r="C14" s="51" t="s">
        <v>104</v>
      </c>
      <c r="D14" s="52">
        <v>24895</v>
      </c>
      <c r="E14" s="51" t="s">
        <v>113</v>
      </c>
      <c r="F14" s="53">
        <v>5144.8599999999997</v>
      </c>
      <c r="G14" s="53">
        <v>2080.1999999999998</v>
      </c>
      <c r="H14" s="53">
        <v>2080.1999999999998</v>
      </c>
      <c r="I14" s="53">
        <v>0</v>
      </c>
      <c r="J14" s="54">
        <v>0</v>
      </c>
      <c r="K14" s="53">
        <v>5193.7</v>
      </c>
      <c r="L14" s="53">
        <v>2099.94</v>
      </c>
      <c r="M14" s="53">
        <v>2099.94</v>
      </c>
      <c r="N14" s="53">
        <v>0</v>
      </c>
      <c r="O14" s="54">
        <v>0</v>
      </c>
      <c r="P14" s="53">
        <v>5227.25</v>
      </c>
      <c r="Q14" s="53">
        <v>2113.5100000000002</v>
      </c>
      <c r="R14" s="53">
        <v>2113.5100000000002</v>
      </c>
      <c r="S14" s="53">
        <v>0</v>
      </c>
      <c r="T14" s="54">
        <v>0</v>
      </c>
      <c r="U14" s="53">
        <v>5675.89</v>
      </c>
      <c r="V14" s="53">
        <v>2294.91</v>
      </c>
      <c r="W14" s="53">
        <v>2294.91</v>
      </c>
      <c r="X14" s="53">
        <v>0</v>
      </c>
      <c r="Y14" s="54">
        <v>0</v>
      </c>
    </row>
    <row r="15" spans="1:25" x14ac:dyDescent="0.2">
      <c r="A15" s="50" t="s">
        <v>114</v>
      </c>
      <c r="B15" s="51" t="s">
        <v>107</v>
      </c>
      <c r="C15" s="51"/>
      <c r="D15" s="52">
        <v>24269</v>
      </c>
      <c r="E15" s="51" t="s">
        <v>113</v>
      </c>
      <c r="F15" s="53"/>
      <c r="G15" s="53">
        <v>2149.98</v>
      </c>
      <c r="H15" s="53">
        <v>2149.98</v>
      </c>
      <c r="I15" s="53">
        <v>0</v>
      </c>
      <c r="J15" s="54"/>
      <c r="K15" s="53"/>
      <c r="L15" s="53">
        <v>2170.39</v>
      </c>
      <c r="M15" s="53">
        <v>2170.39</v>
      </c>
      <c r="N15" s="53">
        <v>0</v>
      </c>
      <c r="O15" s="54"/>
      <c r="P15" s="53"/>
      <c r="Q15" s="53">
        <v>2184.41</v>
      </c>
      <c r="R15" s="53">
        <v>2184.41</v>
      </c>
      <c r="S15" s="53">
        <v>0</v>
      </c>
      <c r="T15" s="54"/>
      <c r="U15" s="53"/>
      <c r="V15" s="53">
        <v>2371.89</v>
      </c>
      <c r="W15" s="53">
        <v>2371.89</v>
      </c>
      <c r="X15" s="53">
        <v>0</v>
      </c>
      <c r="Y15" s="54"/>
    </row>
    <row r="16" spans="1:25" x14ac:dyDescent="0.2">
      <c r="A16" s="50" t="s">
        <v>115</v>
      </c>
      <c r="B16" s="51" t="s">
        <v>109</v>
      </c>
      <c r="C16" s="51"/>
      <c r="D16" s="52">
        <v>38614</v>
      </c>
      <c r="E16" s="51" t="s">
        <v>113</v>
      </c>
      <c r="F16" s="53"/>
      <c r="G16" s="53">
        <v>914.68</v>
      </c>
      <c r="H16" s="53">
        <v>914.68</v>
      </c>
      <c r="I16" s="53">
        <v>0</v>
      </c>
      <c r="J16" s="54"/>
      <c r="K16" s="53"/>
      <c r="L16" s="53">
        <v>923.37</v>
      </c>
      <c r="M16" s="53">
        <v>923.37</v>
      </c>
      <c r="N16" s="53">
        <v>0</v>
      </c>
      <c r="O16" s="54"/>
      <c r="P16" s="53"/>
      <c r="Q16" s="53">
        <v>929.33</v>
      </c>
      <c r="R16" s="53">
        <v>929.33</v>
      </c>
      <c r="S16" s="53">
        <v>0</v>
      </c>
      <c r="T16" s="54"/>
      <c r="U16" s="53"/>
      <c r="V16" s="53">
        <v>1009.09</v>
      </c>
      <c r="W16" s="53">
        <v>1009.09</v>
      </c>
      <c r="X16" s="53">
        <v>0</v>
      </c>
      <c r="Y16" s="54"/>
    </row>
    <row r="17" spans="1:25" x14ac:dyDescent="0.2">
      <c r="A17" s="50" t="s">
        <v>116</v>
      </c>
      <c r="B17" s="51" t="s">
        <v>65</v>
      </c>
      <c r="C17" s="51" t="s">
        <v>117</v>
      </c>
      <c r="D17" s="52">
        <v>18453</v>
      </c>
      <c r="E17" s="51" t="s">
        <v>118</v>
      </c>
      <c r="F17" s="53">
        <v>4299.96</v>
      </c>
      <c r="G17" s="53">
        <v>2149.98</v>
      </c>
      <c r="H17" s="53">
        <v>2149.98</v>
      </c>
      <c r="I17" s="53">
        <v>0</v>
      </c>
      <c r="J17" s="54">
        <v>0</v>
      </c>
      <c r="K17" s="53">
        <v>4340.78</v>
      </c>
      <c r="L17" s="53">
        <v>2170.39</v>
      </c>
      <c r="M17" s="53">
        <v>2170.39</v>
      </c>
      <c r="N17" s="53">
        <v>0</v>
      </c>
      <c r="O17" s="54">
        <v>0</v>
      </c>
      <c r="P17" s="53">
        <v>4368.82</v>
      </c>
      <c r="Q17" s="53">
        <v>2184.41</v>
      </c>
      <c r="R17" s="53">
        <v>2184.41</v>
      </c>
      <c r="S17" s="53">
        <v>0</v>
      </c>
      <c r="T17" s="54">
        <v>0</v>
      </c>
      <c r="U17" s="53">
        <v>4743.78</v>
      </c>
      <c r="V17" s="53">
        <v>2371.89</v>
      </c>
      <c r="W17" s="53">
        <v>2371.89</v>
      </c>
      <c r="X17" s="53">
        <v>0</v>
      </c>
      <c r="Y17" s="54">
        <v>0</v>
      </c>
    </row>
    <row r="18" spans="1:25" x14ac:dyDescent="0.2">
      <c r="A18" s="50" t="s">
        <v>119</v>
      </c>
      <c r="B18" s="51" t="s">
        <v>107</v>
      </c>
      <c r="C18" s="51"/>
      <c r="D18" s="52">
        <v>19761</v>
      </c>
      <c r="E18" s="51" t="s">
        <v>118</v>
      </c>
      <c r="F18" s="53"/>
      <c r="G18" s="53">
        <v>2149.98</v>
      </c>
      <c r="H18" s="53">
        <v>2149.98</v>
      </c>
      <c r="I18" s="53">
        <v>0</v>
      </c>
      <c r="J18" s="54"/>
      <c r="K18" s="53"/>
      <c r="L18" s="53">
        <v>2170.39</v>
      </c>
      <c r="M18" s="53">
        <v>2170.39</v>
      </c>
      <c r="N18" s="53">
        <v>0</v>
      </c>
      <c r="O18" s="54"/>
      <c r="P18" s="53"/>
      <c r="Q18" s="53">
        <v>2184.41</v>
      </c>
      <c r="R18" s="53">
        <v>2184.41</v>
      </c>
      <c r="S18" s="53">
        <v>0</v>
      </c>
      <c r="T18" s="54"/>
      <c r="U18" s="53"/>
      <c r="V18" s="53">
        <v>2371.89</v>
      </c>
      <c r="W18" s="53">
        <v>2371.89</v>
      </c>
      <c r="X18" s="53">
        <v>0</v>
      </c>
      <c r="Y18" s="54"/>
    </row>
    <row r="19" spans="1:25" x14ac:dyDescent="0.2">
      <c r="A19" s="50" t="s">
        <v>120</v>
      </c>
      <c r="B19" s="51" t="s">
        <v>65</v>
      </c>
      <c r="C19" s="51" t="s">
        <v>65</v>
      </c>
      <c r="D19" s="52">
        <v>35733</v>
      </c>
      <c r="E19" s="51" t="s">
        <v>121</v>
      </c>
      <c r="F19" s="53">
        <v>1178.71</v>
      </c>
      <c r="G19" s="53">
        <v>1178.71</v>
      </c>
      <c r="H19" s="53">
        <v>1178.71</v>
      </c>
      <c r="I19" s="53">
        <v>0</v>
      </c>
      <c r="J19" s="54">
        <v>0</v>
      </c>
      <c r="K19" s="53">
        <v>1189.9100000000001</v>
      </c>
      <c r="L19" s="53">
        <v>1189.9100000000001</v>
      </c>
      <c r="M19" s="53">
        <v>1189.9100000000001</v>
      </c>
      <c r="N19" s="53">
        <v>0</v>
      </c>
      <c r="O19" s="54">
        <v>0</v>
      </c>
      <c r="P19" s="53">
        <v>1197.5899999999999</v>
      </c>
      <c r="Q19" s="53">
        <v>1197.5899999999999</v>
      </c>
      <c r="R19" s="53">
        <v>1197.5899999999999</v>
      </c>
      <c r="S19" s="53">
        <v>0</v>
      </c>
      <c r="T19" s="54">
        <v>0</v>
      </c>
      <c r="U19" s="53">
        <v>1300.3800000000001</v>
      </c>
      <c r="V19" s="53">
        <v>1300.3800000000001</v>
      </c>
      <c r="W19" s="53">
        <v>1300.3800000000001</v>
      </c>
      <c r="X19" s="53">
        <v>0</v>
      </c>
      <c r="Y19" s="54">
        <v>0</v>
      </c>
    </row>
    <row r="20" spans="1:25" x14ac:dyDescent="0.2">
      <c r="A20" s="50" t="s">
        <v>122</v>
      </c>
      <c r="B20" s="51" t="s">
        <v>65</v>
      </c>
      <c r="C20" s="51" t="s">
        <v>104</v>
      </c>
      <c r="D20" s="52">
        <v>24958</v>
      </c>
      <c r="E20" s="51" t="s">
        <v>123</v>
      </c>
      <c r="F20" s="53">
        <v>5902.07</v>
      </c>
      <c r="G20" s="53">
        <v>2080.1999999999998</v>
      </c>
      <c r="H20" s="53">
        <v>2080.1999999999998</v>
      </c>
      <c r="I20" s="53">
        <v>0</v>
      </c>
      <c r="J20" s="54">
        <v>0</v>
      </c>
      <c r="K20" s="53">
        <v>5958.09</v>
      </c>
      <c r="L20" s="53">
        <v>2099.94</v>
      </c>
      <c r="M20" s="53">
        <v>2099.94</v>
      </c>
      <c r="N20" s="53">
        <v>0</v>
      </c>
      <c r="O20" s="54">
        <v>0</v>
      </c>
      <c r="P20" s="53">
        <v>5996.59</v>
      </c>
      <c r="Q20" s="53">
        <v>2113.5100000000002</v>
      </c>
      <c r="R20" s="53">
        <v>2113.5100000000002</v>
      </c>
      <c r="S20" s="53">
        <v>0</v>
      </c>
      <c r="T20" s="54">
        <v>0</v>
      </c>
      <c r="U20" s="53">
        <v>6511.26</v>
      </c>
      <c r="V20" s="53">
        <v>2294.91</v>
      </c>
      <c r="W20" s="53">
        <v>2294.91</v>
      </c>
      <c r="X20" s="53">
        <v>0</v>
      </c>
      <c r="Y20" s="54">
        <v>0</v>
      </c>
    </row>
    <row r="21" spans="1:25" x14ac:dyDescent="0.2">
      <c r="A21" s="50" t="s">
        <v>124</v>
      </c>
      <c r="B21" s="51" t="s">
        <v>107</v>
      </c>
      <c r="C21" s="51"/>
      <c r="D21" s="52">
        <v>25342</v>
      </c>
      <c r="E21" s="51" t="s">
        <v>123</v>
      </c>
      <c r="F21" s="53"/>
      <c r="G21" s="53">
        <v>2019.85</v>
      </c>
      <c r="H21" s="53">
        <v>2019.85</v>
      </c>
      <c r="I21" s="53">
        <v>0</v>
      </c>
      <c r="J21" s="54"/>
      <c r="K21" s="53"/>
      <c r="L21" s="53">
        <v>2039.02</v>
      </c>
      <c r="M21" s="53">
        <v>2039.02</v>
      </c>
      <c r="N21" s="53">
        <v>0</v>
      </c>
      <c r="O21" s="54"/>
      <c r="P21" s="53"/>
      <c r="Q21" s="53">
        <v>2052.1999999999998</v>
      </c>
      <c r="R21" s="53">
        <v>2052.1999999999998</v>
      </c>
      <c r="S21" s="53">
        <v>0</v>
      </c>
      <c r="T21" s="54"/>
      <c r="U21" s="53"/>
      <c r="V21" s="53">
        <v>2228.33</v>
      </c>
      <c r="W21" s="53">
        <v>2228.33</v>
      </c>
      <c r="X21" s="53">
        <v>0</v>
      </c>
      <c r="Y21" s="54"/>
    </row>
    <row r="22" spans="1:25" x14ac:dyDescent="0.2">
      <c r="A22" s="50" t="s">
        <v>125</v>
      </c>
      <c r="B22" s="51" t="s">
        <v>109</v>
      </c>
      <c r="C22" s="51"/>
      <c r="D22" s="52">
        <v>38632</v>
      </c>
      <c r="E22" s="51" t="s">
        <v>123</v>
      </c>
      <c r="F22" s="53"/>
      <c r="G22" s="53">
        <v>914.68</v>
      </c>
      <c r="H22" s="53">
        <v>914.68</v>
      </c>
      <c r="I22" s="53">
        <v>0</v>
      </c>
      <c r="J22" s="54"/>
      <c r="K22" s="53"/>
      <c r="L22" s="53">
        <v>923.37</v>
      </c>
      <c r="M22" s="53">
        <v>923.37</v>
      </c>
      <c r="N22" s="53">
        <v>0</v>
      </c>
      <c r="O22" s="54"/>
      <c r="P22" s="53"/>
      <c r="Q22" s="53">
        <v>929.33</v>
      </c>
      <c r="R22" s="53">
        <v>929.33</v>
      </c>
      <c r="S22" s="53">
        <v>0</v>
      </c>
      <c r="T22" s="54"/>
      <c r="U22" s="53"/>
      <c r="V22" s="53">
        <v>1009.09</v>
      </c>
      <c r="W22" s="53">
        <v>1009.09</v>
      </c>
      <c r="X22" s="53">
        <v>0</v>
      </c>
      <c r="Y22" s="54"/>
    </row>
    <row r="23" spans="1:25" x14ac:dyDescent="0.2">
      <c r="A23" s="50" t="s">
        <v>126</v>
      </c>
      <c r="B23" s="51" t="s">
        <v>109</v>
      </c>
      <c r="C23" s="51"/>
      <c r="D23" s="52">
        <v>39092</v>
      </c>
      <c r="E23" s="51" t="s">
        <v>123</v>
      </c>
      <c r="F23" s="53"/>
      <c r="G23" s="53">
        <v>887.34</v>
      </c>
      <c r="H23" s="53">
        <v>887.34</v>
      </c>
      <c r="I23" s="53">
        <v>0</v>
      </c>
      <c r="J23" s="54"/>
      <c r="K23" s="53"/>
      <c r="L23" s="53">
        <v>895.76</v>
      </c>
      <c r="M23" s="53">
        <v>895.76</v>
      </c>
      <c r="N23" s="53">
        <v>0</v>
      </c>
      <c r="O23" s="54"/>
      <c r="P23" s="53"/>
      <c r="Q23" s="53">
        <v>901.55</v>
      </c>
      <c r="R23" s="53">
        <v>901.55</v>
      </c>
      <c r="S23" s="53">
        <v>0</v>
      </c>
      <c r="T23" s="54"/>
      <c r="U23" s="53"/>
      <c r="V23" s="53">
        <v>978.93</v>
      </c>
      <c r="W23" s="53">
        <v>978.93</v>
      </c>
      <c r="X23" s="53">
        <v>0</v>
      </c>
      <c r="Y23" s="54"/>
    </row>
    <row r="24" spans="1:25" x14ac:dyDescent="0.2">
      <c r="A24" s="50" t="s">
        <v>127</v>
      </c>
      <c r="B24" s="51" t="s">
        <v>65</v>
      </c>
      <c r="C24" s="51" t="s">
        <v>117</v>
      </c>
      <c r="D24" s="52">
        <v>21309</v>
      </c>
      <c r="E24" s="51" t="s">
        <v>96</v>
      </c>
      <c r="F24" s="53">
        <v>4299.96</v>
      </c>
      <c r="G24" s="53">
        <v>2149.98</v>
      </c>
      <c r="H24" s="53">
        <v>2149.98</v>
      </c>
      <c r="I24" s="53">
        <v>0</v>
      </c>
      <c r="J24" s="54">
        <v>0</v>
      </c>
      <c r="K24" s="53">
        <v>4340.78</v>
      </c>
      <c r="L24" s="53">
        <v>2170.39</v>
      </c>
      <c r="M24" s="53">
        <v>2170.39</v>
      </c>
      <c r="N24" s="53">
        <v>0</v>
      </c>
      <c r="O24" s="54">
        <v>0</v>
      </c>
      <c r="P24" s="53">
        <v>4368.82</v>
      </c>
      <c r="Q24" s="53">
        <v>2184.41</v>
      </c>
      <c r="R24" s="53">
        <v>2184.41</v>
      </c>
      <c r="S24" s="53">
        <v>0</v>
      </c>
      <c r="T24" s="54">
        <v>0</v>
      </c>
      <c r="U24" s="53">
        <v>4743.78</v>
      </c>
      <c r="V24" s="53">
        <v>2371.89</v>
      </c>
      <c r="W24" s="53">
        <v>2371.89</v>
      </c>
      <c r="X24" s="53">
        <v>0</v>
      </c>
      <c r="Y24" s="54">
        <v>0</v>
      </c>
    </row>
    <row r="25" spans="1:25" x14ac:dyDescent="0.2">
      <c r="A25" s="50" t="s">
        <v>128</v>
      </c>
      <c r="B25" s="51" t="s">
        <v>107</v>
      </c>
      <c r="C25" s="51"/>
      <c r="D25" s="52">
        <v>23570</v>
      </c>
      <c r="E25" s="51" t="s">
        <v>96</v>
      </c>
      <c r="F25" s="53"/>
      <c r="G25" s="53">
        <v>2149.98</v>
      </c>
      <c r="H25" s="53">
        <v>2149.98</v>
      </c>
      <c r="I25" s="53">
        <v>0</v>
      </c>
      <c r="J25" s="54"/>
      <c r="K25" s="53"/>
      <c r="L25" s="53">
        <v>2170.39</v>
      </c>
      <c r="M25" s="53">
        <v>2170.39</v>
      </c>
      <c r="N25" s="53">
        <v>0</v>
      </c>
      <c r="O25" s="54"/>
      <c r="P25" s="53"/>
      <c r="Q25" s="53">
        <v>2184.41</v>
      </c>
      <c r="R25" s="53">
        <v>2184.41</v>
      </c>
      <c r="S25" s="53">
        <v>0</v>
      </c>
      <c r="T25" s="54"/>
      <c r="U25" s="53"/>
      <c r="V25" s="53">
        <v>2371.89</v>
      </c>
      <c r="W25" s="53">
        <v>2371.89</v>
      </c>
      <c r="X25" s="53">
        <v>0</v>
      </c>
      <c r="Y25" s="54"/>
    </row>
    <row r="26" spans="1:25" x14ac:dyDescent="0.2">
      <c r="A26" s="50" t="s">
        <v>129</v>
      </c>
      <c r="B26" s="51" t="s">
        <v>65</v>
      </c>
      <c r="C26" s="51" t="s">
        <v>65</v>
      </c>
      <c r="D26" s="52">
        <v>24147</v>
      </c>
      <c r="E26" s="51" t="s">
        <v>113</v>
      </c>
      <c r="F26" s="53">
        <v>2149.98</v>
      </c>
      <c r="G26" s="53">
        <v>2149.98</v>
      </c>
      <c r="H26" s="53">
        <v>2149.98</v>
      </c>
      <c r="I26" s="53">
        <v>0</v>
      </c>
      <c r="J26" s="54">
        <v>0</v>
      </c>
      <c r="K26" s="53">
        <v>2170.39</v>
      </c>
      <c r="L26" s="53">
        <v>2170.39</v>
      </c>
      <c r="M26" s="53">
        <v>2170.39</v>
      </c>
      <c r="N26" s="53">
        <v>0</v>
      </c>
      <c r="O26" s="54">
        <v>0</v>
      </c>
      <c r="P26" s="53">
        <v>2184.41</v>
      </c>
      <c r="Q26" s="53">
        <v>2184.41</v>
      </c>
      <c r="R26" s="53">
        <v>2184.41</v>
      </c>
      <c r="S26" s="53">
        <v>0</v>
      </c>
      <c r="T26" s="54">
        <v>0</v>
      </c>
      <c r="U26" s="53">
        <v>2371.89</v>
      </c>
      <c r="V26" s="53">
        <v>2371.89</v>
      </c>
      <c r="W26" s="53">
        <v>2371.89</v>
      </c>
      <c r="X26" s="53">
        <v>0</v>
      </c>
      <c r="Y26" s="54">
        <v>0</v>
      </c>
    </row>
    <row r="27" spans="1:25" x14ac:dyDescent="0.2">
      <c r="A27" s="50" t="s">
        <v>130</v>
      </c>
      <c r="B27" s="51" t="s">
        <v>65</v>
      </c>
      <c r="C27" s="51" t="s">
        <v>65</v>
      </c>
      <c r="D27" s="52">
        <v>25210</v>
      </c>
      <c r="E27" s="51" t="s">
        <v>131</v>
      </c>
      <c r="F27" s="53">
        <v>2019.85</v>
      </c>
      <c r="G27" s="53">
        <v>2019.85</v>
      </c>
      <c r="H27" s="53">
        <v>2019.85</v>
      </c>
      <c r="I27" s="53">
        <v>0</v>
      </c>
      <c r="J27" s="54">
        <v>0</v>
      </c>
      <c r="K27" s="53">
        <v>2039.02</v>
      </c>
      <c r="L27" s="53">
        <v>2039.02</v>
      </c>
      <c r="M27" s="53">
        <v>2039.02</v>
      </c>
      <c r="N27" s="53">
        <v>0</v>
      </c>
      <c r="O27" s="54">
        <v>0</v>
      </c>
      <c r="P27" s="53">
        <v>2052.1999999999998</v>
      </c>
      <c r="Q27" s="53">
        <v>2052.1999999999998</v>
      </c>
      <c r="R27" s="53">
        <v>2052.1999999999998</v>
      </c>
      <c r="S27" s="53">
        <v>0</v>
      </c>
      <c r="T27" s="54">
        <v>0</v>
      </c>
      <c r="U27" s="53">
        <v>2228.33</v>
      </c>
      <c r="V27" s="53">
        <v>2228.33</v>
      </c>
      <c r="W27" s="53">
        <v>2228.33</v>
      </c>
      <c r="X27" s="53">
        <v>0</v>
      </c>
      <c r="Y27" s="54">
        <v>0</v>
      </c>
    </row>
    <row r="28" spans="1:25" x14ac:dyDescent="0.2">
      <c r="A28" s="50" t="s">
        <v>132</v>
      </c>
      <c r="B28" s="51" t="s">
        <v>65</v>
      </c>
      <c r="C28" s="51" t="s">
        <v>65</v>
      </c>
      <c r="D28" s="52">
        <v>35103</v>
      </c>
      <c r="E28" s="51" t="s">
        <v>113</v>
      </c>
      <c r="F28" s="53">
        <v>1213.5999999999999</v>
      </c>
      <c r="G28" s="53">
        <v>1213.5999999999999</v>
      </c>
      <c r="H28" s="53">
        <v>1213.5999999999999</v>
      </c>
      <c r="I28" s="53">
        <v>0</v>
      </c>
      <c r="J28" s="54">
        <v>0</v>
      </c>
      <c r="K28" s="53">
        <v>1225.1300000000001</v>
      </c>
      <c r="L28" s="53">
        <v>1225.1300000000001</v>
      </c>
      <c r="M28" s="53">
        <v>1225.1300000000001</v>
      </c>
      <c r="N28" s="53">
        <v>0</v>
      </c>
      <c r="O28" s="54">
        <v>0</v>
      </c>
      <c r="P28" s="53">
        <v>1233.04</v>
      </c>
      <c r="Q28" s="53">
        <v>1233.04</v>
      </c>
      <c r="R28" s="53">
        <v>1233.04</v>
      </c>
      <c r="S28" s="53">
        <v>0</v>
      </c>
      <c r="T28" s="54">
        <v>0</v>
      </c>
      <c r="U28" s="53">
        <v>1338.87</v>
      </c>
      <c r="V28" s="53">
        <v>1338.87</v>
      </c>
      <c r="W28" s="53">
        <v>1338.87</v>
      </c>
      <c r="X28" s="53">
        <v>0</v>
      </c>
      <c r="Y28" s="54">
        <v>0</v>
      </c>
    </row>
    <row r="29" spans="1:25" x14ac:dyDescent="0.2">
      <c r="A29" s="50" t="s">
        <v>133</v>
      </c>
      <c r="B29" s="51" t="s">
        <v>65</v>
      </c>
      <c r="C29" s="51" t="s">
        <v>117</v>
      </c>
      <c r="D29" s="52">
        <v>27399</v>
      </c>
      <c r="E29" s="51" t="s">
        <v>113</v>
      </c>
      <c r="F29" s="53">
        <v>3114.64</v>
      </c>
      <c r="G29" s="53">
        <v>1689.81</v>
      </c>
      <c r="H29" s="53">
        <v>1689.81</v>
      </c>
      <c r="I29" s="53">
        <v>0</v>
      </c>
      <c r="J29" s="54">
        <v>0</v>
      </c>
      <c r="K29" s="53">
        <v>3144.21</v>
      </c>
      <c r="L29" s="53">
        <v>1705.85</v>
      </c>
      <c r="M29" s="53">
        <v>1705.85</v>
      </c>
      <c r="N29" s="53">
        <v>0</v>
      </c>
      <c r="O29" s="54">
        <v>0</v>
      </c>
      <c r="P29" s="53">
        <v>3164.52</v>
      </c>
      <c r="Q29" s="53">
        <v>1716.87</v>
      </c>
      <c r="R29" s="53">
        <v>1716.87</v>
      </c>
      <c r="S29" s="53">
        <v>0</v>
      </c>
      <c r="T29" s="54">
        <v>0</v>
      </c>
      <c r="U29" s="53">
        <v>3436.12</v>
      </c>
      <c r="V29" s="53">
        <v>1864.22</v>
      </c>
      <c r="W29" s="53">
        <v>1864.22</v>
      </c>
      <c r="X29" s="53">
        <v>0</v>
      </c>
      <c r="Y29" s="54">
        <v>0</v>
      </c>
    </row>
    <row r="30" spans="1:25" x14ac:dyDescent="0.2">
      <c r="A30" s="50" t="s">
        <v>134</v>
      </c>
      <c r="B30" s="51" t="s">
        <v>107</v>
      </c>
      <c r="C30" s="51"/>
      <c r="D30" s="52">
        <v>29502</v>
      </c>
      <c r="E30" s="51" t="s">
        <v>113</v>
      </c>
      <c r="F30" s="53"/>
      <c r="G30" s="53">
        <v>1424.83</v>
      </c>
      <c r="H30" s="53">
        <v>1424.83</v>
      </c>
      <c r="I30" s="53">
        <v>0</v>
      </c>
      <c r="J30" s="54"/>
      <c r="K30" s="53"/>
      <c r="L30" s="53">
        <v>1438.36</v>
      </c>
      <c r="M30" s="53">
        <v>1438.36</v>
      </c>
      <c r="N30" s="53">
        <v>0</v>
      </c>
      <c r="O30" s="54"/>
      <c r="P30" s="53"/>
      <c r="Q30" s="53">
        <v>1447.65</v>
      </c>
      <c r="R30" s="53">
        <v>1447.65</v>
      </c>
      <c r="S30" s="53">
        <v>0</v>
      </c>
      <c r="T30" s="54"/>
      <c r="U30" s="53"/>
      <c r="V30" s="53">
        <v>1571.9</v>
      </c>
      <c r="W30" s="53">
        <v>1571.9</v>
      </c>
      <c r="X30" s="53">
        <v>0</v>
      </c>
      <c r="Y30" s="54"/>
    </row>
    <row r="31" spans="1:25" x14ac:dyDescent="0.2">
      <c r="A31" s="50" t="s">
        <v>135</v>
      </c>
      <c r="B31" s="51" t="s">
        <v>65</v>
      </c>
      <c r="C31" s="51" t="s">
        <v>104</v>
      </c>
      <c r="D31" s="52">
        <v>24592</v>
      </c>
      <c r="E31" s="51" t="s">
        <v>111</v>
      </c>
      <c r="F31" s="53">
        <v>5478.67</v>
      </c>
      <c r="G31" s="53">
        <v>2149.98</v>
      </c>
      <c r="H31" s="53">
        <v>2149.98</v>
      </c>
      <c r="I31" s="53">
        <v>0</v>
      </c>
      <c r="J31" s="54">
        <v>0</v>
      </c>
      <c r="K31" s="53">
        <v>5530.69</v>
      </c>
      <c r="L31" s="53">
        <v>2170.39</v>
      </c>
      <c r="M31" s="53">
        <v>2170.39</v>
      </c>
      <c r="N31" s="53">
        <v>0</v>
      </c>
      <c r="O31" s="54">
        <v>0</v>
      </c>
      <c r="P31" s="53">
        <v>5566.41</v>
      </c>
      <c r="Q31" s="53">
        <v>2184.41</v>
      </c>
      <c r="R31" s="53">
        <v>2184.41</v>
      </c>
      <c r="S31" s="53">
        <v>0</v>
      </c>
      <c r="T31" s="54">
        <v>0</v>
      </c>
      <c r="U31" s="53">
        <v>6044.16</v>
      </c>
      <c r="V31" s="53">
        <v>2371.89</v>
      </c>
      <c r="W31" s="53">
        <v>2371.89</v>
      </c>
      <c r="X31" s="53">
        <v>0</v>
      </c>
      <c r="Y31" s="54">
        <v>0</v>
      </c>
    </row>
    <row r="32" spans="1:25" x14ac:dyDescent="0.2">
      <c r="A32" s="50" t="s">
        <v>136</v>
      </c>
      <c r="B32" s="51" t="s">
        <v>107</v>
      </c>
      <c r="C32" s="51"/>
      <c r="D32" s="52">
        <v>22616</v>
      </c>
      <c r="E32" s="51" t="s">
        <v>111</v>
      </c>
      <c r="F32" s="53"/>
      <c r="G32" s="53">
        <v>2149.98</v>
      </c>
      <c r="H32" s="53">
        <v>2149.98</v>
      </c>
      <c r="I32" s="53">
        <v>0</v>
      </c>
      <c r="J32" s="54"/>
      <c r="K32" s="53"/>
      <c r="L32" s="53">
        <v>2170.39</v>
      </c>
      <c r="M32" s="53">
        <v>2170.39</v>
      </c>
      <c r="N32" s="53">
        <v>0</v>
      </c>
      <c r="O32" s="54"/>
      <c r="P32" s="53"/>
      <c r="Q32" s="53">
        <v>2184.41</v>
      </c>
      <c r="R32" s="53">
        <v>2184.41</v>
      </c>
      <c r="S32" s="53">
        <v>0</v>
      </c>
      <c r="T32" s="54"/>
      <c r="U32" s="53"/>
      <c r="V32" s="53">
        <v>2371.89</v>
      </c>
      <c r="W32" s="53">
        <v>2371.89</v>
      </c>
      <c r="X32" s="53">
        <v>0</v>
      </c>
      <c r="Y32" s="54"/>
    </row>
    <row r="33" spans="1:25" x14ac:dyDescent="0.2">
      <c r="A33" s="50" t="s">
        <v>137</v>
      </c>
      <c r="B33" s="51" t="s">
        <v>109</v>
      </c>
      <c r="C33" s="51"/>
      <c r="D33" s="52">
        <v>37842</v>
      </c>
      <c r="E33" s="51" t="s">
        <v>111</v>
      </c>
      <c r="F33" s="53"/>
      <c r="G33" s="53">
        <v>1178.71</v>
      </c>
      <c r="H33" s="53">
        <v>1178.71</v>
      </c>
      <c r="I33" s="53">
        <v>0</v>
      </c>
      <c r="J33" s="54"/>
      <c r="K33" s="53"/>
      <c r="L33" s="53">
        <v>1189.9100000000001</v>
      </c>
      <c r="M33" s="53">
        <v>1189.9100000000001</v>
      </c>
      <c r="N33" s="53">
        <v>0</v>
      </c>
      <c r="O33" s="54"/>
      <c r="P33" s="53"/>
      <c r="Q33" s="53">
        <v>1197.5899999999999</v>
      </c>
      <c r="R33" s="53">
        <v>1197.5899999999999</v>
      </c>
      <c r="S33" s="53">
        <v>0</v>
      </c>
      <c r="T33" s="54"/>
      <c r="U33" s="53"/>
      <c r="V33" s="53">
        <v>1300.3800000000001</v>
      </c>
      <c r="W33" s="53">
        <v>1300.3800000000001</v>
      </c>
      <c r="X33" s="53">
        <v>0</v>
      </c>
      <c r="Y33" s="54"/>
    </row>
    <row r="34" spans="1:25" x14ac:dyDescent="0.2">
      <c r="A34" s="50" t="s">
        <v>138</v>
      </c>
      <c r="B34" s="51" t="s">
        <v>65</v>
      </c>
      <c r="C34" s="51" t="s">
        <v>65</v>
      </c>
      <c r="D34" s="52">
        <v>35401</v>
      </c>
      <c r="E34" s="51" t="s">
        <v>113</v>
      </c>
      <c r="F34" s="53">
        <v>1202.29</v>
      </c>
      <c r="G34" s="53">
        <v>1202.29</v>
      </c>
      <c r="H34" s="53">
        <v>1202.29</v>
      </c>
      <c r="I34" s="53">
        <v>0</v>
      </c>
      <c r="J34" s="54">
        <v>0</v>
      </c>
      <c r="K34" s="53">
        <v>1213.7</v>
      </c>
      <c r="L34" s="53">
        <v>1213.7</v>
      </c>
      <c r="M34" s="53">
        <v>1213.7</v>
      </c>
      <c r="N34" s="53">
        <v>0</v>
      </c>
      <c r="O34" s="54">
        <v>0</v>
      </c>
      <c r="P34" s="53">
        <v>1221.55</v>
      </c>
      <c r="Q34" s="53">
        <v>1221.55</v>
      </c>
      <c r="R34" s="53">
        <v>1221.55</v>
      </c>
      <c r="S34" s="53">
        <v>0</v>
      </c>
      <c r="T34" s="54">
        <v>0</v>
      </c>
      <c r="U34" s="53">
        <v>1326.39</v>
      </c>
      <c r="V34" s="53">
        <v>1326.39</v>
      </c>
      <c r="W34" s="53">
        <v>1326.39</v>
      </c>
      <c r="X34" s="53">
        <v>0</v>
      </c>
      <c r="Y34" s="54">
        <v>0</v>
      </c>
    </row>
    <row r="35" spans="1:25" x14ac:dyDescent="0.2">
      <c r="A35" s="50" t="s">
        <v>139</v>
      </c>
      <c r="B35" s="51" t="s">
        <v>65</v>
      </c>
      <c r="C35" s="51" t="s">
        <v>65</v>
      </c>
      <c r="D35" s="52">
        <v>35453</v>
      </c>
      <c r="E35" s="51" t="s">
        <v>113</v>
      </c>
      <c r="F35" s="53">
        <v>1202.29</v>
      </c>
      <c r="G35" s="53">
        <v>1202.29</v>
      </c>
      <c r="H35" s="53">
        <v>1202.29</v>
      </c>
      <c r="I35" s="53">
        <v>0</v>
      </c>
      <c r="J35" s="54">
        <v>0</v>
      </c>
      <c r="K35" s="53">
        <v>1213.7</v>
      </c>
      <c r="L35" s="53">
        <v>1213.7</v>
      </c>
      <c r="M35" s="53">
        <v>1213.7</v>
      </c>
      <c r="N35" s="53">
        <v>0</v>
      </c>
      <c r="O35" s="54">
        <v>0</v>
      </c>
      <c r="P35" s="53">
        <v>1221.55</v>
      </c>
      <c r="Q35" s="53">
        <v>1221.55</v>
      </c>
      <c r="R35" s="53">
        <v>1221.55</v>
      </c>
      <c r="S35" s="53">
        <v>0</v>
      </c>
      <c r="T35" s="54">
        <v>0</v>
      </c>
      <c r="U35" s="53">
        <v>1326.39</v>
      </c>
      <c r="V35" s="53">
        <v>1326.39</v>
      </c>
      <c r="W35" s="53">
        <v>1326.39</v>
      </c>
      <c r="X35" s="53">
        <v>0</v>
      </c>
      <c r="Y35" s="54">
        <v>0</v>
      </c>
    </row>
    <row r="36" spans="1:25" x14ac:dyDescent="0.2">
      <c r="A36" s="50" t="s">
        <v>140</v>
      </c>
      <c r="B36" s="51" t="s">
        <v>65</v>
      </c>
      <c r="C36" s="51" t="s">
        <v>65</v>
      </c>
      <c r="D36" s="52">
        <v>34864</v>
      </c>
      <c r="E36" s="51" t="s">
        <v>118</v>
      </c>
      <c r="F36" s="53">
        <v>1213.5999999999999</v>
      </c>
      <c r="G36" s="53">
        <v>1213.5999999999999</v>
      </c>
      <c r="H36" s="53">
        <v>1213.5999999999999</v>
      </c>
      <c r="I36" s="53">
        <v>0</v>
      </c>
      <c r="J36" s="54">
        <v>0</v>
      </c>
      <c r="K36" s="53">
        <v>1225.1300000000001</v>
      </c>
      <c r="L36" s="53">
        <v>1225.1300000000001</v>
      </c>
      <c r="M36" s="53">
        <v>1225.1300000000001</v>
      </c>
      <c r="N36" s="53">
        <v>0</v>
      </c>
      <c r="O36" s="54">
        <v>0</v>
      </c>
      <c r="P36" s="53">
        <v>1233.04</v>
      </c>
      <c r="Q36" s="53">
        <v>1233.04</v>
      </c>
      <c r="R36" s="53">
        <v>1233.04</v>
      </c>
      <c r="S36" s="53">
        <v>0</v>
      </c>
      <c r="T36" s="54">
        <v>0</v>
      </c>
      <c r="U36" s="53">
        <v>1338.87</v>
      </c>
      <c r="V36" s="53">
        <v>1338.87</v>
      </c>
      <c r="W36" s="53">
        <v>1338.87</v>
      </c>
      <c r="X36" s="53">
        <v>0</v>
      </c>
      <c r="Y36" s="54">
        <v>0</v>
      </c>
    </row>
    <row r="37" spans="1:25" x14ac:dyDescent="0.2">
      <c r="A37" s="50" t="s">
        <v>141</v>
      </c>
      <c r="B37" s="51" t="s">
        <v>65</v>
      </c>
      <c r="C37" s="51" t="s">
        <v>104</v>
      </c>
      <c r="D37" s="52">
        <v>26666</v>
      </c>
      <c r="E37" s="51" t="s">
        <v>118</v>
      </c>
      <c r="F37" s="53">
        <v>5389.07</v>
      </c>
      <c r="G37" s="53">
        <v>1793.53</v>
      </c>
      <c r="H37" s="53">
        <v>1793.53</v>
      </c>
      <c r="I37" s="53">
        <v>0</v>
      </c>
      <c r="J37" s="54">
        <v>0</v>
      </c>
      <c r="K37" s="53">
        <v>5440.26</v>
      </c>
      <c r="L37" s="53">
        <v>1810.56</v>
      </c>
      <c r="M37" s="53">
        <v>1810.56</v>
      </c>
      <c r="N37" s="53">
        <v>0</v>
      </c>
      <c r="O37" s="54">
        <v>0</v>
      </c>
      <c r="P37" s="53">
        <v>5475.39</v>
      </c>
      <c r="Q37" s="53">
        <v>1822.26</v>
      </c>
      <c r="R37" s="53">
        <v>1822.26</v>
      </c>
      <c r="S37" s="53">
        <v>0</v>
      </c>
      <c r="T37" s="54">
        <v>0</v>
      </c>
      <c r="U37" s="53">
        <v>5945.33</v>
      </c>
      <c r="V37" s="53">
        <v>1978.66</v>
      </c>
      <c r="W37" s="53">
        <v>1978.66</v>
      </c>
      <c r="X37" s="53">
        <v>0</v>
      </c>
      <c r="Y37" s="54">
        <v>0</v>
      </c>
    </row>
    <row r="38" spans="1:25" x14ac:dyDescent="0.2">
      <c r="A38" s="50" t="s">
        <v>142</v>
      </c>
      <c r="B38" s="51" t="s">
        <v>107</v>
      </c>
      <c r="C38" s="51"/>
      <c r="D38" s="52">
        <v>28717</v>
      </c>
      <c r="E38" s="51" t="s">
        <v>118</v>
      </c>
      <c r="F38" s="53"/>
      <c r="G38" s="53">
        <v>1502.15</v>
      </c>
      <c r="H38" s="53">
        <v>1502.15</v>
      </c>
      <c r="I38" s="53">
        <v>0</v>
      </c>
      <c r="J38" s="54"/>
      <c r="K38" s="53"/>
      <c r="L38" s="53">
        <v>1516.42</v>
      </c>
      <c r="M38" s="53">
        <v>1516.42</v>
      </c>
      <c r="N38" s="53">
        <v>0</v>
      </c>
      <c r="O38" s="54"/>
      <c r="P38" s="53"/>
      <c r="Q38" s="53">
        <v>1526.21</v>
      </c>
      <c r="R38" s="53">
        <v>1526.21</v>
      </c>
      <c r="S38" s="53">
        <v>0</v>
      </c>
      <c r="T38" s="54"/>
      <c r="U38" s="53"/>
      <c r="V38" s="53">
        <v>1657.2</v>
      </c>
      <c r="W38" s="53">
        <v>1657.2</v>
      </c>
      <c r="X38" s="53">
        <v>0</v>
      </c>
      <c r="Y38" s="54"/>
    </row>
    <row r="39" spans="1:25" x14ac:dyDescent="0.2">
      <c r="A39" s="50" t="s">
        <v>143</v>
      </c>
      <c r="B39" s="51" t="s">
        <v>109</v>
      </c>
      <c r="C39" s="51"/>
      <c r="D39" s="52">
        <v>37384</v>
      </c>
      <c r="E39" s="51" t="s">
        <v>118</v>
      </c>
      <c r="F39" s="53"/>
      <c r="G39" s="53">
        <v>1178.71</v>
      </c>
      <c r="H39" s="53">
        <v>1178.71</v>
      </c>
      <c r="I39" s="53">
        <v>0</v>
      </c>
      <c r="J39" s="54"/>
      <c r="K39" s="53"/>
      <c r="L39" s="53">
        <v>1189.9100000000001</v>
      </c>
      <c r="M39" s="53">
        <v>1189.9100000000001</v>
      </c>
      <c r="N39" s="53">
        <v>0</v>
      </c>
      <c r="O39" s="54"/>
      <c r="P39" s="53"/>
      <c r="Q39" s="53">
        <v>1197.5899999999999</v>
      </c>
      <c r="R39" s="53">
        <v>1197.5899999999999</v>
      </c>
      <c r="S39" s="53">
        <v>0</v>
      </c>
      <c r="T39" s="54"/>
      <c r="U39" s="53"/>
      <c r="V39" s="53">
        <v>1300.3800000000001</v>
      </c>
      <c r="W39" s="53">
        <v>1300.3800000000001</v>
      </c>
      <c r="X39" s="53">
        <v>0</v>
      </c>
      <c r="Y39" s="54"/>
    </row>
    <row r="40" spans="1:25" x14ac:dyDescent="0.2">
      <c r="A40" s="50" t="s">
        <v>144</v>
      </c>
      <c r="B40" s="51" t="s">
        <v>109</v>
      </c>
      <c r="C40" s="51"/>
      <c r="D40" s="52">
        <v>38688</v>
      </c>
      <c r="E40" s="51" t="s">
        <v>118</v>
      </c>
      <c r="F40" s="53"/>
      <c r="G40" s="53">
        <v>914.68</v>
      </c>
      <c r="H40" s="53">
        <v>914.68</v>
      </c>
      <c r="I40" s="53">
        <v>0</v>
      </c>
      <c r="J40" s="54"/>
      <c r="K40" s="53"/>
      <c r="L40" s="53">
        <v>923.37</v>
      </c>
      <c r="M40" s="53">
        <v>923.37</v>
      </c>
      <c r="N40" s="53">
        <v>0</v>
      </c>
      <c r="O40" s="54"/>
      <c r="P40" s="53"/>
      <c r="Q40" s="53">
        <v>929.33</v>
      </c>
      <c r="R40" s="53">
        <v>929.33</v>
      </c>
      <c r="S40" s="53">
        <v>0</v>
      </c>
      <c r="T40" s="54"/>
      <c r="U40" s="53"/>
      <c r="V40" s="53">
        <v>1009.09</v>
      </c>
      <c r="W40" s="53">
        <v>1009.09</v>
      </c>
      <c r="X40" s="53">
        <v>0</v>
      </c>
      <c r="Y40" s="54"/>
    </row>
    <row r="41" spans="1:25" x14ac:dyDescent="0.2">
      <c r="A41" s="50" t="s">
        <v>145</v>
      </c>
      <c r="B41" s="51" t="s">
        <v>65</v>
      </c>
      <c r="C41" s="51" t="s">
        <v>65</v>
      </c>
      <c r="D41" s="52">
        <v>36146</v>
      </c>
      <c r="E41" s="51" t="s">
        <v>111</v>
      </c>
      <c r="F41" s="53">
        <v>1178.71</v>
      </c>
      <c r="G41" s="53">
        <v>1178.71</v>
      </c>
      <c r="H41" s="53">
        <v>1178.71</v>
      </c>
      <c r="I41" s="53">
        <v>0</v>
      </c>
      <c r="J41" s="54">
        <v>0</v>
      </c>
      <c r="K41" s="53">
        <v>1189.9100000000001</v>
      </c>
      <c r="L41" s="53">
        <v>1189.9100000000001</v>
      </c>
      <c r="M41" s="53">
        <v>1189.9100000000001</v>
      </c>
      <c r="N41" s="53">
        <v>0</v>
      </c>
      <c r="O41" s="54">
        <v>0</v>
      </c>
      <c r="P41" s="53">
        <v>1197.5899999999999</v>
      </c>
      <c r="Q41" s="53">
        <v>1197.5899999999999</v>
      </c>
      <c r="R41" s="53">
        <v>1197.5899999999999</v>
      </c>
      <c r="S41" s="53">
        <v>0</v>
      </c>
      <c r="T41" s="54">
        <v>0</v>
      </c>
      <c r="U41" s="53">
        <v>1300.3800000000001</v>
      </c>
      <c r="V41" s="53">
        <v>1300.3800000000001</v>
      </c>
      <c r="W41" s="53">
        <v>1300.3800000000001</v>
      </c>
      <c r="X41" s="53">
        <v>0</v>
      </c>
      <c r="Y41" s="54">
        <v>0</v>
      </c>
    </row>
    <row r="42" spans="1:25" x14ac:dyDescent="0.2">
      <c r="A42" s="50" t="s">
        <v>146</v>
      </c>
      <c r="B42" s="51" t="s">
        <v>65</v>
      </c>
      <c r="C42" s="51" t="s">
        <v>65</v>
      </c>
      <c r="D42" s="52">
        <v>35249</v>
      </c>
      <c r="E42" s="51" t="s">
        <v>147</v>
      </c>
      <c r="F42" s="53">
        <v>1202.29</v>
      </c>
      <c r="G42" s="53">
        <v>1202.29</v>
      </c>
      <c r="H42" s="53">
        <v>1202.29</v>
      </c>
      <c r="I42" s="53">
        <v>0</v>
      </c>
      <c r="J42" s="54">
        <v>0</v>
      </c>
      <c r="K42" s="53">
        <v>1213.7</v>
      </c>
      <c r="L42" s="53">
        <v>1213.7</v>
      </c>
      <c r="M42" s="53">
        <v>1213.7</v>
      </c>
      <c r="N42" s="53">
        <v>0</v>
      </c>
      <c r="O42" s="54">
        <v>0</v>
      </c>
      <c r="P42" s="53">
        <v>1221.55</v>
      </c>
      <c r="Q42" s="53">
        <v>1221.55</v>
      </c>
      <c r="R42" s="53">
        <v>1221.55</v>
      </c>
      <c r="S42" s="53">
        <v>0</v>
      </c>
      <c r="T42" s="54">
        <v>0</v>
      </c>
      <c r="U42" s="53">
        <v>1326.39</v>
      </c>
      <c r="V42" s="53">
        <v>1326.39</v>
      </c>
      <c r="W42" s="53">
        <v>1326.39</v>
      </c>
      <c r="X42" s="53">
        <v>0</v>
      </c>
      <c r="Y42" s="54">
        <v>0</v>
      </c>
    </row>
    <row r="43" spans="1:25" ht="16.149999999999999" customHeight="1" x14ac:dyDescent="0.2">
      <c r="A43" s="226" t="s">
        <v>81</v>
      </c>
      <c r="B43" s="227"/>
      <c r="C43" s="227"/>
      <c r="D43" s="227"/>
      <c r="E43" s="227"/>
      <c r="F43" s="211" t="s">
        <v>211</v>
      </c>
      <c r="G43" s="212"/>
      <c r="H43" s="212"/>
      <c r="I43" s="212"/>
      <c r="J43" s="213"/>
      <c r="K43" s="211" t="s">
        <v>213</v>
      </c>
      <c r="L43" s="212"/>
      <c r="M43" s="212"/>
      <c r="N43" s="212"/>
      <c r="O43" s="213"/>
      <c r="P43" s="211" t="s">
        <v>215</v>
      </c>
      <c r="Q43" s="212"/>
      <c r="R43" s="212"/>
      <c r="S43" s="212"/>
      <c r="T43" s="213"/>
      <c r="U43" s="211" t="s">
        <v>217</v>
      </c>
      <c r="V43" s="212"/>
      <c r="W43" s="212"/>
      <c r="X43" s="212"/>
      <c r="Y43" s="213"/>
    </row>
    <row r="44" spans="1:25" ht="13.9" customHeight="1" x14ac:dyDescent="0.2">
      <c r="A44" s="228" t="s">
        <v>82</v>
      </c>
      <c r="B44" s="229"/>
      <c r="C44" s="229"/>
      <c r="D44" s="229"/>
      <c r="E44" s="229"/>
      <c r="F44" s="214">
        <v>13530.72</v>
      </c>
      <c r="G44" s="215"/>
      <c r="H44" s="215"/>
      <c r="I44" s="215"/>
      <c r="J44" s="216"/>
      <c r="K44" s="214">
        <v>13659.17</v>
      </c>
      <c r="L44" s="215"/>
      <c r="M44" s="215"/>
      <c r="N44" s="215"/>
      <c r="O44" s="216"/>
      <c r="P44" s="214">
        <v>13747.41</v>
      </c>
      <c r="Q44" s="215"/>
      <c r="R44" s="215"/>
      <c r="S44" s="215"/>
      <c r="T44" s="216"/>
      <c r="U44" s="214">
        <v>14927.31</v>
      </c>
      <c r="V44" s="215"/>
      <c r="W44" s="215"/>
      <c r="X44" s="215"/>
      <c r="Y44" s="216"/>
    </row>
    <row r="45" spans="1:25" ht="13.9" customHeight="1" x14ac:dyDescent="0.2">
      <c r="A45" s="230" t="s">
        <v>83</v>
      </c>
      <c r="B45" s="231"/>
      <c r="C45" s="231"/>
      <c r="D45" s="231"/>
      <c r="E45" s="231"/>
      <c r="F45" s="208">
        <f>F44*12</f>
        <v>162368.63999999998</v>
      </c>
      <c r="G45" s="209"/>
      <c r="H45" s="209"/>
      <c r="I45" s="209"/>
      <c r="J45" s="210"/>
      <c r="K45" s="208">
        <f>K44*12</f>
        <v>163910.04</v>
      </c>
      <c r="L45" s="209"/>
      <c r="M45" s="209"/>
      <c r="N45" s="209"/>
      <c r="O45" s="210"/>
      <c r="P45" s="208">
        <f>P44*12</f>
        <v>164968.91999999998</v>
      </c>
      <c r="Q45" s="209"/>
      <c r="R45" s="209"/>
      <c r="S45" s="209"/>
      <c r="T45" s="210"/>
      <c r="U45" s="208">
        <f>U44*12</f>
        <v>179127.72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200-000000000000}"/>
    <hyperlink ref="F46" r:id="rId2" xr:uid="{00000000-0004-0000-5200-000001000000}"/>
    <hyperlink ref="K7" r:id="rId3" xr:uid="{00000000-0004-0000-5200-000002000000}"/>
    <hyperlink ref="K46" r:id="rId4" xr:uid="{00000000-0004-0000-5200-000003000000}"/>
    <hyperlink ref="P7" r:id="rId5" xr:uid="{00000000-0004-0000-5200-000004000000}"/>
    <hyperlink ref="P46" r:id="rId6" xr:uid="{00000000-0004-0000-5200-000005000000}"/>
    <hyperlink ref="U7" r:id="rId7" xr:uid="{00000000-0004-0000-5200-000006000000}"/>
    <hyperlink ref="U46" r:id="rId8" xr:uid="{00000000-0004-0000-52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066C-B664-4E92-A593-E750690DCC51}">
  <sheetPr>
    <pageSetUpPr fitToPage="1"/>
  </sheetPr>
  <dimension ref="A1:J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20" width="10.25" style="29" customWidth="1" collapsed="1"/>
    <col min="21" max="16384" width="8.75" style="29" collapsed="1"/>
  </cols>
  <sheetData>
    <row r="1" spans="1:10" ht="4.9000000000000004" customHeight="1" x14ac:dyDescent="0.2">
      <c r="A1" s="35" t="s">
        <v>56</v>
      </c>
      <c r="B1" s="35"/>
      <c r="C1" s="35"/>
      <c r="D1" s="35"/>
      <c r="E1" s="35"/>
      <c r="F1" s="35"/>
      <c r="G1" s="35"/>
      <c r="H1" s="35"/>
      <c r="I1" s="35"/>
      <c r="J1" s="35"/>
    </row>
    <row r="2" spans="1:10" s="30" customFormat="1" ht="31.15" customHeight="1" x14ac:dyDescent="0.25">
      <c r="A2" s="238" t="str">
        <f>group_name</f>
        <v>Tuckerton Lumber Company</v>
      </c>
      <c r="B2" s="239"/>
      <c r="C2" s="239"/>
      <c r="D2" s="239"/>
      <c r="E2" s="239"/>
      <c r="F2" s="239"/>
      <c r="G2" s="239"/>
      <c r="H2" s="239"/>
      <c r="I2" s="239"/>
      <c r="J2" s="240"/>
    </row>
    <row r="3" spans="1:10" s="30" customFormat="1" ht="31.15" customHeight="1" x14ac:dyDescent="0.25">
      <c r="A3" s="241" t="s">
        <v>34</v>
      </c>
      <c r="B3" s="242"/>
      <c r="C3" s="242"/>
      <c r="D3" s="242"/>
      <c r="E3" s="242"/>
      <c r="F3" s="242"/>
      <c r="G3" s="242"/>
      <c r="H3" s="242"/>
      <c r="I3" s="242"/>
      <c r="J3" s="243"/>
    </row>
    <row r="4" spans="1:10" s="2" customFormat="1" ht="31.15" customHeight="1" x14ac:dyDescent="0.25">
      <c r="A4" s="244" t="str">
        <f>"Effective Date: "&amp;TEXT(effective_date,"MM/DD/YYYY")</f>
        <v>Effective Date: 06/01/2026</v>
      </c>
      <c r="B4" s="245"/>
      <c r="C4" s="245"/>
      <c r="D4" s="245"/>
      <c r="E4" s="245"/>
      <c r="F4" s="245"/>
      <c r="G4" s="245"/>
      <c r="H4" s="245"/>
      <c r="I4" s="245"/>
      <c r="J4" s="246"/>
    </row>
    <row r="5" spans="1:10" ht="19.899999999999999" customHeight="1" x14ac:dyDescent="0.2">
      <c r="A5" s="247" t="s">
        <v>57</v>
      </c>
      <c r="B5" s="248"/>
      <c r="C5" s="248"/>
      <c r="D5" s="248"/>
      <c r="E5" s="248"/>
      <c r="F5" s="117" t="s">
        <v>101</v>
      </c>
      <c r="G5" s="118"/>
      <c r="H5" s="118"/>
      <c r="I5" s="118"/>
      <c r="J5" s="120"/>
    </row>
    <row r="6" spans="1:10" x14ac:dyDescent="0.2">
      <c r="A6" s="247"/>
      <c r="B6" s="248"/>
      <c r="C6" s="248"/>
      <c r="D6" s="248"/>
      <c r="E6" s="248"/>
      <c r="F6" s="121" t="s">
        <v>218</v>
      </c>
      <c r="G6" s="122"/>
      <c r="H6" s="122"/>
      <c r="I6" s="122"/>
      <c r="J6" s="124"/>
    </row>
    <row r="7" spans="1:10" ht="19.899999999999999" customHeight="1" x14ac:dyDescent="0.2">
      <c r="A7" s="247"/>
      <c r="B7" s="248"/>
      <c r="C7" s="248"/>
      <c r="D7" s="248"/>
      <c r="E7" s="248"/>
      <c r="F7" s="235" t="s">
        <v>58</v>
      </c>
      <c r="G7" s="236"/>
      <c r="H7" s="236"/>
      <c r="I7" s="236"/>
      <c r="J7" s="237"/>
    </row>
    <row r="8" spans="1:10" ht="16.149999999999999" customHeight="1" x14ac:dyDescent="0.2">
      <c r="A8" s="43"/>
      <c r="B8" s="44"/>
      <c r="C8" s="44"/>
      <c r="D8" s="44"/>
      <c r="E8" s="44"/>
      <c r="F8" s="232" t="s">
        <v>219</v>
      </c>
      <c r="G8" s="233"/>
      <c r="H8" s="233"/>
      <c r="I8" s="233"/>
      <c r="J8" s="234"/>
    </row>
    <row r="9" spans="1:10" ht="34.15" customHeight="1" x14ac:dyDescent="0.2">
      <c r="A9" s="41" t="s">
        <v>59</v>
      </c>
      <c r="B9" s="31" t="s">
        <v>60</v>
      </c>
      <c r="C9" s="31" t="s">
        <v>61</v>
      </c>
      <c r="D9" s="31" t="s">
        <v>62</v>
      </c>
      <c r="E9" s="31" t="s">
        <v>63</v>
      </c>
      <c r="F9" s="32" t="s">
        <v>68</v>
      </c>
      <c r="G9" s="33" t="s">
        <v>32</v>
      </c>
      <c r="H9" s="33" t="s">
        <v>64</v>
      </c>
      <c r="I9" s="33" t="s">
        <v>65</v>
      </c>
      <c r="J9" s="42" t="s">
        <v>66</v>
      </c>
    </row>
    <row r="10" spans="1:10" x14ac:dyDescent="0.2">
      <c r="A10" s="50" t="s">
        <v>103</v>
      </c>
      <c r="B10" s="51" t="s">
        <v>65</v>
      </c>
      <c r="C10" s="51" t="s">
        <v>104</v>
      </c>
      <c r="D10" s="52">
        <v>21325</v>
      </c>
      <c r="E10" s="51" t="s">
        <v>105</v>
      </c>
      <c r="F10" s="53">
        <v>5198.6099999999997</v>
      </c>
      <c r="G10" s="53">
        <v>2374.84</v>
      </c>
      <c r="H10" s="53">
        <v>2374.84</v>
      </c>
      <c r="I10" s="53">
        <v>0</v>
      </c>
      <c r="J10" s="54">
        <v>0</v>
      </c>
    </row>
    <row r="11" spans="1:10" x14ac:dyDescent="0.2">
      <c r="A11" s="50" t="s">
        <v>106</v>
      </c>
      <c r="B11" s="51" t="s">
        <v>107</v>
      </c>
      <c r="C11" s="51"/>
      <c r="D11" s="52">
        <v>27837</v>
      </c>
      <c r="E11" s="51" t="s">
        <v>105</v>
      </c>
      <c r="F11" s="53"/>
      <c r="G11" s="53">
        <v>1813.42</v>
      </c>
      <c r="H11" s="53">
        <v>1813.42</v>
      </c>
      <c r="I11" s="53">
        <v>0</v>
      </c>
      <c r="J11" s="54"/>
    </row>
    <row r="12" spans="1:10" x14ac:dyDescent="0.2">
      <c r="A12" s="50" t="s">
        <v>108</v>
      </c>
      <c r="B12" s="51" t="s">
        <v>109</v>
      </c>
      <c r="C12" s="51"/>
      <c r="D12" s="52">
        <v>38648</v>
      </c>
      <c r="E12" s="51" t="s">
        <v>105</v>
      </c>
      <c r="F12" s="53"/>
      <c r="G12" s="53">
        <v>1010.35</v>
      </c>
      <c r="H12" s="53">
        <v>1010.35</v>
      </c>
      <c r="I12" s="53">
        <v>0</v>
      </c>
      <c r="J12" s="54"/>
    </row>
    <row r="13" spans="1:10" x14ac:dyDescent="0.2">
      <c r="A13" s="50" t="s">
        <v>110</v>
      </c>
      <c r="B13" s="51" t="s">
        <v>65</v>
      </c>
      <c r="C13" s="51" t="s">
        <v>65</v>
      </c>
      <c r="D13" s="52">
        <v>36345</v>
      </c>
      <c r="E13" s="51" t="s">
        <v>111</v>
      </c>
      <c r="F13" s="53">
        <v>1302</v>
      </c>
      <c r="G13" s="53">
        <v>1302</v>
      </c>
      <c r="H13" s="53">
        <v>1302</v>
      </c>
      <c r="I13" s="53">
        <v>0</v>
      </c>
      <c r="J13" s="54">
        <v>0</v>
      </c>
    </row>
    <row r="14" spans="1:10" x14ac:dyDescent="0.2">
      <c r="A14" s="50" t="s">
        <v>112</v>
      </c>
      <c r="B14" s="51" t="s">
        <v>65</v>
      </c>
      <c r="C14" s="51" t="s">
        <v>104</v>
      </c>
      <c r="D14" s="52">
        <v>24895</v>
      </c>
      <c r="E14" s="51" t="s">
        <v>113</v>
      </c>
      <c r="F14" s="53">
        <v>5682.96</v>
      </c>
      <c r="G14" s="53">
        <v>2297.77</v>
      </c>
      <c r="H14" s="53">
        <v>2297.77</v>
      </c>
      <c r="I14" s="53">
        <v>0</v>
      </c>
      <c r="J14" s="54">
        <v>0</v>
      </c>
    </row>
    <row r="15" spans="1:10" x14ac:dyDescent="0.2">
      <c r="A15" s="50" t="s">
        <v>114</v>
      </c>
      <c r="B15" s="51" t="s">
        <v>107</v>
      </c>
      <c r="C15" s="51"/>
      <c r="D15" s="52">
        <v>24269</v>
      </c>
      <c r="E15" s="51" t="s">
        <v>113</v>
      </c>
      <c r="F15" s="53"/>
      <c r="G15" s="53">
        <v>2374.84</v>
      </c>
      <c r="H15" s="53">
        <v>2374.84</v>
      </c>
      <c r="I15" s="53">
        <v>0</v>
      </c>
      <c r="J15" s="54"/>
    </row>
    <row r="16" spans="1:10" x14ac:dyDescent="0.2">
      <c r="A16" s="50" t="s">
        <v>115</v>
      </c>
      <c r="B16" s="51" t="s">
        <v>109</v>
      </c>
      <c r="C16" s="51"/>
      <c r="D16" s="52">
        <v>38614</v>
      </c>
      <c r="E16" s="51" t="s">
        <v>113</v>
      </c>
      <c r="F16" s="53"/>
      <c r="G16" s="53">
        <v>1010.35</v>
      </c>
      <c r="H16" s="53">
        <v>1010.35</v>
      </c>
      <c r="I16" s="53">
        <v>0</v>
      </c>
      <c r="J16" s="54"/>
    </row>
    <row r="17" spans="1:10" x14ac:dyDescent="0.2">
      <c r="A17" s="50" t="s">
        <v>116</v>
      </c>
      <c r="B17" s="51" t="s">
        <v>65</v>
      </c>
      <c r="C17" s="51" t="s">
        <v>117</v>
      </c>
      <c r="D17" s="52">
        <v>18453</v>
      </c>
      <c r="E17" s="51" t="s">
        <v>118</v>
      </c>
      <c r="F17" s="53">
        <v>4749.68</v>
      </c>
      <c r="G17" s="53">
        <v>2374.84</v>
      </c>
      <c r="H17" s="53">
        <v>2374.84</v>
      </c>
      <c r="I17" s="53">
        <v>0</v>
      </c>
      <c r="J17" s="54">
        <v>0</v>
      </c>
    </row>
    <row r="18" spans="1:10" x14ac:dyDescent="0.2">
      <c r="A18" s="50" t="s">
        <v>119</v>
      </c>
      <c r="B18" s="51" t="s">
        <v>107</v>
      </c>
      <c r="C18" s="51"/>
      <c r="D18" s="52">
        <v>19761</v>
      </c>
      <c r="E18" s="51" t="s">
        <v>118</v>
      </c>
      <c r="F18" s="53"/>
      <c r="G18" s="53">
        <v>2374.84</v>
      </c>
      <c r="H18" s="53">
        <v>2374.84</v>
      </c>
      <c r="I18" s="53">
        <v>0</v>
      </c>
      <c r="J18" s="54"/>
    </row>
    <row r="19" spans="1:10" x14ac:dyDescent="0.2">
      <c r="A19" s="50" t="s">
        <v>120</v>
      </c>
      <c r="B19" s="51" t="s">
        <v>65</v>
      </c>
      <c r="C19" s="51" t="s">
        <v>65</v>
      </c>
      <c r="D19" s="52">
        <v>35733</v>
      </c>
      <c r="E19" s="51" t="s">
        <v>121</v>
      </c>
      <c r="F19" s="53">
        <v>1302</v>
      </c>
      <c r="G19" s="53">
        <v>1302</v>
      </c>
      <c r="H19" s="53">
        <v>1302</v>
      </c>
      <c r="I19" s="53">
        <v>0</v>
      </c>
      <c r="J19" s="54">
        <v>0</v>
      </c>
    </row>
    <row r="20" spans="1:10" x14ac:dyDescent="0.2">
      <c r="A20" s="50" t="s">
        <v>122</v>
      </c>
      <c r="B20" s="51" t="s">
        <v>65</v>
      </c>
      <c r="C20" s="51" t="s">
        <v>104</v>
      </c>
      <c r="D20" s="52">
        <v>24958</v>
      </c>
      <c r="E20" s="51" t="s">
        <v>123</v>
      </c>
      <c r="F20" s="53">
        <v>6519.36</v>
      </c>
      <c r="G20" s="53">
        <v>2297.77</v>
      </c>
      <c r="H20" s="53">
        <v>2297.77</v>
      </c>
      <c r="I20" s="53">
        <v>0</v>
      </c>
      <c r="J20" s="54">
        <v>0</v>
      </c>
    </row>
    <row r="21" spans="1:10" x14ac:dyDescent="0.2">
      <c r="A21" s="50" t="s">
        <v>124</v>
      </c>
      <c r="B21" s="51" t="s">
        <v>107</v>
      </c>
      <c r="C21" s="51"/>
      <c r="D21" s="52">
        <v>25342</v>
      </c>
      <c r="E21" s="51" t="s">
        <v>123</v>
      </c>
      <c r="F21" s="53"/>
      <c r="G21" s="53">
        <v>2231.1</v>
      </c>
      <c r="H21" s="53">
        <v>2231.1</v>
      </c>
      <c r="I21" s="53">
        <v>0</v>
      </c>
      <c r="J21" s="54"/>
    </row>
    <row r="22" spans="1:10" x14ac:dyDescent="0.2">
      <c r="A22" s="50" t="s">
        <v>125</v>
      </c>
      <c r="B22" s="51" t="s">
        <v>109</v>
      </c>
      <c r="C22" s="51"/>
      <c r="D22" s="52">
        <v>38632</v>
      </c>
      <c r="E22" s="51" t="s">
        <v>123</v>
      </c>
      <c r="F22" s="53"/>
      <c r="G22" s="53">
        <v>1010.35</v>
      </c>
      <c r="H22" s="53">
        <v>1010.35</v>
      </c>
      <c r="I22" s="53">
        <v>0</v>
      </c>
      <c r="J22" s="54"/>
    </row>
    <row r="23" spans="1:10" x14ac:dyDescent="0.2">
      <c r="A23" s="50" t="s">
        <v>126</v>
      </c>
      <c r="B23" s="51" t="s">
        <v>109</v>
      </c>
      <c r="C23" s="51"/>
      <c r="D23" s="52">
        <v>39092</v>
      </c>
      <c r="E23" s="51" t="s">
        <v>123</v>
      </c>
      <c r="F23" s="53"/>
      <c r="G23" s="53">
        <v>980.14</v>
      </c>
      <c r="H23" s="53">
        <v>980.14</v>
      </c>
      <c r="I23" s="53">
        <v>0</v>
      </c>
      <c r="J23" s="54"/>
    </row>
    <row r="24" spans="1:10" x14ac:dyDescent="0.2">
      <c r="A24" s="50" t="s">
        <v>127</v>
      </c>
      <c r="B24" s="51" t="s">
        <v>65</v>
      </c>
      <c r="C24" s="51" t="s">
        <v>117</v>
      </c>
      <c r="D24" s="52">
        <v>21309</v>
      </c>
      <c r="E24" s="51" t="s">
        <v>96</v>
      </c>
      <c r="F24" s="53">
        <v>4749.68</v>
      </c>
      <c r="G24" s="53">
        <v>2374.84</v>
      </c>
      <c r="H24" s="53">
        <v>2374.84</v>
      </c>
      <c r="I24" s="53">
        <v>0</v>
      </c>
      <c r="J24" s="54">
        <v>0</v>
      </c>
    </row>
    <row r="25" spans="1:10" x14ac:dyDescent="0.2">
      <c r="A25" s="50" t="s">
        <v>128</v>
      </c>
      <c r="B25" s="51" t="s">
        <v>107</v>
      </c>
      <c r="C25" s="51"/>
      <c r="D25" s="52">
        <v>23570</v>
      </c>
      <c r="E25" s="51" t="s">
        <v>96</v>
      </c>
      <c r="F25" s="53"/>
      <c r="G25" s="53">
        <v>2374.84</v>
      </c>
      <c r="H25" s="53">
        <v>2374.84</v>
      </c>
      <c r="I25" s="53">
        <v>0</v>
      </c>
      <c r="J25" s="54"/>
    </row>
    <row r="26" spans="1:10" x14ac:dyDescent="0.2">
      <c r="A26" s="50" t="s">
        <v>129</v>
      </c>
      <c r="B26" s="51" t="s">
        <v>65</v>
      </c>
      <c r="C26" s="51" t="s">
        <v>65</v>
      </c>
      <c r="D26" s="52">
        <v>24147</v>
      </c>
      <c r="E26" s="51" t="s">
        <v>113</v>
      </c>
      <c r="F26" s="53">
        <v>2374.84</v>
      </c>
      <c r="G26" s="53">
        <v>2374.84</v>
      </c>
      <c r="H26" s="53">
        <v>2374.84</v>
      </c>
      <c r="I26" s="53">
        <v>0</v>
      </c>
      <c r="J26" s="54">
        <v>0</v>
      </c>
    </row>
    <row r="27" spans="1:10" x14ac:dyDescent="0.2">
      <c r="A27" s="50" t="s">
        <v>130</v>
      </c>
      <c r="B27" s="51" t="s">
        <v>65</v>
      </c>
      <c r="C27" s="51" t="s">
        <v>65</v>
      </c>
      <c r="D27" s="52">
        <v>25210</v>
      </c>
      <c r="E27" s="51" t="s">
        <v>131</v>
      </c>
      <c r="F27" s="53">
        <v>2231.1</v>
      </c>
      <c r="G27" s="53">
        <v>2231.1</v>
      </c>
      <c r="H27" s="53">
        <v>2231.1</v>
      </c>
      <c r="I27" s="53">
        <v>0</v>
      </c>
      <c r="J27" s="54">
        <v>0</v>
      </c>
    </row>
    <row r="28" spans="1:10" x14ac:dyDescent="0.2">
      <c r="A28" s="50" t="s">
        <v>132</v>
      </c>
      <c r="B28" s="51" t="s">
        <v>65</v>
      </c>
      <c r="C28" s="51" t="s">
        <v>65</v>
      </c>
      <c r="D28" s="52">
        <v>35103</v>
      </c>
      <c r="E28" s="51" t="s">
        <v>113</v>
      </c>
      <c r="F28" s="53">
        <v>1340.54</v>
      </c>
      <c r="G28" s="53">
        <v>1340.54</v>
      </c>
      <c r="H28" s="53">
        <v>1340.54</v>
      </c>
      <c r="I28" s="53">
        <v>0</v>
      </c>
      <c r="J28" s="54">
        <v>0</v>
      </c>
    </row>
    <row r="29" spans="1:10" x14ac:dyDescent="0.2">
      <c r="A29" s="50" t="s">
        <v>133</v>
      </c>
      <c r="B29" s="51" t="s">
        <v>65</v>
      </c>
      <c r="C29" s="51" t="s">
        <v>117</v>
      </c>
      <c r="D29" s="52">
        <v>27399</v>
      </c>
      <c r="E29" s="51" t="s">
        <v>113</v>
      </c>
      <c r="F29" s="53">
        <v>3440.39</v>
      </c>
      <c r="G29" s="53">
        <v>1866.54</v>
      </c>
      <c r="H29" s="53">
        <v>1866.54</v>
      </c>
      <c r="I29" s="53">
        <v>0</v>
      </c>
      <c r="J29" s="54">
        <v>0</v>
      </c>
    </row>
    <row r="30" spans="1:10" x14ac:dyDescent="0.2">
      <c r="A30" s="50" t="s">
        <v>134</v>
      </c>
      <c r="B30" s="51" t="s">
        <v>107</v>
      </c>
      <c r="C30" s="51"/>
      <c r="D30" s="52">
        <v>29502</v>
      </c>
      <c r="E30" s="51" t="s">
        <v>113</v>
      </c>
      <c r="F30" s="53"/>
      <c r="G30" s="53">
        <v>1573.85</v>
      </c>
      <c r="H30" s="53">
        <v>1573.85</v>
      </c>
      <c r="I30" s="53">
        <v>0</v>
      </c>
      <c r="J30" s="54"/>
    </row>
    <row r="31" spans="1:10" x14ac:dyDescent="0.2">
      <c r="A31" s="50" t="s">
        <v>135</v>
      </c>
      <c r="B31" s="51" t="s">
        <v>65</v>
      </c>
      <c r="C31" s="51" t="s">
        <v>104</v>
      </c>
      <c r="D31" s="52">
        <v>24592</v>
      </c>
      <c r="E31" s="51" t="s">
        <v>111</v>
      </c>
      <c r="F31" s="53">
        <v>6051.68</v>
      </c>
      <c r="G31" s="53">
        <v>2374.84</v>
      </c>
      <c r="H31" s="53">
        <v>2374.84</v>
      </c>
      <c r="I31" s="53">
        <v>0</v>
      </c>
      <c r="J31" s="54">
        <v>0</v>
      </c>
    </row>
    <row r="32" spans="1:10" x14ac:dyDescent="0.2">
      <c r="A32" s="50" t="s">
        <v>136</v>
      </c>
      <c r="B32" s="51" t="s">
        <v>107</v>
      </c>
      <c r="C32" s="51"/>
      <c r="D32" s="52">
        <v>22616</v>
      </c>
      <c r="E32" s="51" t="s">
        <v>111</v>
      </c>
      <c r="F32" s="53"/>
      <c r="G32" s="53">
        <v>2374.84</v>
      </c>
      <c r="H32" s="53">
        <v>2374.84</v>
      </c>
      <c r="I32" s="53">
        <v>0</v>
      </c>
      <c r="J32" s="54"/>
    </row>
    <row r="33" spans="1:10" x14ac:dyDescent="0.2">
      <c r="A33" s="50" t="s">
        <v>137</v>
      </c>
      <c r="B33" s="51" t="s">
        <v>109</v>
      </c>
      <c r="C33" s="51"/>
      <c r="D33" s="52">
        <v>37842</v>
      </c>
      <c r="E33" s="51" t="s">
        <v>111</v>
      </c>
      <c r="F33" s="53"/>
      <c r="G33" s="53">
        <v>1302</v>
      </c>
      <c r="H33" s="53">
        <v>1302</v>
      </c>
      <c r="I33" s="53">
        <v>0</v>
      </c>
      <c r="J33" s="54"/>
    </row>
    <row r="34" spans="1:10" x14ac:dyDescent="0.2">
      <c r="A34" s="50" t="s">
        <v>138</v>
      </c>
      <c r="B34" s="51" t="s">
        <v>65</v>
      </c>
      <c r="C34" s="51" t="s">
        <v>65</v>
      </c>
      <c r="D34" s="52">
        <v>35401</v>
      </c>
      <c r="E34" s="51" t="s">
        <v>113</v>
      </c>
      <c r="F34" s="53">
        <v>1328.04</v>
      </c>
      <c r="G34" s="53">
        <v>1328.04</v>
      </c>
      <c r="H34" s="53">
        <v>1328.04</v>
      </c>
      <c r="I34" s="53">
        <v>0</v>
      </c>
      <c r="J34" s="54">
        <v>0</v>
      </c>
    </row>
    <row r="35" spans="1:10" x14ac:dyDescent="0.2">
      <c r="A35" s="50" t="s">
        <v>139</v>
      </c>
      <c r="B35" s="51" t="s">
        <v>65</v>
      </c>
      <c r="C35" s="51" t="s">
        <v>65</v>
      </c>
      <c r="D35" s="52">
        <v>35453</v>
      </c>
      <c r="E35" s="51" t="s">
        <v>113</v>
      </c>
      <c r="F35" s="53">
        <v>1328.04</v>
      </c>
      <c r="G35" s="53">
        <v>1328.04</v>
      </c>
      <c r="H35" s="53">
        <v>1328.04</v>
      </c>
      <c r="I35" s="53">
        <v>0</v>
      </c>
      <c r="J35" s="54">
        <v>0</v>
      </c>
    </row>
    <row r="36" spans="1:10" x14ac:dyDescent="0.2">
      <c r="A36" s="50" t="s">
        <v>140</v>
      </c>
      <c r="B36" s="51" t="s">
        <v>65</v>
      </c>
      <c r="C36" s="51" t="s">
        <v>65</v>
      </c>
      <c r="D36" s="52">
        <v>34864</v>
      </c>
      <c r="E36" s="51" t="s">
        <v>118</v>
      </c>
      <c r="F36" s="53">
        <v>1340.54</v>
      </c>
      <c r="G36" s="53">
        <v>1340.54</v>
      </c>
      <c r="H36" s="53">
        <v>1340.54</v>
      </c>
      <c r="I36" s="53">
        <v>0</v>
      </c>
      <c r="J36" s="54">
        <v>0</v>
      </c>
    </row>
    <row r="37" spans="1:10" x14ac:dyDescent="0.2">
      <c r="A37" s="50" t="s">
        <v>141</v>
      </c>
      <c r="B37" s="51" t="s">
        <v>65</v>
      </c>
      <c r="C37" s="51" t="s">
        <v>104</v>
      </c>
      <c r="D37" s="52">
        <v>26666</v>
      </c>
      <c r="E37" s="51" t="s">
        <v>118</v>
      </c>
      <c r="F37" s="53">
        <v>5952.74</v>
      </c>
      <c r="G37" s="53">
        <v>1981.12</v>
      </c>
      <c r="H37" s="53">
        <v>1981.12</v>
      </c>
      <c r="I37" s="53">
        <v>0</v>
      </c>
      <c r="J37" s="54">
        <v>0</v>
      </c>
    </row>
    <row r="38" spans="1:10" x14ac:dyDescent="0.2">
      <c r="A38" s="50" t="s">
        <v>142</v>
      </c>
      <c r="B38" s="51" t="s">
        <v>107</v>
      </c>
      <c r="C38" s="51"/>
      <c r="D38" s="52">
        <v>28717</v>
      </c>
      <c r="E38" s="51" t="s">
        <v>118</v>
      </c>
      <c r="F38" s="53"/>
      <c r="G38" s="53">
        <v>1659.27</v>
      </c>
      <c r="H38" s="53">
        <v>1659.27</v>
      </c>
      <c r="I38" s="53">
        <v>0</v>
      </c>
      <c r="J38" s="54"/>
    </row>
    <row r="39" spans="1:10" x14ac:dyDescent="0.2">
      <c r="A39" s="50" t="s">
        <v>143</v>
      </c>
      <c r="B39" s="51" t="s">
        <v>109</v>
      </c>
      <c r="C39" s="51"/>
      <c r="D39" s="52">
        <v>37384</v>
      </c>
      <c r="E39" s="51" t="s">
        <v>118</v>
      </c>
      <c r="F39" s="53"/>
      <c r="G39" s="53">
        <v>1302</v>
      </c>
      <c r="H39" s="53">
        <v>1302</v>
      </c>
      <c r="I39" s="53">
        <v>0</v>
      </c>
      <c r="J39" s="54"/>
    </row>
    <row r="40" spans="1:10" x14ac:dyDescent="0.2">
      <c r="A40" s="50" t="s">
        <v>144</v>
      </c>
      <c r="B40" s="51" t="s">
        <v>109</v>
      </c>
      <c r="C40" s="51"/>
      <c r="D40" s="52">
        <v>38688</v>
      </c>
      <c r="E40" s="51" t="s">
        <v>118</v>
      </c>
      <c r="F40" s="53"/>
      <c r="G40" s="53">
        <v>1010.35</v>
      </c>
      <c r="H40" s="53">
        <v>1010.35</v>
      </c>
      <c r="I40" s="53">
        <v>0</v>
      </c>
      <c r="J40" s="54"/>
    </row>
    <row r="41" spans="1:10" x14ac:dyDescent="0.2">
      <c r="A41" s="50" t="s">
        <v>145</v>
      </c>
      <c r="B41" s="51" t="s">
        <v>65</v>
      </c>
      <c r="C41" s="51" t="s">
        <v>65</v>
      </c>
      <c r="D41" s="52">
        <v>36146</v>
      </c>
      <c r="E41" s="51" t="s">
        <v>111</v>
      </c>
      <c r="F41" s="53">
        <v>1302</v>
      </c>
      <c r="G41" s="53">
        <v>1302</v>
      </c>
      <c r="H41" s="53">
        <v>1302</v>
      </c>
      <c r="I41" s="53">
        <v>0</v>
      </c>
      <c r="J41" s="54">
        <v>0</v>
      </c>
    </row>
    <row r="42" spans="1:10" x14ac:dyDescent="0.2">
      <c r="A42" s="50" t="s">
        <v>146</v>
      </c>
      <c r="B42" s="51" t="s">
        <v>65</v>
      </c>
      <c r="C42" s="51" t="s">
        <v>65</v>
      </c>
      <c r="D42" s="52">
        <v>35249</v>
      </c>
      <c r="E42" s="51" t="s">
        <v>147</v>
      </c>
      <c r="F42" s="53">
        <v>1328.04</v>
      </c>
      <c r="G42" s="53">
        <v>1328.04</v>
      </c>
      <c r="H42" s="53">
        <v>1328.04</v>
      </c>
      <c r="I42" s="53">
        <v>0</v>
      </c>
      <c r="J42" s="54">
        <v>0</v>
      </c>
    </row>
    <row r="43" spans="1:10" ht="16.149999999999999" customHeight="1" x14ac:dyDescent="0.2">
      <c r="A43" s="226" t="s">
        <v>81</v>
      </c>
      <c r="B43" s="227"/>
      <c r="C43" s="227"/>
      <c r="D43" s="227"/>
      <c r="E43" s="227"/>
      <c r="F43" s="211" t="s">
        <v>219</v>
      </c>
      <c r="G43" s="212"/>
      <c r="H43" s="212"/>
      <c r="I43" s="212"/>
      <c r="J43" s="213"/>
    </row>
    <row r="44" spans="1:10" ht="13.9" customHeight="1" x14ac:dyDescent="0.2">
      <c r="A44" s="228" t="s">
        <v>82</v>
      </c>
      <c r="B44" s="229"/>
      <c r="C44" s="229"/>
      <c r="D44" s="229"/>
      <c r="E44" s="229"/>
      <c r="F44" s="214">
        <v>14945.88</v>
      </c>
      <c r="G44" s="215"/>
      <c r="H44" s="215"/>
      <c r="I44" s="215"/>
      <c r="J44" s="216"/>
    </row>
    <row r="45" spans="1:10" ht="13.9" customHeight="1" x14ac:dyDescent="0.2">
      <c r="A45" s="230" t="s">
        <v>83</v>
      </c>
      <c r="B45" s="231"/>
      <c r="C45" s="231"/>
      <c r="D45" s="231"/>
      <c r="E45" s="231"/>
      <c r="F45" s="208">
        <f>F44*12</f>
        <v>179350.56</v>
      </c>
      <c r="G45" s="209"/>
      <c r="H45" s="209"/>
      <c r="I45" s="209"/>
      <c r="J45" s="210"/>
    </row>
    <row r="46" spans="1:10" ht="18" customHeight="1" x14ac:dyDescent="0.2">
      <c r="A46" s="201" t="s">
        <v>30</v>
      </c>
      <c r="B46" s="202"/>
      <c r="C46" s="202"/>
      <c r="D46" s="202"/>
      <c r="E46" s="202"/>
      <c r="F46" s="203" t="s">
        <v>29</v>
      </c>
      <c r="G46" s="206"/>
      <c r="H46" s="206"/>
      <c r="I46" s="206"/>
      <c r="J46" s="207"/>
    </row>
    <row r="47" spans="1:10" ht="4.9000000000000004" customHeight="1" x14ac:dyDescent="0.2">
      <c r="A47" s="36"/>
      <c r="B47" s="36"/>
      <c r="C47" s="37"/>
      <c r="D47" s="37"/>
      <c r="E47" s="38"/>
      <c r="F47" s="40"/>
      <c r="G47" s="40"/>
      <c r="H47" s="40"/>
      <c r="I47" s="40"/>
      <c r="J47" s="40"/>
    </row>
    <row r="48" spans="1:10" ht="55.15" customHeight="1" x14ac:dyDescent="0.2">
      <c r="A48" s="200" t="s">
        <v>31</v>
      </c>
      <c r="B48" s="200"/>
      <c r="C48" s="200"/>
      <c r="D48" s="200"/>
      <c r="E48" s="200"/>
      <c r="F48" s="200"/>
      <c r="G48" s="200"/>
      <c r="H48" s="200"/>
      <c r="I48" s="200"/>
      <c r="J48" s="200"/>
    </row>
  </sheetData>
  <mergeCells count="15">
    <mergeCell ref="A5:E7"/>
    <mergeCell ref="A2:J2"/>
    <mergeCell ref="A3:J3"/>
    <mergeCell ref="A4:J4"/>
    <mergeCell ref="F8:J8"/>
    <mergeCell ref="F7:J7"/>
    <mergeCell ref="A46:E46"/>
    <mergeCell ref="A48:J48"/>
    <mergeCell ref="F46:J46"/>
    <mergeCell ref="A43:E43"/>
    <mergeCell ref="A44:E44"/>
    <mergeCell ref="A45:E45"/>
    <mergeCell ref="F43:J43"/>
    <mergeCell ref="F44:J44"/>
    <mergeCell ref="F45:J45"/>
  </mergeCells>
  <hyperlinks>
    <hyperlink ref="F7" r:id="rId1" xr:uid="{00000000-0004-0000-5300-000000000000}"/>
    <hyperlink ref="F46" r:id="rId2" xr:uid="{00000000-0004-0000-5300-000001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4044-9540-4D11-B3F6-092D893E61B9}">
  <sheetPr>
    <pageSetUpPr fitToPage="1"/>
  </sheetPr>
  <dimension ref="A1:Y51"/>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25" width="10.25" style="29" customWidth="1" collapsed="1"/>
    <col min="2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39"/>
      <c r="K2" s="239"/>
      <c r="L2" s="239"/>
      <c r="M2" s="239"/>
      <c r="N2" s="239"/>
      <c r="O2" s="239"/>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2"/>
      <c r="K3" s="242"/>
      <c r="L3" s="242"/>
      <c r="M3" s="242"/>
      <c r="N3" s="242"/>
      <c r="O3" s="242"/>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5"/>
      <c r="K4" s="245"/>
      <c r="L4" s="245"/>
      <c r="M4" s="245"/>
      <c r="N4" s="245"/>
      <c r="O4" s="245"/>
      <c r="P4" s="245"/>
      <c r="Q4" s="245"/>
      <c r="R4" s="245"/>
      <c r="S4" s="245"/>
      <c r="T4" s="246"/>
      <c r="U4" s="245"/>
      <c r="V4" s="245"/>
      <c r="W4" s="245"/>
      <c r="X4" s="245"/>
      <c r="Y4" s="246"/>
    </row>
    <row r="5" spans="1:25" ht="19.899999999999999" customHeight="1" x14ac:dyDescent="0.2">
      <c r="A5" s="247" t="s">
        <v>57</v>
      </c>
      <c r="B5" s="248"/>
      <c r="C5" s="248"/>
      <c r="D5" s="248"/>
      <c r="E5" s="248"/>
      <c r="F5" s="117" t="s">
        <v>98</v>
      </c>
      <c r="G5" s="118"/>
      <c r="H5" s="118"/>
      <c r="I5" s="118"/>
      <c r="J5" s="119"/>
      <c r="K5" s="117" t="s">
        <v>98</v>
      </c>
      <c r="L5" s="118"/>
      <c r="M5" s="118"/>
      <c r="N5" s="118"/>
      <c r="O5" s="119"/>
      <c r="P5" s="117" t="s">
        <v>101</v>
      </c>
      <c r="Q5" s="118"/>
      <c r="R5" s="118"/>
      <c r="S5" s="118"/>
      <c r="T5" s="120"/>
      <c r="U5" s="117" t="s">
        <v>101</v>
      </c>
      <c r="V5" s="118"/>
      <c r="W5" s="118"/>
      <c r="X5" s="118"/>
      <c r="Y5" s="120"/>
    </row>
    <row r="6" spans="1:25" ht="28.5" x14ac:dyDescent="0.2">
      <c r="A6" s="247"/>
      <c r="B6" s="248"/>
      <c r="C6" s="248"/>
      <c r="D6" s="248"/>
      <c r="E6" s="248"/>
      <c r="F6" s="121" t="s">
        <v>222</v>
      </c>
      <c r="G6" s="122"/>
      <c r="H6" s="122"/>
      <c r="I6" s="122"/>
      <c r="J6" s="123"/>
      <c r="K6" s="121" t="s">
        <v>223</v>
      </c>
      <c r="L6" s="122"/>
      <c r="M6" s="122"/>
      <c r="N6" s="122"/>
      <c r="O6" s="123"/>
      <c r="P6" s="121" t="s">
        <v>100</v>
      </c>
      <c r="Q6" s="122"/>
      <c r="R6" s="122"/>
      <c r="S6" s="122"/>
      <c r="T6" s="124"/>
      <c r="U6" s="121" t="s">
        <v>102</v>
      </c>
      <c r="V6" s="122"/>
      <c r="W6" s="122"/>
      <c r="X6" s="122"/>
      <c r="Y6" s="124"/>
    </row>
    <row r="7" spans="1:25" ht="19.899999999999999" customHeight="1" x14ac:dyDescent="0.2">
      <c r="A7" s="247"/>
      <c r="B7" s="248"/>
      <c r="C7" s="248"/>
      <c r="D7" s="248"/>
      <c r="E7" s="248"/>
      <c r="F7" s="235"/>
      <c r="G7" s="236"/>
      <c r="H7" s="236"/>
      <c r="I7" s="236"/>
      <c r="J7" s="249"/>
      <c r="K7" s="235" t="s">
        <v>58</v>
      </c>
      <c r="L7" s="236"/>
      <c r="M7" s="236"/>
      <c r="N7" s="236"/>
      <c r="O7" s="249"/>
      <c r="P7" s="235" t="s">
        <v>58</v>
      </c>
      <c r="Q7" s="236"/>
      <c r="R7" s="236"/>
      <c r="S7" s="236"/>
      <c r="T7" s="237"/>
      <c r="U7" s="235" t="s">
        <v>58</v>
      </c>
      <c r="V7" s="236"/>
      <c r="W7" s="236"/>
      <c r="X7" s="236"/>
      <c r="Y7" s="237"/>
    </row>
    <row r="8" spans="1:25" ht="16.149999999999999" customHeight="1" x14ac:dyDescent="0.2">
      <c r="A8" s="43"/>
      <c r="B8" s="44"/>
      <c r="C8" s="44"/>
      <c r="D8" s="44"/>
      <c r="E8" s="44"/>
      <c r="F8" s="211" t="s">
        <v>1</v>
      </c>
      <c r="G8" s="212"/>
      <c r="H8" s="212"/>
      <c r="I8" s="212"/>
      <c r="J8" s="213"/>
      <c r="K8" s="211" t="s">
        <v>2</v>
      </c>
      <c r="L8" s="212"/>
      <c r="M8" s="212"/>
      <c r="N8" s="212"/>
      <c r="O8" s="213"/>
      <c r="P8" s="232" t="s">
        <v>51</v>
      </c>
      <c r="Q8" s="233"/>
      <c r="R8" s="233"/>
      <c r="S8" s="233"/>
      <c r="T8" s="234"/>
      <c r="U8" s="232" t="s">
        <v>36</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34" t="s">
        <v>66</v>
      </c>
      <c r="K9" s="32" t="s">
        <v>68</v>
      </c>
      <c r="L9" s="33" t="s">
        <v>32</v>
      </c>
      <c r="M9" s="33" t="s">
        <v>64</v>
      </c>
      <c r="N9" s="33" t="s">
        <v>65</v>
      </c>
      <c r="O9" s="34"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2155.42</v>
      </c>
      <c r="G10" s="53">
        <v>2155.42</v>
      </c>
      <c r="H10" s="53">
        <v>2155.42</v>
      </c>
      <c r="I10" s="53">
        <v>0</v>
      </c>
      <c r="J10" s="53">
        <v>0</v>
      </c>
      <c r="K10" s="53">
        <v>3261.9</v>
      </c>
      <c r="L10" s="53">
        <v>3261.9</v>
      </c>
      <c r="M10" s="53">
        <v>3261.9</v>
      </c>
      <c r="N10" s="53">
        <v>0</v>
      </c>
      <c r="O10" s="53">
        <v>0</v>
      </c>
      <c r="P10" s="53">
        <v>1386.79</v>
      </c>
      <c r="Q10" s="53">
        <v>633.52</v>
      </c>
      <c r="R10" s="53">
        <v>633.52</v>
      </c>
      <c r="S10" s="53">
        <v>0</v>
      </c>
      <c r="T10" s="54">
        <v>0</v>
      </c>
      <c r="U10" s="53">
        <v>1510.51</v>
      </c>
      <c r="V10" s="53">
        <v>690.03</v>
      </c>
      <c r="W10" s="53">
        <v>690.03</v>
      </c>
      <c r="X10" s="53">
        <v>0</v>
      </c>
      <c r="Y10" s="54">
        <v>0</v>
      </c>
    </row>
    <row r="11" spans="1:25" x14ac:dyDescent="0.2">
      <c r="A11" s="50" t="s">
        <v>106</v>
      </c>
      <c r="B11" s="51" t="s">
        <v>107</v>
      </c>
      <c r="C11" s="51"/>
      <c r="D11" s="52">
        <v>27837</v>
      </c>
      <c r="E11" s="51" t="s">
        <v>105</v>
      </c>
      <c r="F11" s="53"/>
      <c r="G11" s="53"/>
      <c r="H11" s="53">
        <v>0</v>
      </c>
      <c r="I11" s="53">
        <v>0</v>
      </c>
      <c r="J11" s="53"/>
      <c r="K11" s="53"/>
      <c r="L11" s="53"/>
      <c r="M11" s="53">
        <v>0</v>
      </c>
      <c r="N11" s="53">
        <v>0</v>
      </c>
      <c r="O11" s="53"/>
      <c r="P11" s="53"/>
      <c r="Q11" s="53">
        <v>483.75</v>
      </c>
      <c r="R11" s="53">
        <v>483.75</v>
      </c>
      <c r="S11" s="53">
        <v>0</v>
      </c>
      <c r="T11" s="54"/>
      <c r="U11" s="53"/>
      <c r="V11" s="53">
        <v>526.91</v>
      </c>
      <c r="W11" s="53">
        <v>526.91</v>
      </c>
      <c r="X11" s="53">
        <v>0</v>
      </c>
      <c r="Y11" s="54"/>
    </row>
    <row r="12" spans="1:25" x14ac:dyDescent="0.2">
      <c r="A12" s="50" t="s">
        <v>108</v>
      </c>
      <c r="B12" s="51" t="s">
        <v>109</v>
      </c>
      <c r="C12" s="51"/>
      <c r="D12" s="52">
        <v>38648</v>
      </c>
      <c r="E12" s="51" t="s">
        <v>105</v>
      </c>
      <c r="F12" s="53"/>
      <c r="G12" s="53"/>
      <c r="H12" s="53">
        <v>0</v>
      </c>
      <c r="I12" s="53">
        <v>0</v>
      </c>
      <c r="J12" s="53"/>
      <c r="K12" s="53"/>
      <c r="L12" s="53"/>
      <c r="M12" s="53">
        <v>0</v>
      </c>
      <c r="N12" s="53">
        <v>0</v>
      </c>
      <c r="O12" s="53"/>
      <c r="P12" s="53"/>
      <c r="Q12" s="53">
        <v>269.52</v>
      </c>
      <c r="R12" s="53">
        <v>269.52</v>
      </c>
      <c r="S12" s="53">
        <v>0</v>
      </c>
      <c r="T12" s="54"/>
      <c r="U12" s="53"/>
      <c r="V12" s="53">
        <v>293.57</v>
      </c>
      <c r="W12" s="53">
        <v>293.57</v>
      </c>
      <c r="X12" s="53">
        <v>0</v>
      </c>
      <c r="Y12" s="54"/>
    </row>
    <row r="13" spans="1:25" x14ac:dyDescent="0.2">
      <c r="A13" s="50" t="s">
        <v>110</v>
      </c>
      <c r="B13" s="51" t="s">
        <v>65</v>
      </c>
      <c r="C13" s="51" t="s">
        <v>65</v>
      </c>
      <c r="D13" s="52">
        <v>36345</v>
      </c>
      <c r="E13" s="51" t="s">
        <v>111</v>
      </c>
      <c r="F13" s="53">
        <v>688.01</v>
      </c>
      <c r="G13" s="53">
        <v>688.01</v>
      </c>
      <c r="H13" s="53">
        <v>688.01</v>
      </c>
      <c r="I13" s="53">
        <v>0</v>
      </c>
      <c r="J13" s="53">
        <v>0</v>
      </c>
      <c r="K13" s="53">
        <v>1023.31</v>
      </c>
      <c r="L13" s="53">
        <v>1023.31</v>
      </c>
      <c r="M13" s="53">
        <v>1023.31</v>
      </c>
      <c r="N13" s="53">
        <v>0</v>
      </c>
      <c r="O13" s="53">
        <v>0</v>
      </c>
      <c r="P13" s="53">
        <v>347.32</v>
      </c>
      <c r="Q13" s="53">
        <v>347.32</v>
      </c>
      <c r="R13" s="53">
        <v>347.32</v>
      </c>
      <c r="S13" s="53">
        <v>0</v>
      </c>
      <c r="T13" s="54">
        <v>0</v>
      </c>
      <c r="U13" s="53">
        <v>378.31</v>
      </c>
      <c r="V13" s="53">
        <v>378.31</v>
      </c>
      <c r="W13" s="53">
        <v>378.31</v>
      </c>
      <c r="X13" s="53">
        <v>0</v>
      </c>
      <c r="Y13" s="54">
        <v>0</v>
      </c>
    </row>
    <row r="14" spans="1:25" x14ac:dyDescent="0.2">
      <c r="A14" s="50" t="s">
        <v>112</v>
      </c>
      <c r="B14" s="51" t="s">
        <v>65</v>
      </c>
      <c r="C14" s="51" t="s">
        <v>104</v>
      </c>
      <c r="D14" s="52">
        <v>24895</v>
      </c>
      <c r="E14" s="51" t="s">
        <v>113</v>
      </c>
      <c r="F14" s="53">
        <v>2155.42</v>
      </c>
      <c r="G14" s="53">
        <v>2155.42</v>
      </c>
      <c r="H14" s="53">
        <v>2155.42</v>
      </c>
      <c r="I14" s="53">
        <v>0</v>
      </c>
      <c r="J14" s="53">
        <v>0</v>
      </c>
      <c r="K14" s="53">
        <v>3261.9</v>
      </c>
      <c r="L14" s="53">
        <v>3261.9</v>
      </c>
      <c r="M14" s="53">
        <v>3261.9</v>
      </c>
      <c r="N14" s="53">
        <v>0</v>
      </c>
      <c r="O14" s="53">
        <v>0</v>
      </c>
      <c r="P14" s="53">
        <v>1515.99</v>
      </c>
      <c r="Q14" s="53">
        <v>612.95000000000005</v>
      </c>
      <c r="R14" s="53">
        <v>612.95000000000005</v>
      </c>
      <c r="S14" s="53">
        <v>0</v>
      </c>
      <c r="T14" s="54">
        <v>0</v>
      </c>
      <c r="U14" s="53">
        <v>1651.24</v>
      </c>
      <c r="V14" s="53">
        <v>667.64</v>
      </c>
      <c r="W14" s="53">
        <v>667.64</v>
      </c>
      <c r="X14" s="53">
        <v>0</v>
      </c>
      <c r="Y14" s="54">
        <v>0</v>
      </c>
    </row>
    <row r="15" spans="1:25" x14ac:dyDescent="0.2">
      <c r="A15" s="50" t="s">
        <v>114</v>
      </c>
      <c r="B15" s="51" t="s">
        <v>107</v>
      </c>
      <c r="C15" s="51"/>
      <c r="D15" s="52">
        <v>24269</v>
      </c>
      <c r="E15" s="51" t="s">
        <v>113</v>
      </c>
      <c r="F15" s="53"/>
      <c r="G15" s="53"/>
      <c r="H15" s="53">
        <v>0</v>
      </c>
      <c r="I15" s="53">
        <v>0</v>
      </c>
      <c r="J15" s="53"/>
      <c r="K15" s="53"/>
      <c r="L15" s="53"/>
      <c r="M15" s="53">
        <v>0</v>
      </c>
      <c r="N15" s="53">
        <v>0</v>
      </c>
      <c r="O15" s="53"/>
      <c r="P15" s="53"/>
      <c r="Q15" s="53">
        <v>633.52</v>
      </c>
      <c r="R15" s="53">
        <v>633.52</v>
      </c>
      <c r="S15" s="53">
        <v>0</v>
      </c>
      <c r="T15" s="54"/>
      <c r="U15" s="53"/>
      <c r="V15" s="53">
        <v>690.03</v>
      </c>
      <c r="W15" s="53">
        <v>690.03</v>
      </c>
      <c r="X15" s="53">
        <v>0</v>
      </c>
      <c r="Y15" s="54"/>
    </row>
    <row r="16" spans="1:25" x14ac:dyDescent="0.2">
      <c r="A16" s="50" t="s">
        <v>115</v>
      </c>
      <c r="B16" s="51" t="s">
        <v>109</v>
      </c>
      <c r="C16" s="51"/>
      <c r="D16" s="52">
        <v>38614</v>
      </c>
      <c r="E16" s="51" t="s">
        <v>113</v>
      </c>
      <c r="F16" s="53"/>
      <c r="G16" s="53"/>
      <c r="H16" s="53">
        <v>0</v>
      </c>
      <c r="I16" s="53">
        <v>0</v>
      </c>
      <c r="J16" s="53"/>
      <c r="K16" s="53"/>
      <c r="L16" s="53"/>
      <c r="M16" s="53">
        <v>0</v>
      </c>
      <c r="N16" s="53">
        <v>0</v>
      </c>
      <c r="O16" s="53"/>
      <c r="P16" s="53"/>
      <c r="Q16" s="53">
        <v>269.52</v>
      </c>
      <c r="R16" s="53">
        <v>269.52</v>
      </c>
      <c r="S16" s="53">
        <v>0</v>
      </c>
      <c r="T16" s="54"/>
      <c r="U16" s="53"/>
      <c r="V16" s="53">
        <v>293.57</v>
      </c>
      <c r="W16" s="53">
        <v>293.57</v>
      </c>
      <c r="X16" s="53">
        <v>0</v>
      </c>
      <c r="Y16" s="54"/>
    </row>
    <row r="17" spans="1:25" x14ac:dyDescent="0.2">
      <c r="A17" s="50" t="s">
        <v>116</v>
      </c>
      <c r="B17" s="51" t="s">
        <v>65</v>
      </c>
      <c r="C17" s="51" t="s">
        <v>117</v>
      </c>
      <c r="D17" s="52">
        <v>18453</v>
      </c>
      <c r="E17" s="51" t="s">
        <v>118</v>
      </c>
      <c r="F17" s="53">
        <v>1517.4</v>
      </c>
      <c r="G17" s="53">
        <v>1517.4</v>
      </c>
      <c r="H17" s="53">
        <v>1517.4</v>
      </c>
      <c r="I17" s="53">
        <v>0</v>
      </c>
      <c r="J17" s="53">
        <v>0</v>
      </c>
      <c r="K17" s="53">
        <v>2288.59</v>
      </c>
      <c r="L17" s="53">
        <v>2288.59</v>
      </c>
      <c r="M17" s="53">
        <v>2288.59</v>
      </c>
      <c r="N17" s="53">
        <v>0</v>
      </c>
      <c r="O17" s="53">
        <v>0</v>
      </c>
      <c r="P17" s="53">
        <v>1267.04</v>
      </c>
      <c r="Q17" s="53">
        <v>633.52</v>
      </c>
      <c r="R17" s="53">
        <v>633.52</v>
      </c>
      <c r="S17" s="53">
        <v>0</v>
      </c>
      <c r="T17" s="54">
        <v>0</v>
      </c>
      <c r="U17" s="53">
        <v>1380.06</v>
      </c>
      <c r="V17" s="53">
        <v>690.03</v>
      </c>
      <c r="W17" s="53">
        <v>690.03</v>
      </c>
      <c r="X17" s="53">
        <v>0</v>
      </c>
      <c r="Y17" s="54">
        <v>0</v>
      </c>
    </row>
    <row r="18" spans="1:25" x14ac:dyDescent="0.2">
      <c r="A18" s="50" t="s">
        <v>119</v>
      </c>
      <c r="B18" s="51" t="s">
        <v>107</v>
      </c>
      <c r="C18" s="51"/>
      <c r="D18" s="52">
        <v>19761</v>
      </c>
      <c r="E18" s="51" t="s">
        <v>118</v>
      </c>
      <c r="F18" s="53"/>
      <c r="G18" s="53"/>
      <c r="H18" s="53">
        <v>0</v>
      </c>
      <c r="I18" s="53">
        <v>0</v>
      </c>
      <c r="J18" s="53"/>
      <c r="K18" s="53"/>
      <c r="L18" s="53"/>
      <c r="M18" s="53">
        <v>0</v>
      </c>
      <c r="N18" s="53">
        <v>0</v>
      </c>
      <c r="O18" s="53"/>
      <c r="P18" s="53"/>
      <c r="Q18" s="53">
        <v>633.52</v>
      </c>
      <c r="R18" s="53">
        <v>633.52</v>
      </c>
      <c r="S18" s="53">
        <v>0</v>
      </c>
      <c r="T18" s="54"/>
      <c r="U18" s="53"/>
      <c r="V18" s="53">
        <v>690.03</v>
      </c>
      <c r="W18" s="53">
        <v>690.03</v>
      </c>
      <c r="X18" s="53">
        <v>0</v>
      </c>
      <c r="Y18" s="54"/>
    </row>
    <row r="19" spans="1:25" x14ac:dyDescent="0.2">
      <c r="A19" s="50" t="s">
        <v>120</v>
      </c>
      <c r="B19" s="51" t="s">
        <v>65</v>
      </c>
      <c r="C19" s="51" t="s">
        <v>65</v>
      </c>
      <c r="D19" s="52">
        <v>35733</v>
      </c>
      <c r="E19" s="51" t="s">
        <v>121</v>
      </c>
      <c r="F19" s="53">
        <v>688.01</v>
      </c>
      <c r="G19" s="53">
        <v>688.01</v>
      </c>
      <c r="H19" s="53">
        <v>688.01</v>
      </c>
      <c r="I19" s="53">
        <v>0</v>
      </c>
      <c r="J19" s="53">
        <v>0</v>
      </c>
      <c r="K19" s="53">
        <v>1023.31</v>
      </c>
      <c r="L19" s="53">
        <v>1023.31</v>
      </c>
      <c r="M19" s="53">
        <v>1023.31</v>
      </c>
      <c r="N19" s="53">
        <v>0</v>
      </c>
      <c r="O19" s="53">
        <v>0</v>
      </c>
      <c r="P19" s="53">
        <v>347.32</v>
      </c>
      <c r="Q19" s="53">
        <v>347.32</v>
      </c>
      <c r="R19" s="53">
        <v>347.32</v>
      </c>
      <c r="S19" s="53">
        <v>0</v>
      </c>
      <c r="T19" s="54">
        <v>0</v>
      </c>
      <c r="U19" s="53">
        <v>378.31</v>
      </c>
      <c r="V19" s="53">
        <v>378.31</v>
      </c>
      <c r="W19" s="53">
        <v>378.31</v>
      </c>
      <c r="X19" s="53">
        <v>0</v>
      </c>
      <c r="Y19" s="54">
        <v>0</v>
      </c>
    </row>
    <row r="20" spans="1:25" x14ac:dyDescent="0.2">
      <c r="A20" s="50" t="s">
        <v>122</v>
      </c>
      <c r="B20" s="51" t="s">
        <v>65</v>
      </c>
      <c r="C20" s="51" t="s">
        <v>104</v>
      </c>
      <c r="D20" s="52">
        <v>24958</v>
      </c>
      <c r="E20" s="51" t="s">
        <v>123</v>
      </c>
      <c r="F20" s="53">
        <v>2155.42</v>
      </c>
      <c r="G20" s="53">
        <v>2155.42</v>
      </c>
      <c r="H20" s="53">
        <v>2155.42</v>
      </c>
      <c r="I20" s="53">
        <v>0</v>
      </c>
      <c r="J20" s="53">
        <v>0</v>
      </c>
      <c r="K20" s="53">
        <v>3261.9</v>
      </c>
      <c r="L20" s="53">
        <v>3261.9</v>
      </c>
      <c r="M20" s="53">
        <v>3261.9</v>
      </c>
      <c r="N20" s="53">
        <v>0</v>
      </c>
      <c r="O20" s="53">
        <v>0</v>
      </c>
      <c r="P20" s="53">
        <v>1739.1</v>
      </c>
      <c r="Q20" s="53">
        <v>612.95000000000005</v>
      </c>
      <c r="R20" s="53">
        <v>612.95000000000005</v>
      </c>
      <c r="S20" s="53">
        <v>0</v>
      </c>
      <c r="T20" s="54">
        <v>0</v>
      </c>
      <c r="U20" s="53">
        <v>1894.27</v>
      </c>
      <c r="V20" s="53">
        <v>667.64</v>
      </c>
      <c r="W20" s="53">
        <v>667.64</v>
      </c>
      <c r="X20" s="53">
        <v>0</v>
      </c>
      <c r="Y20" s="54">
        <v>0</v>
      </c>
    </row>
    <row r="21" spans="1:25" x14ac:dyDescent="0.2">
      <c r="A21" s="50" t="s">
        <v>124</v>
      </c>
      <c r="B21" s="51" t="s">
        <v>107</v>
      </c>
      <c r="C21" s="51"/>
      <c r="D21" s="52">
        <v>25342</v>
      </c>
      <c r="E21" s="51" t="s">
        <v>123</v>
      </c>
      <c r="F21" s="53"/>
      <c r="G21" s="53"/>
      <c r="H21" s="53">
        <v>0</v>
      </c>
      <c r="I21" s="53">
        <v>0</v>
      </c>
      <c r="J21" s="53"/>
      <c r="K21" s="53"/>
      <c r="L21" s="53"/>
      <c r="M21" s="53">
        <v>0</v>
      </c>
      <c r="N21" s="53">
        <v>0</v>
      </c>
      <c r="O21" s="53"/>
      <c r="P21" s="53"/>
      <c r="Q21" s="53">
        <v>595.16999999999996</v>
      </c>
      <c r="R21" s="53">
        <v>595.16999999999996</v>
      </c>
      <c r="S21" s="53">
        <v>0</v>
      </c>
      <c r="T21" s="54"/>
      <c r="U21" s="53"/>
      <c r="V21" s="53">
        <v>648.27</v>
      </c>
      <c r="W21" s="53">
        <v>648.27</v>
      </c>
      <c r="X21" s="53">
        <v>0</v>
      </c>
      <c r="Y21" s="54"/>
    </row>
    <row r="22" spans="1:25" x14ac:dyDescent="0.2">
      <c r="A22" s="50" t="s">
        <v>125</v>
      </c>
      <c r="B22" s="51" t="s">
        <v>109</v>
      </c>
      <c r="C22" s="51"/>
      <c r="D22" s="52">
        <v>38632</v>
      </c>
      <c r="E22" s="51" t="s">
        <v>123</v>
      </c>
      <c r="F22" s="53"/>
      <c r="G22" s="53"/>
      <c r="H22" s="53">
        <v>0</v>
      </c>
      <c r="I22" s="53">
        <v>0</v>
      </c>
      <c r="J22" s="53"/>
      <c r="K22" s="53"/>
      <c r="L22" s="53"/>
      <c r="M22" s="53">
        <v>0</v>
      </c>
      <c r="N22" s="53">
        <v>0</v>
      </c>
      <c r="O22" s="53"/>
      <c r="P22" s="53"/>
      <c r="Q22" s="53">
        <v>269.52</v>
      </c>
      <c r="R22" s="53">
        <v>269.52</v>
      </c>
      <c r="S22" s="53">
        <v>0</v>
      </c>
      <c r="T22" s="54"/>
      <c r="U22" s="53"/>
      <c r="V22" s="53">
        <v>293.57</v>
      </c>
      <c r="W22" s="53">
        <v>293.57</v>
      </c>
      <c r="X22" s="53">
        <v>0</v>
      </c>
      <c r="Y22" s="54"/>
    </row>
    <row r="23" spans="1:25" x14ac:dyDescent="0.2">
      <c r="A23" s="50" t="s">
        <v>126</v>
      </c>
      <c r="B23" s="51" t="s">
        <v>109</v>
      </c>
      <c r="C23" s="51"/>
      <c r="D23" s="52">
        <v>39092</v>
      </c>
      <c r="E23" s="51" t="s">
        <v>123</v>
      </c>
      <c r="F23" s="53"/>
      <c r="G23" s="53"/>
      <c r="H23" s="53">
        <v>0</v>
      </c>
      <c r="I23" s="53">
        <v>0</v>
      </c>
      <c r="J23" s="53"/>
      <c r="K23" s="53"/>
      <c r="L23" s="53"/>
      <c r="M23" s="53">
        <v>0</v>
      </c>
      <c r="N23" s="53">
        <v>0</v>
      </c>
      <c r="O23" s="53"/>
      <c r="P23" s="53"/>
      <c r="Q23" s="53">
        <v>261.45999999999998</v>
      </c>
      <c r="R23" s="53">
        <v>261.45999999999998</v>
      </c>
      <c r="S23" s="53">
        <v>0</v>
      </c>
      <c r="T23" s="54"/>
      <c r="U23" s="53"/>
      <c r="V23" s="53">
        <v>284.79000000000002</v>
      </c>
      <c r="W23" s="53">
        <v>284.79000000000002</v>
      </c>
      <c r="X23" s="53">
        <v>0</v>
      </c>
      <c r="Y23" s="54"/>
    </row>
    <row r="24" spans="1:25" x14ac:dyDescent="0.2">
      <c r="A24" s="50" t="s">
        <v>127</v>
      </c>
      <c r="B24" s="51" t="s">
        <v>65</v>
      </c>
      <c r="C24" s="51" t="s">
        <v>117</v>
      </c>
      <c r="D24" s="52">
        <v>21309</v>
      </c>
      <c r="E24" s="51" t="s">
        <v>96</v>
      </c>
      <c r="F24" s="53">
        <v>1517.4</v>
      </c>
      <c r="G24" s="53">
        <v>1517.4</v>
      </c>
      <c r="H24" s="53">
        <v>1517.4</v>
      </c>
      <c r="I24" s="53">
        <v>0</v>
      </c>
      <c r="J24" s="53">
        <v>0</v>
      </c>
      <c r="K24" s="53">
        <v>2288.59</v>
      </c>
      <c r="L24" s="53">
        <v>2288.59</v>
      </c>
      <c r="M24" s="53">
        <v>2288.59</v>
      </c>
      <c r="N24" s="53">
        <v>0</v>
      </c>
      <c r="O24" s="53">
        <v>0</v>
      </c>
      <c r="P24" s="53">
        <v>1267.04</v>
      </c>
      <c r="Q24" s="53">
        <v>633.52</v>
      </c>
      <c r="R24" s="53">
        <v>633.52</v>
      </c>
      <c r="S24" s="53">
        <v>0</v>
      </c>
      <c r="T24" s="54">
        <v>0</v>
      </c>
      <c r="U24" s="53">
        <v>1380.06</v>
      </c>
      <c r="V24" s="53">
        <v>690.03</v>
      </c>
      <c r="W24" s="53">
        <v>690.03</v>
      </c>
      <c r="X24" s="53">
        <v>0</v>
      </c>
      <c r="Y24" s="54">
        <v>0</v>
      </c>
    </row>
    <row r="25" spans="1:25" x14ac:dyDescent="0.2">
      <c r="A25" s="50" t="s">
        <v>128</v>
      </c>
      <c r="B25" s="51" t="s">
        <v>107</v>
      </c>
      <c r="C25" s="51"/>
      <c r="D25" s="52">
        <v>23570</v>
      </c>
      <c r="E25" s="51" t="s">
        <v>96</v>
      </c>
      <c r="F25" s="53"/>
      <c r="G25" s="53"/>
      <c r="H25" s="53">
        <v>0</v>
      </c>
      <c r="I25" s="53">
        <v>0</v>
      </c>
      <c r="J25" s="53"/>
      <c r="K25" s="53"/>
      <c r="L25" s="53"/>
      <c r="M25" s="53">
        <v>0</v>
      </c>
      <c r="N25" s="53">
        <v>0</v>
      </c>
      <c r="O25" s="53"/>
      <c r="P25" s="53"/>
      <c r="Q25" s="53">
        <v>633.52</v>
      </c>
      <c r="R25" s="53">
        <v>633.52</v>
      </c>
      <c r="S25" s="53">
        <v>0</v>
      </c>
      <c r="T25" s="54"/>
      <c r="U25" s="53"/>
      <c r="V25" s="53">
        <v>690.03</v>
      </c>
      <c r="W25" s="53">
        <v>690.03</v>
      </c>
      <c r="X25" s="53">
        <v>0</v>
      </c>
      <c r="Y25" s="54"/>
    </row>
    <row r="26" spans="1:25" x14ac:dyDescent="0.2">
      <c r="A26" s="50" t="s">
        <v>129</v>
      </c>
      <c r="B26" s="51" t="s">
        <v>65</v>
      </c>
      <c r="C26" s="51" t="s">
        <v>65</v>
      </c>
      <c r="D26" s="52">
        <v>24147</v>
      </c>
      <c r="E26" s="51" t="s">
        <v>113</v>
      </c>
      <c r="F26" s="53">
        <v>688.01</v>
      </c>
      <c r="G26" s="53">
        <v>688.01</v>
      </c>
      <c r="H26" s="53">
        <v>688.01</v>
      </c>
      <c r="I26" s="53">
        <v>0</v>
      </c>
      <c r="J26" s="53">
        <v>0</v>
      </c>
      <c r="K26" s="53">
        <v>1023.31</v>
      </c>
      <c r="L26" s="53">
        <v>1023.31</v>
      </c>
      <c r="M26" s="53">
        <v>1023.31</v>
      </c>
      <c r="N26" s="53">
        <v>0</v>
      </c>
      <c r="O26" s="53">
        <v>0</v>
      </c>
      <c r="P26" s="53">
        <v>633.52</v>
      </c>
      <c r="Q26" s="53">
        <v>633.52</v>
      </c>
      <c r="R26" s="53">
        <v>633.52</v>
      </c>
      <c r="S26" s="53">
        <v>0</v>
      </c>
      <c r="T26" s="54">
        <v>0</v>
      </c>
      <c r="U26" s="53">
        <v>690.03</v>
      </c>
      <c r="V26" s="53">
        <v>690.03</v>
      </c>
      <c r="W26" s="53">
        <v>690.03</v>
      </c>
      <c r="X26" s="53">
        <v>0</v>
      </c>
      <c r="Y26" s="54">
        <v>0</v>
      </c>
    </row>
    <row r="27" spans="1:25" x14ac:dyDescent="0.2">
      <c r="A27" s="50" t="s">
        <v>130</v>
      </c>
      <c r="B27" s="51" t="s">
        <v>65</v>
      </c>
      <c r="C27" s="51" t="s">
        <v>65</v>
      </c>
      <c r="D27" s="52">
        <v>25210</v>
      </c>
      <c r="E27" s="51" t="s">
        <v>131</v>
      </c>
      <c r="F27" s="53">
        <v>688.01</v>
      </c>
      <c r="G27" s="53">
        <v>688.01</v>
      </c>
      <c r="H27" s="53">
        <v>688.01</v>
      </c>
      <c r="I27" s="53">
        <v>0</v>
      </c>
      <c r="J27" s="53">
        <v>0</v>
      </c>
      <c r="K27" s="53">
        <v>1023.31</v>
      </c>
      <c r="L27" s="53">
        <v>1023.31</v>
      </c>
      <c r="M27" s="53">
        <v>1023.31</v>
      </c>
      <c r="N27" s="53">
        <v>0</v>
      </c>
      <c r="O27" s="53">
        <v>0</v>
      </c>
      <c r="P27" s="53">
        <v>595.16999999999996</v>
      </c>
      <c r="Q27" s="53">
        <v>595.16999999999996</v>
      </c>
      <c r="R27" s="53">
        <v>595.16999999999996</v>
      </c>
      <c r="S27" s="53">
        <v>0</v>
      </c>
      <c r="T27" s="54">
        <v>0</v>
      </c>
      <c r="U27" s="53">
        <v>648.27</v>
      </c>
      <c r="V27" s="53">
        <v>648.27</v>
      </c>
      <c r="W27" s="53">
        <v>648.27</v>
      </c>
      <c r="X27" s="53">
        <v>0</v>
      </c>
      <c r="Y27" s="54">
        <v>0</v>
      </c>
    </row>
    <row r="28" spans="1:25" x14ac:dyDescent="0.2">
      <c r="A28" s="50" t="s">
        <v>132</v>
      </c>
      <c r="B28" s="51" t="s">
        <v>65</v>
      </c>
      <c r="C28" s="51" t="s">
        <v>65</v>
      </c>
      <c r="D28" s="52">
        <v>35103</v>
      </c>
      <c r="E28" s="51" t="s">
        <v>113</v>
      </c>
      <c r="F28" s="53">
        <v>688.01</v>
      </c>
      <c r="G28" s="53">
        <v>688.01</v>
      </c>
      <c r="H28" s="53">
        <v>688.01</v>
      </c>
      <c r="I28" s="53">
        <v>0</v>
      </c>
      <c r="J28" s="53">
        <v>0</v>
      </c>
      <c r="K28" s="53">
        <v>1023.31</v>
      </c>
      <c r="L28" s="53">
        <v>1023.31</v>
      </c>
      <c r="M28" s="53">
        <v>1023.31</v>
      </c>
      <c r="N28" s="53">
        <v>0</v>
      </c>
      <c r="O28" s="53">
        <v>0</v>
      </c>
      <c r="P28" s="53">
        <v>357.6</v>
      </c>
      <c r="Q28" s="53">
        <v>357.6</v>
      </c>
      <c r="R28" s="53">
        <v>357.6</v>
      </c>
      <c r="S28" s="53">
        <v>0</v>
      </c>
      <c r="T28" s="54">
        <v>0</v>
      </c>
      <c r="U28" s="53">
        <v>389.51</v>
      </c>
      <c r="V28" s="53">
        <v>389.51</v>
      </c>
      <c r="W28" s="53">
        <v>389.51</v>
      </c>
      <c r="X28" s="53">
        <v>0</v>
      </c>
      <c r="Y28" s="54">
        <v>0</v>
      </c>
    </row>
    <row r="29" spans="1:25" x14ac:dyDescent="0.2">
      <c r="A29" s="50" t="s">
        <v>133</v>
      </c>
      <c r="B29" s="51" t="s">
        <v>65</v>
      </c>
      <c r="C29" s="51" t="s">
        <v>117</v>
      </c>
      <c r="D29" s="52">
        <v>27399</v>
      </c>
      <c r="E29" s="51" t="s">
        <v>113</v>
      </c>
      <c r="F29" s="53">
        <v>1517.4</v>
      </c>
      <c r="G29" s="53">
        <v>1517.4</v>
      </c>
      <c r="H29" s="53">
        <v>1517.4</v>
      </c>
      <c r="I29" s="53">
        <v>0</v>
      </c>
      <c r="J29" s="53">
        <v>0</v>
      </c>
      <c r="K29" s="53">
        <v>2288.59</v>
      </c>
      <c r="L29" s="53">
        <v>2288.59</v>
      </c>
      <c r="M29" s="53">
        <v>2288.59</v>
      </c>
      <c r="N29" s="53">
        <v>0</v>
      </c>
      <c r="O29" s="53">
        <v>0</v>
      </c>
      <c r="P29" s="53">
        <v>917.76</v>
      </c>
      <c r="Q29" s="53">
        <v>497.92</v>
      </c>
      <c r="R29" s="53">
        <v>497.92</v>
      </c>
      <c r="S29" s="53">
        <v>0</v>
      </c>
      <c r="T29" s="54">
        <v>0</v>
      </c>
      <c r="U29" s="53">
        <v>999.64</v>
      </c>
      <c r="V29" s="53">
        <v>542.34</v>
      </c>
      <c r="W29" s="53">
        <v>542.34</v>
      </c>
      <c r="X29" s="53">
        <v>0</v>
      </c>
      <c r="Y29" s="54">
        <v>0</v>
      </c>
    </row>
    <row r="30" spans="1:25" x14ac:dyDescent="0.2">
      <c r="A30" s="50" t="s">
        <v>134</v>
      </c>
      <c r="B30" s="51" t="s">
        <v>107</v>
      </c>
      <c r="C30" s="51"/>
      <c r="D30" s="52">
        <v>29502</v>
      </c>
      <c r="E30" s="51" t="s">
        <v>113</v>
      </c>
      <c r="F30" s="53"/>
      <c r="G30" s="53"/>
      <c r="H30" s="53">
        <v>0</v>
      </c>
      <c r="I30" s="53">
        <v>0</v>
      </c>
      <c r="J30" s="53"/>
      <c r="K30" s="53"/>
      <c r="L30" s="53"/>
      <c r="M30" s="53">
        <v>0</v>
      </c>
      <c r="N30" s="53">
        <v>0</v>
      </c>
      <c r="O30" s="53"/>
      <c r="P30" s="53"/>
      <c r="Q30" s="53">
        <v>419.84</v>
      </c>
      <c r="R30" s="53">
        <v>419.84</v>
      </c>
      <c r="S30" s="53">
        <v>0</v>
      </c>
      <c r="T30" s="54"/>
      <c r="U30" s="53"/>
      <c r="V30" s="53">
        <v>457.3</v>
      </c>
      <c r="W30" s="53">
        <v>457.3</v>
      </c>
      <c r="X30" s="53">
        <v>0</v>
      </c>
      <c r="Y30" s="54"/>
    </row>
    <row r="31" spans="1:25" x14ac:dyDescent="0.2">
      <c r="A31" s="50" t="s">
        <v>135</v>
      </c>
      <c r="B31" s="51" t="s">
        <v>65</v>
      </c>
      <c r="C31" s="51" t="s">
        <v>104</v>
      </c>
      <c r="D31" s="52">
        <v>24592</v>
      </c>
      <c r="E31" s="51" t="s">
        <v>111</v>
      </c>
      <c r="F31" s="53">
        <v>2155.42</v>
      </c>
      <c r="G31" s="53">
        <v>2155.42</v>
      </c>
      <c r="H31" s="53">
        <v>2155.42</v>
      </c>
      <c r="I31" s="53">
        <v>0</v>
      </c>
      <c r="J31" s="53">
        <v>0</v>
      </c>
      <c r="K31" s="53">
        <v>3261.9</v>
      </c>
      <c r="L31" s="53">
        <v>3261.9</v>
      </c>
      <c r="M31" s="53">
        <v>3261.9</v>
      </c>
      <c r="N31" s="53">
        <v>0</v>
      </c>
      <c r="O31" s="53">
        <v>0</v>
      </c>
      <c r="P31" s="53">
        <v>1614.36</v>
      </c>
      <c r="Q31" s="53">
        <v>633.52</v>
      </c>
      <c r="R31" s="53">
        <v>633.52</v>
      </c>
      <c r="S31" s="53">
        <v>0</v>
      </c>
      <c r="T31" s="54">
        <v>0</v>
      </c>
      <c r="U31" s="53">
        <v>1758.37</v>
      </c>
      <c r="V31" s="53">
        <v>690.03</v>
      </c>
      <c r="W31" s="53">
        <v>690.03</v>
      </c>
      <c r="X31" s="53">
        <v>0</v>
      </c>
      <c r="Y31" s="54">
        <v>0</v>
      </c>
    </row>
    <row r="32" spans="1:25" x14ac:dyDescent="0.2">
      <c r="A32" s="50" t="s">
        <v>136</v>
      </c>
      <c r="B32" s="51" t="s">
        <v>107</v>
      </c>
      <c r="C32" s="51"/>
      <c r="D32" s="52">
        <v>22616</v>
      </c>
      <c r="E32" s="51" t="s">
        <v>111</v>
      </c>
      <c r="F32" s="53"/>
      <c r="G32" s="53"/>
      <c r="H32" s="53">
        <v>0</v>
      </c>
      <c r="I32" s="53">
        <v>0</v>
      </c>
      <c r="J32" s="53"/>
      <c r="K32" s="53"/>
      <c r="L32" s="53"/>
      <c r="M32" s="53">
        <v>0</v>
      </c>
      <c r="N32" s="53">
        <v>0</v>
      </c>
      <c r="O32" s="53"/>
      <c r="P32" s="53"/>
      <c r="Q32" s="53">
        <v>633.52</v>
      </c>
      <c r="R32" s="53">
        <v>633.52</v>
      </c>
      <c r="S32" s="53">
        <v>0</v>
      </c>
      <c r="T32" s="54"/>
      <c r="U32" s="53"/>
      <c r="V32" s="53">
        <v>690.03</v>
      </c>
      <c r="W32" s="53">
        <v>690.03</v>
      </c>
      <c r="X32" s="53">
        <v>0</v>
      </c>
      <c r="Y32" s="54"/>
    </row>
    <row r="33" spans="1:25" x14ac:dyDescent="0.2">
      <c r="A33" s="50" t="s">
        <v>137</v>
      </c>
      <c r="B33" s="51" t="s">
        <v>109</v>
      </c>
      <c r="C33" s="51"/>
      <c r="D33" s="52">
        <v>37842</v>
      </c>
      <c r="E33" s="51" t="s">
        <v>111</v>
      </c>
      <c r="F33" s="53"/>
      <c r="G33" s="53"/>
      <c r="H33" s="53">
        <v>0</v>
      </c>
      <c r="I33" s="53">
        <v>0</v>
      </c>
      <c r="J33" s="53"/>
      <c r="K33" s="53"/>
      <c r="L33" s="53"/>
      <c r="M33" s="53">
        <v>0</v>
      </c>
      <c r="N33" s="53">
        <v>0</v>
      </c>
      <c r="O33" s="53"/>
      <c r="P33" s="53"/>
      <c r="Q33" s="53">
        <v>347.32</v>
      </c>
      <c r="R33" s="53">
        <v>347.32</v>
      </c>
      <c r="S33" s="53">
        <v>0</v>
      </c>
      <c r="T33" s="54"/>
      <c r="U33" s="53"/>
      <c r="V33" s="53">
        <v>378.31</v>
      </c>
      <c r="W33" s="53">
        <v>378.31</v>
      </c>
      <c r="X33" s="53">
        <v>0</v>
      </c>
      <c r="Y33" s="54"/>
    </row>
    <row r="34" spans="1:25" x14ac:dyDescent="0.2">
      <c r="A34" s="50" t="s">
        <v>138</v>
      </c>
      <c r="B34" s="51" t="s">
        <v>65</v>
      </c>
      <c r="C34" s="51" t="s">
        <v>65</v>
      </c>
      <c r="D34" s="52">
        <v>35401</v>
      </c>
      <c r="E34" s="51" t="s">
        <v>113</v>
      </c>
      <c r="F34" s="53">
        <v>688.01</v>
      </c>
      <c r="G34" s="53">
        <v>688.01</v>
      </c>
      <c r="H34" s="53">
        <v>688.01</v>
      </c>
      <c r="I34" s="53">
        <v>0</v>
      </c>
      <c r="J34" s="53">
        <v>0</v>
      </c>
      <c r="K34" s="53">
        <v>1023.31</v>
      </c>
      <c r="L34" s="53">
        <v>1023.31</v>
      </c>
      <c r="M34" s="53">
        <v>1023.31</v>
      </c>
      <c r="N34" s="53">
        <v>0</v>
      </c>
      <c r="O34" s="53">
        <v>0</v>
      </c>
      <c r="P34" s="53">
        <v>354.27</v>
      </c>
      <c r="Q34" s="53">
        <v>354.27</v>
      </c>
      <c r="R34" s="53">
        <v>354.27</v>
      </c>
      <c r="S34" s="53">
        <v>0</v>
      </c>
      <c r="T34" s="54">
        <v>0</v>
      </c>
      <c r="U34" s="53">
        <v>385.87</v>
      </c>
      <c r="V34" s="53">
        <v>385.87</v>
      </c>
      <c r="W34" s="53">
        <v>385.87</v>
      </c>
      <c r="X34" s="53">
        <v>0</v>
      </c>
      <c r="Y34" s="54">
        <v>0</v>
      </c>
    </row>
    <row r="35" spans="1:25" x14ac:dyDescent="0.2">
      <c r="A35" s="50" t="s">
        <v>139</v>
      </c>
      <c r="B35" s="51" t="s">
        <v>65</v>
      </c>
      <c r="C35" s="51" t="s">
        <v>65</v>
      </c>
      <c r="D35" s="52">
        <v>35453</v>
      </c>
      <c r="E35" s="51" t="s">
        <v>113</v>
      </c>
      <c r="F35" s="53">
        <v>688.01</v>
      </c>
      <c r="G35" s="53">
        <v>688.01</v>
      </c>
      <c r="H35" s="53">
        <v>688.01</v>
      </c>
      <c r="I35" s="53">
        <v>0</v>
      </c>
      <c r="J35" s="53">
        <v>0</v>
      </c>
      <c r="K35" s="53">
        <v>1023.31</v>
      </c>
      <c r="L35" s="53">
        <v>1023.31</v>
      </c>
      <c r="M35" s="53">
        <v>1023.31</v>
      </c>
      <c r="N35" s="53">
        <v>0</v>
      </c>
      <c r="O35" s="53">
        <v>0</v>
      </c>
      <c r="P35" s="53">
        <v>354.27</v>
      </c>
      <c r="Q35" s="53">
        <v>354.27</v>
      </c>
      <c r="R35" s="53">
        <v>354.27</v>
      </c>
      <c r="S35" s="53">
        <v>0</v>
      </c>
      <c r="T35" s="54">
        <v>0</v>
      </c>
      <c r="U35" s="53">
        <v>385.87</v>
      </c>
      <c r="V35" s="53">
        <v>385.87</v>
      </c>
      <c r="W35" s="53">
        <v>385.87</v>
      </c>
      <c r="X35" s="53">
        <v>0</v>
      </c>
      <c r="Y35" s="54">
        <v>0</v>
      </c>
    </row>
    <row r="36" spans="1:25" x14ac:dyDescent="0.2">
      <c r="A36" s="50" t="s">
        <v>140</v>
      </c>
      <c r="B36" s="51" t="s">
        <v>65</v>
      </c>
      <c r="C36" s="51" t="s">
        <v>65</v>
      </c>
      <c r="D36" s="52">
        <v>34864</v>
      </c>
      <c r="E36" s="51" t="s">
        <v>118</v>
      </c>
      <c r="F36" s="53">
        <v>688.01</v>
      </c>
      <c r="G36" s="53">
        <v>688.01</v>
      </c>
      <c r="H36" s="53">
        <v>688.01</v>
      </c>
      <c r="I36" s="53">
        <v>0</v>
      </c>
      <c r="J36" s="53">
        <v>0</v>
      </c>
      <c r="K36" s="53">
        <v>1023.31</v>
      </c>
      <c r="L36" s="53">
        <v>1023.31</v>
      </c>
      <c r="M36" s="53">
        <v>1023.31</v>
      </c>
      <c r="N36" s="53">
        <v>0</v>
      </c>
      <c r="O36" s="53">
        <v>0</v>
      </c>
      <c r="P36" s="53">
        <v>357.6</v>
      </c>
      <c r="Q36" s="53">
        <v>357.6</v>
      </c>
      <c r="R36" s="53">
        <v>357.6</v>
      </c>
      <c r="S36" s="53">
        <v>0</v>
      </c>
      <c r="T36" s="54">
        <v>0</v>
      </c>
      <c r="U36" s="53">
        <v>389.51</v>
      </c>
      <c r="V36" s="53">
        <v>389.51</v>
      </c>
      <c r="W36" s="53">
        <v>389.51</v>
      </c>
      <c r="X36" s="53">
        <v>0</v>
      </c>
      <c r="Y36" s="54">
        <v>0</v>
      </c>
    </row>
    <row r="37" spans="1:25" x14ac:dyDescent="0.2">
      <c r="A37" s="50" t="s">
        <v>141</v>
      </c>
      <c r="B37" s="51" t="s">
        <v>65</v>
      </c>
      <c r="C37" s="51" t="s">
        <v>104</v>
      </c>
      <c r="D37" s="52">
        <v>26666</v>
      </c>
      <c r="E37" s="51" t="s">
        <v>118</v>
      </c>
      <c r="F37" s="53">
        <v>2155.42</v>
      </c>
      <c r="G37" s="53">
        <v>2155.42</v>
      </c>
      <c r="H37" s="53">
        <v>2155.42</v>
      </c>
      <c r="I37" s="53">
        <v>0</v>
      </c>
      <c r="J37" s="53">
        <v>0</v>
      </c>
      <c r="K37" s="53">
        <v>3261.9</v>
      </c>
      <c r="L37" s="53">
        <v>3261.9</v>
      </c>
      <c r="M37" s="53">
        <v>3261.9</v>
      </c>
      <c r="N37" s="53">
        <v>0</v>
      </c>
      <c r="O37" s="53">
        <v>0</v>
      </c>
      <c r="P37" s="53">
        <v>1587.96</v>
      </c>
      <c r="Q37" s="53">
        <v>528.49</v>
      </c>
      <c r="R37" s="53">
        <v>528.49</v>
      </c>
      <c r="S37" s="53">
        <v>0</v>
      </c>
      <c r="T37" s="54">
        <v>0</v>
      </c>
      <c r="U37" s="53">
        <v>1729.63</v>
      </c>
      <c r="V37" s="53">
        <v>575.63</v>
      </c>
      <c r="W37" s="53">
        <v>575.63</v>
      </c>
      <c r="X37" s="53">
        <v>0</v>
      </c>
      <c r="Y37" s="54">
        <v>0</v>
      </c>
    </row>
    <row r="38" spans="1:25" x14ac:dyDescent="0.2">
      <c r="A38" s="50" t="s">
        <v>142</v>
      </c>
      <c r="B38" s="51" t="s">
        <v>107</v>
      </c>
      <c r="C38" s="51"/>
      <c r="D38" s="52">
        <v>28717</v>
      </c>
      <c r="E38" s="51" t="s">
        <v>118</v>
      </c>
      <c r="F38" s="53"/>
      <c r="G38" s="53"/>
      <c r="H38" s="53">
        <v>0</v>
      </c>
      <c r="I38" s="53">
        <v>0</v>
      </c>
      <c r="J38" s="53"/>
      <c r="K38" s="53"/>
      <c r="L38" s="53"/>
      <c r="M38" s="53">
        <v>0</v>
      </c>
      <c r="N38" s="53">
        <v>0</v>
      </c>
      <c r="O38" s="53"/>
      <c r="P38" s="53"/>
      <c r="Q38" s="53">
        <v>442.63</v>
      </c>
      <c r="R38" s="53">
        <v>442.63</v>
      </c>
      <c r="S38" s="53">
        <v>0</v>
      </c>
      <c r="T38" s="54"/>
      <c r="U38" s="53"/>
      <c r="V38" s="53">
        <v>482.12</v>
      </c>
      <c r="W38" s="53">
        <v>482.12</v>
      </c>
      <c r="X38" s="53">
        <v>0</v>
      </c>
      <c r="Y38" s="54"/>
    </row>
    <row r="39" spans="1:25" x14ac:dyDescent="0.2">
      <c r="A39" s="50" t="s">
        <v>143</v>
      </c>
      <c r="B39" s="51" t="s">
        <v>109</v>
      </c>
      <c r="C39" s="51"/>
      <c r="D39" s="52">
        <v>37384</v>
      </c>
      <c r="E39" s="51" t="s">
        <v>118</v>
      </c>
      <c r="F39" s="53"/>
      <c r="G39" s="53"/>
      <c r="H39" s="53">
        <v>0</v>
      </c>
      <c r="I39" s="53">
        <v>0</v>
      </c>
      <c r="J39" s="53"/>
      <c r="K39" s="53"/>
      <c r="L39" s="53"/>
      <c r="M39" s="53">
        <v>0</v>
      </c>
      <c r="N39" s="53">
        <v>0</v>
      </c>
      <c r="O39" s="53"/>
      <c r="P39" s="53"/>
      <c r="Q39" s="53">
        <v>347.32</v>
      </c>
      <c r="R39" s="53">
        <v>347.32</v>
      </c>
      <c r="S39" s="53">
        <v>0</v>
      </c>
      <c r="T39" s="54"/>
      <c r="U39" s="53"/>
      <c r="V39" s="53">
        <v>378.31</v>
      </c>
      <c r="W39" s="53">
        <v>378.31</v>
      </c>
      <c r="X39" s="53">
        <v>0</v>
      </c>
      <c r="Y39" s="54"/>
    </row>
    <row r="40" spans="1:25" x14ac:dyDescent="0.2">
      <c r="A40" s="50" t="s">
        <v>144</v>
      </c>
      <c r="B40" s="51" t="s">
        <v>109</v>
      </c>
      <c r="C40" s="51"/>
      <c r="D40" s="52">
        <v>38688</v>
      </c>
      <c r="E40" s="51" t="s">
        <v>118</v>
      </c>
      <c r="F40" s="53"/>
      <c r="G40" s="53"/>
      <c r="H40" s="53">
        <v>0</v>
      </c>
      <c r="I40" s="53">
        <v>0</v>
      </c>
      <c r="J40" s="53"/>
      <c r="K40" s="53"/>
      <c r="L40" s="53"/>
      <c r="M40" s="53">
        <v>0</v>
      </c>
      <c r="N40" s="53">
        <v>0</v>
      </c>
      <c r="O40" s="53"/>
      <c r="P40" s="53"/>
      <c r="Q40" s="53">
        <v>269.52</v>
      </c>
      <c r="R40" s="53">
        <v>269.52</v>
      </c>
      <c r="S40" s="53">
        <v>0</v>
      </c>
      <c r="T40" s="54"/>
      <c r="U40" s="53"/>
      <c r="V40" s="53">
        <v>293.57</v>
      </c>
      <c r="W40" s="53">
        <v>293.57</v>
      </c>
      <c r="X40" s="53">
        <v>0</v>
      </c>
      <c r="Y40" s="54"/>
    </row>
    <row r="41" spans="1:25" x14ac:dyDescent="0.2">
      <c r="A41" s="50" t="s">
        <v>145</v>
      </c>
      <c r="B41" s="51" t="s">
        <v>65</v>
      </c>
      <c r="C41" s="51" t="s">
        <v>65</v>
      </c>
      <c r="D41" s="52">
        <v>36146</v>
      </c>
      <c r="E41" s="51" t="s">
        <v>111</v>
      </c>
      <c r="F41" s="53">
        <v>688.01</v>
      </c>
      <c r="G41" s="53">
        <v>688.01</v>
      </c>
      <c r="H41" s="53">
        <v>688.01</v>
      </c>
      <c r="I41" s="53">
        <v>0</v>
      </c>
      <c r="J41" s="53">
        <v>0</v>
      </c>
      <c r="K41" s="53">
        <v>1023.31</v>
      </c>
      <c r="L41" s="53">
        <v>1023.31</v>
      </c>
      <c r="M41" s="53">
        <v>1023.31</v>
      </c>
      <c r="N41" s="53">
        <v>0</v>
      </c>
      <c r="O41" s="53">
        <v>0</v>
      </c>
      <c r="P41" s="53">
        <v>347.32</v>
      </c>
      <c r="Q41" s="53">
        <v>347.32</v>
      </c>
      <c r="R41" s="53">
        <v>347.32</v>
      </c>
      <c r="S41" s="53">
        <v>0</v>
      </c>
      <c r="T41" s="54">
        <v>0</v>
      </c>
      <c r="U41" s="53">
        <v>378.31</v>
      </c>
      <c r="V41" s="53">
        <v>378.31</v>
      </c>
      <c r="W41" s="53">
        <v>378.31</v>
      </c>
      <c r="X41" s="53">
        <v>0</v>
      </c>
      <c r="Y41" s="54">
        <v>0</v>
      </c>
    </row>
    <row r="42" spans="1:25" x14ac:dyDescent="0.2">
      <c r="A42" s="50" t="s">
        <v>146</v>
      </c>
      <c r="B42" s="51" t="s">
        <v>65</v>
      </c>
      <c r="C42" s="51" t="s">
        <v>65</v>
      </c>
      <c r="D42" s="52">
        <v>35249</v>
      </c>
      <c r="E42" s="51" t="s">
        <v>147</v>
      </c>
      <c r="F42" s="53">
        <v>688.01</v>
      </c>
      <c r="G42" s="53">
        <v>688.01</v>
      </c>
      <c r="H42" s="53">
        <v>688.01</v>
      </c>
      <c r="I42" s="53">
        <v>0</v>
      </c>
      <c r="J42" s="53">
        <v>0</v>
      </c>
      <c r="K42" s="53">
        <v>1023.31</v>
      </c>
      <c r="L42" s="53">
        <v>1023.31</v>
      </c>
      <c r="M42" s="53">
        <v>1023.31</v>
      </c>
      <c r="N42" s="53">
        <v>0</v>
      </c>
      <c r="O42" s="53">
        <v>0</v>
      </c>
      <c r="P42" s="53">
        <v>354.27</v>
      </c>
      <c r="Q42" s="53">
        <v>354.27</v>
      </c>
      <c r="R42" s="53">
        <v>354.27</v>
      </c>
      <c r="S42" s="53">
        <v>0</v>
      </c>
      <c r="T42" s="54">
        <v>0</v>
      </c>
      <c r="U42" s="53">
        <v>385.87</v>
      </c>
      <c r="V42" s="53">
        <v>385.87</v>
      </c>
      <c r="W42" s="53">
        <v>385.87</v>
      </c>
      <c r="X42" s="53">
        <v>0</v>
      </c>
      <c r="Y42" s="54">
        <v>0</v>
      </c>
    </row>
    <row r="43" spans="1:25" ht="16.149999999999999" customHeight="1" x14ac:dyDescent="0.2">
      <c r="A43" s="226" t="s">
        <v>81</v>
      </c>
      <c r="B43" s="227"/>
      <c r="C43" s="227"/>
      <c r="D43" s="227"/>
      <c r="E43" s="227"/>
      <c r="F43" s="212" t="s">
        <v>1</v>
      </c>
      <c r="G43" s="212"/>
      <c r="H43" s="212"/>
      <c r="I43" s="212"/>
      <c r="J43" s="213"/>
      <c r="K43" s="211" t="s">
        <v>2</v>
      </c>
      <c r="L43" s="212"/>
      <c r="M43" s="212"/>
      <c r="N43" s="212"/>
      <c r="O43" s="213"/>
      <c r="P43" s="211" t="s">
        <v>51</v>
      </c>
      <c r="Q43" s="212"/>
      <c r="R43" s="212"/>
      <c r="S43" s="212"/>
      <c r="T43" s="213"/>
      <c r="U43" s="211" t="s">
        <v>36</v>
      </c>
      <c r="V43" s="212"/>
      <c r="W43" s="212"/>
      <c r="X43" s="212"/>
      <c r="Y43" s="213"/>
    </row>
    <row r="44" spans="1:25" ht="13.9" customHeight="1" x14ac:dyDescent="0.2">
      <c r="A44" s="228" t="s">
        <v>82</v>
      </c>
      <c r="B44" s="229"/>
      <c r="C44" s="229"/>
      <c r="D44" s="229"/>
      <c r="E44" s="229"/>
      <c r="F44" s="214">
        <v>10644.31</v>
      </c>
      <c r="G44" s="215"/>
      <c r="H44" s="215"/>
      <c r="I44" s="215"/>
      <c r="J44" s="220"/>
      <c r="K44" s="214">
        <v>15975.56</v>
      </c>
      <c r="L44" s="215"/>
      <c r="M44" s="215"/>
      <c r="N44" s="215"/>
      <c r="O44" s="220"/>
      <c r="P44" s="214">
        <v>6840.58</v>
      </c>
      <c r="Q44" s="215"/>
      <c r="R44" s="215"/>
      <c r="S44" s="215"/>
      <c r="T44" s="216"/>
      <c r="U44" s="214">
        <v>7450.85</v>
      </c>
      <c r="V44" s="215"/>
      <c r="W44" s="215"/>
      <c r="X44" s="215"/>
      <c r="Y44" s="216"/>
    </row>
    <row r="45" spans="1:25" ht="13.9" customHeight="1" x14ac:dyDescent="0.2">
      <c r="A45" s="230" t="s">
        <v>83</v>
      </c>
      <c r="B45" s="231"/>
      <c r="C45" s="231"/>
      <c r="D45" s="231"/>
      <c r="E45" s="231"/>
      <c r="F45" s="208">
        <f>F44*12</f>
        <v>127731.72</v>
      </c>
      <c r="G45" s="209"/>
      <c r="H45" s="209"/>
      <c r="I45" s="209"/>
      <c r="J45" s="221"/>
      <c r="K45" s="208">
        <f>K44*12</f>
        <v>191706.72</v>
      </c>
      <c r="L45" s="209"/>
      <c r="M45" s="209"/>
      <c r="N45" s="209"/>
      <c r="O45" s="221"/>
      <c r="P45" s="208">
        <f>P44*12</f>
        <v>82086.959999999992</v>
      </c>
      <c r="Q45" s="209"/>
      <c r="R45" s="209"/>
      <c r="S45" s="209"/>
      <c r="T45" s="210"/>
      <c r="U45" s="208">
        <f>U44*12</f>
        <v>89410.200000000012</v>
      </c>
      <c r="V45" s="209"/>
      <c r="W45" s="209"/>
      <c r="X45" s="209"/>
      <c r="Y45" s="210"/>
    </row>
    <row r="46" spans="1:25" ht="13.9" customHeight="1" x14ac:dyDescent="0.2">
      <c r="A46" s="230" t="s">
        <v>7</v>
      </c>
      <c r="B46" s="231"/>
      <c r="C46" s="231"/>
      <c r="D46" s="231"/>
      <c r="E46" s="231"/>
      <c r="F46" s="222"/>
      <c r="G46" s="223"/>
      <c r="H46" s="223"/>
      <c r="I46" s="223"/>
      <c r="J46" s="224"/>
      <c r="K46" s="217">
        <f>(K45-F45)/F45</f>
        <v>0.50085444711775584</v>
      </c>
      <c r="L46" s="218"/>
      <c r="M46" s="218"/>
      <c r="N46" s="218"/>
      <c r="O46" s="225"/>
      <c r="P46" s="217">
        <f>(P45-F45)/F45</f>
        <v>-0.35734866797378134</v>
      </c>
      <c r="Q46" s="218"/>
      <c r="R46" s="218"/>
      <c r="S46" s="218"/>
      <c r="T46" s="219"/>
      <c r="U46" s="217">
        <f>(U45-F45)/F45</f>
        <v>-0.30001568913344306</v>
      </c>
      <c r="V46" s="218"/>
      <c r="W46" s="218"/>
      <c r="X46" s="218"/>
      <c r="Y46" s="219"/>
    </row>
    <row r="47" spans="1:25" ht="13.9" customHeight="1" x14ac:dyDescent="0.2">
      <c r="A47" s="201" t="s">
        <v>9</v>
      </c>
      <c r="B47" s="202"/>
      <c r="C47" s="202"/>
      <c r="D47" s="202"/>
      <c r="E47" s="202"/>
      <c r="F47" s="222"/>
      <c r="G47" s="223"/>
      <c r="H47" s="223"/>
      <c r="I47" s="223"/>
      <c r="J47" s="224"/>
      <c r="K47" s="208">
        <f>K45-F45</f>
        <v>63975</v>
      </c>
      <c r="L47" s="209"/>
      <c r="M47" s="209"/>
      <c r="N47" s="209"/>
      <c r="O47" s="221"/>
      <c r="P47" s="208">
        <f>P45-F45</f>
        <v>-45644.760000000009</v>
      </c>
      <c r="Q47" s="209"/>
      <c r="R47" s="209"/>
      <c r="S47" s="209"/>
      <c r="T47" s="210"/>
      <c r="U47" s="208">
        <f>U45-F45</f>
        <v>-38321.51999999999</v>
      </c>
      <c r="V47" s="209"/>
      <c r="W47" s="209"/>
      <c r="X47" s="209"/>
      <c r="Y47" s="210"/>
    </row>
    <row r="48" spans="1:25" ht="13.9" customHeight="1" x14ac:dyDescent="0.2">
      <c r="A48" s="201" t="s">
        <v>10</v>
      </c>
      <c r="B48" s="202"/>
      <c r="C48" s="202"/>
      <c r="D48" s="202"/>
      <c r="E48" s="202"/>
      <c r="F48" s="222"/>
      <c r="G48" s="223"/>
      <c r="H48" s="223"/>
      <c r="I48" s="223"/>
      <c r="J48" s="224"/>
      <c r="K48" s="208">
        <f>K44-F44</f>
        <v>5331.25</v>
      </c>
      <c r="L48" s="209"/>
      <c r="M48" s="209"/>
      <c r="N48" s="209"/>
      <c r="O48" s="221"/>
      <c r="P48" s="208">
        <f>P44-F44</f>
        <v>-3803.7299999999996</v>
      </c>
      <c r="Q48" s="209"/>
      <c r="R48" s="209"/>
      <c r="S48" s="209"/>
      <c r="T48" s="210"/>
      <c r="U48" s="208">
        <f>U44-F44</f>
        <v>-3193.4599999999991</v>
      </c>
      <c r="V48" s="209"/>
      <c r="W48" s="209"/>
      <c r="X48" s="209"/>
      <c r="Y48" s="210"/>
    </row>
    <row r="49" spans="1:25" ht="18" customHeight="1" x14ac:dyDescent="0.2">
      <c r="A49" s="201" t="s">
        <v>30</v>
      </c>
      <c r="B49" s="202"/>
      <c r="C49" s="202"/>
      <c r="D49" s="202"/>
      <c r="E49" s="202"/>
      <c r="F49" s="203" t="s">
        <v>29</v>
      </c>
      <c r="G49" s="204"/>
      <c r="H49" s="204"/>
      <c r="I49" s="204"/>
      <c r="J49" s="205"/>
      <c r="K49" s="203" t="s">
        <v>29</v>
      </c>
      <c r="L49" s="204"/>
      <c r="M49" s="204"/>
      <c r="N49" s="204"/>
      <c r="O49" s="205"/>
      <c r="P49" s="203" t="s">
        <v>29</v>
      </c>
      <c r="Q49" s="206"/>
      <c r="R49" s="206"/>
      <c r="S49" s="206"/>
      <c r="T49" s="207"/>
      <c r="U49" s="203" t="s">
        <v>29</v>
      </c>
      <c r="V49" s="206"/>
      <c r="W49" s="206"/>
      <c r="X49" s="206"/>
      <c r="Y49" s="207"/>
    </row>
    <row r="50" spans="1:25" ht="4.9000000000000004" customHeight="1" x14ac:dyDescent="0.2">
      <c r="A50" s="36"/>
      <c r="B50" s="36"/>
      <c r="C50" s="37"/>
      <c r="D50" s="37"/>
      <c r="E50" s="38"/>
      <c r="F50" s="38"/>
      <c r="G50" s="39"/>
      <c r="H50" s="40"/>
      <c r="I50" s="40"/>
      <c r="J50" s="40"/>
      <c r="K50" s="40"/>
      <c r="L50" s="40"/>
      <c r="M50" s="40"/>
      <c r="N50" s="40"/>
      <c r="O50" s="40"/>
      <c r="P50" s="40"/>
      <c r="Q50" s="40"/>
      <c r="R50" s="40"/>
      <c r="S50" s="40"/>
      <c r="T50" s="40"/>
      <c r="U50" s="40"/>
      <c r="V50" s="40"/>
      <c r="W50" s="40"/>
      <c r="X50" s="40"/>
      <c r="Y50" s="40"/>
    </row>
    <row r="51" spans="1:25" ht="55.15" customHeight="1" x14ac:dyDescent="0.2">
      <c r="A51" s="200" t="s">
        <v>31</v>
      </c>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row>
  </sheetData>
  <mergeCells count="48">
    <mergeCell ref="A2:Y2"/>
    <mergeCell ref="A3:Y3"/>
    <mergeCell ref="A4:Y4"/>
    <mergeCell ref="A5:E7"/>
    <mergeCell ref="F8:J8"/>
    <mergeCell ref="K8:O8"/>
    <mergeCell ref="F7:J7"/>
    <mergeCell ref="K7:O7"/>
    <mergeCell ref="A46:E46"/>
    <mergeCell ref="A47:E47"/>
    <mergeCell ref="U8:Y8"/>
    <mergeCell ref="U7:Y7"/>
    <mergeCell ref="P8:T8"/>
    <mergeCell ref="P7:T7"/>
    <mergeCell ref="A48:E48"/>
    <mergeCell ref="F43:J43"/>
    <mergeCell ref="K43:O43"/>
    <mergeCell ref="F44:J44"/>
    <mergeCell ref="F45:J45"/>
    <mergeCell ref="F46:J46"/>
    <mergeCell ref="F47:J47"/>
    <mergeCell ref="F48:J48"/>
    <mergeCell ref="K44:O44"/>
    <mergeCell ref="K45:O45"/>
    <mergeCell ref="K46:O46"/>
    <mergeCell ref="K47:O47"/>
    <mergeCell ref="K48:O48"/>
    <mergeCell ref="A43:E43"/>
    <mergeCell ref="A44:E44"/>
    <mergeCell ref="A45:E45"/>
    <mergeCell ref="U48:Y48"/>
    <mergeCell ref="P43:T43"/>
    <mergeCell ref="P44:T44"/>
    <mergeCell ref="P45:T45"/>
    <mergeCell ref="P46:T46"/>
    <mergeCell ref="P47:T47"/>
    <mergeCell ref="P48:T48"/>
    <mergeCell ref="U43:Y43"/>
    <mergeCell ref="U44:Y44"/>
    <mergeCell ref="U45:Y45"/>
    <mergeCell ref="U46:Y46"/>
    <mergeCell ref="U47:Y47"/>
    <mergeCell ref="A51:Y51"/>
    <mergeCell ref="A49:E49"/>
    <mergeCell ref="F49:J49"/>
    <mergeCell ref="K49:O49"/>
    <mergeCell ref="U49:Y49"/>
    <mergeCell ref="P49:T49"/>
  </mergeCells>
  <hyperlinks>
    <hyperlink ref="F49" r:id="rId1" xr:uid="{00000000-0004-0000-5400-000000000000}"/>
    <hyperlink ref="K7" r:id="rId2" xr:uid="{00000000-0004-0000-5400-000001000000}"/>
    <hyperlink ref="K49" r:id="rId3" xr:uid="{00000000-0004-0000-5400-000002000000}"/>
    <hyperlink ref="P7" r:id="rId4" xr:uid="{00000000-0004-0000-5400-000003000000}"/>
    <hyperlink ref="P49" r:id="rId5" xr:uid="{00000000-0004-0000-5400-000004000000}"/>
    <hyperlink ref="U7" r:id="rId6" xr:uid="{00000000-0004-0000-5400-000005000000}"/>
    <hyperlink ref="U49" r:id="rId7" xr:uid="{00000000-0004-0000-5400-000006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B68D-BE63-45B2-A55B-983971B02E75}">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148</v>
      </c>
      <c r="G6" s="122"/>
      <c r="H6" s="122"/>
      <c r="I6" s="122"/>
      <c r="J6" s="124"/>
      <c r="K6" s="121" t="s">
        <v>149</v>
      </c>
      <c r="L6" s="122"/>
      <c r="M6" s="122"/>
      <c r="N6" s="122"/>
      <c r="O6" s="124"/>
      <c r="P6" s="121" t="s">
        <v>150</v>
      </c>
      <c r="Q6" s="122"/>
      <c r="R6" s="122"/>
      <c r="S6" s="122"/>
      <c r="T6" s="124"/>
      <c r="U6" s="121" t="s">
        <v>151</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47</v>
      </c>
      <c r="G8" s="233"/>
      <c r="H8" s="233"/>
      <c r="I8" s="233"/>
      <c r="J8" s="234"/>
      <c r="K8" s="232" t="s">
        <v>48</v>
      </c>
      <c r="L8" s="233"/>
      <c r="M8" s="233"/>
      <c r="N8" s="233"/>
      <c r="O8" s="234"/>
      <c r="P8" s="232" t="s">
        <v>49</v>
      </c>
      <c r="Q8" s="233"/>
      <c r="R8" s="233"/>
      <c r="S8" s="233"/>
      <c r="T8" s="234"/>
      <c r="U8" s="232" t="s">
        <v>50</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1521.53</v>
      </c>
      <c r="G10" s="53">
        <v>695.07</v>
      </c>
      <c r="H10" s="53">
        <v>695.07</v>
      </c>
      <c r="I10" s="53">
        <v>0</v>
      </c>
      <c r="J10" s="54">
        <v>0</v>
      </c>
      <c r="K10" s="53">
        <v>1588.6</v>
      </c>
      <c r="L10" s="53">
        <v>725.71</v>
      </c>
      <c r="M10" s="53">
        <v>725.71</v>
      </c>
      <c r="N10" s="53">
        <v>0</v>
      </c>
      <c r="O10" s="54">
        <v>0</v>
      </c>
      <c r="P10" s="53">
        <v>1680.02</v>
      </c>
      <c r="Q10" s="53">
        <v>767.47</v>
      </c>
      <c r="R10" s="53">
        <v>767.47</v>
      </c>
      <c r="S10" s="53">
        <v>0</v>
      </c>
      <c r="T10" s="54">
        <v>0</v>
      </c>
      <c r="U10" s="53">
        <v>1730.94</v>
      </c>
      <c r="V10" s="53">
        <v>790.73</v>
      </c>
      <c r="W10" s="53">
        <v>790.73</v>
      </c>
      <c r="X10" s="53">
        <v>0</v>
      </c>
      <c r="Y10" s="54">
        <v>0</v>
      </c>
    </row>
    <row r="11" spans="1:25" x14ac:dyDescent="0.2">
      <c r="A11" s="50" t="s">
        <v>106</v>
      </c>
      <c r="B11" s="51" t="s">
        <v>107</v>
      </c>
      <c r="C11" s="51"/>
      <c r="D11" s="52">
        <v>27837</v>
      </c>
      <c r="E11" s="51" t="s">
        <v>105</v>
      </c>
      <c r="F11" s="53"/>
      <c r="G11" s="53">
        <v>530.75</v>
      </c>
      <c r="H11" s="53">
        <v>530.75</v>
      </c>
      <c r="I11" s="53">
        <v>0</v>
      </c>
      <c r="J11" s="54"/>
      <c r="K11" s="53"/>
      <c r="L11" s="53">
        <v>554.15</v>
      </c>
      <c r="M11" s="53">
        <v>554.15</v>
      </c>
      <c r="N11" s="53">
        <v>0</v>
      </c>
      <c r="O11" s="54"/>
      <c r="P11" s="53"/>
      <c r="Q11" s="53">
        <v>586.04</v>
      </c>
      <c r="R11" s="53">
        <v>586.04</v>
      </c>
      <c r="S11" s="53">
        <v>0</v>
      </c>
      <c r="T11" s="54"/>
      <c r="U11" s="53"/>
      <c r="V11" s="53">
        <v>603.79999999999995</v>
      </c>
      <c r="W11" s="53">
        <v>603.79999999999995</v>
      </c>
      <c r="X11" s="53">
        <v>0</v>
      </c>
      <c r="Y11" s="54"/>
    </row>
    <row r="12" spans="1:25" x14ac:dyDescent="0.2">
      <c r="A12" s="50" t="s">
        <v>108</v>
      </c>
      <c r="B12" s="51" t="s">
        <v>109</v>
      </c>
      <c r="C12" s="51"/>
      <c r="D12" s="52">
        <v>38648</v>
      </c>
      <c r="E12" s="51" t="s">
        <v>105</v>
      </c>
      <c r="F12" s="53"/>
      <c r="G12" s="53">
        <v>295.70999999999998</v>
      </c>
      <c r="H12" s="53">
        <v>295.70999999999998</v>
      </c>
      <c r="I12" s="53">
        <v>0</v>
      </c>
      <c r="J12" s="54"/>
      <c r="K12" s="53"/>
      <c r="L12" s="53">
        <v>308.74</v>
      </c>
      <c r="M12" s="53">
        <v>308.74</v>
      </c>
      <c r="N12" s="53">
        <v>0</v>
      </c>
      <c r="O12" s="54"/>
      <c r="P12" s="53"/>
      <c r="Q12" s="53">
        <v>326.51</v>
      </c>
      <c r="R12" s="53">
        <v>326.51</v>
      </c>
      <c r="S12" s="53">
        <v>0</v>
      </c>
      <c r="T12" s="54"/>
      <c r="U12" s="53"/>
      <c r="V12" s="53">
        <v>336.41</v>
      </c>
      <c r="W12" s="53">
        <v>336.41</v>
      </c>
      <c r="X12" s="53">
        <v>0</v>
      </c>
      <c r="Y12" s="54"/>
    </row>
    <row r="13" spans="1:25" x14ac:dyDescent="0.2">
      <c r="A13" s="50" t="s">
        <v>110</v>
      </c>
      <c r="B13" s="51" t="s">
        <v>65</v>
      </c>
      <c r="C13" s="51" t="s">
        <v>65</v>
      </c>
      <c r="D13" s="52">
        <v>36345</v>
      </c>
      <c r="E13" s="51" t="s">
        <v>111</v>
      </c>
      <c r="F13" s="53">
        <v>381.07</v>
      </c>
      <c r="G13" s="53">
        <v>381.07</v>
      </c>
      <c r="H13" s="53">
        <v>381.07</v>
      </c>
      <c r="I13" s="53">
        <v>0</v>
      </c>
      <c r="J13" s="54">
        <v>0</v>
      </c>
      <c r="K13" s="53">
        <v>397.86</v>
      </c>
      <c r="L13" s="53">
        <v>397.86</v>
      </c>
      <c r="M13" s="53">
        <v>397.86</v>
      </c>
      <c r="N13" s="53">
        <v>0</v>
      </c>
      <c r="O13" s="54">
        <v>0</v>
      </c>
      <c r="P13" s="53">
        <v>420.76</v>
      </c>
      <c r="Q13" s="53">
        <v>420.76</v>
      </c>
      <c r="R13" s="53">
        <v>420.76</v>
      </c>
      <c r="S13" s="53">
        <v>0</v>
      </c>
      <c r="T13" s="54">
        <v>0</v>
      </c>
      <c r="U13" s="53">
        <v>433.52</v>
      </c>
      <c r="V13" s="53">
        <v>433.52</v>
      </c>
      <c r="W13" s="53">
        <v>433.52</v>
      </c>
      <c r="X13" s="53">
        <v>0</v>
      </c>
      <c r="Y13" s="54">
        <v>0</v>
      </c>
    </row>
    <row r="14" spans="1:25" x14ac:dyDescent="0.2">
      <c r="A14" s="50" t="s">
        <v>112</v>
      </c>
      <c r="B14" s="51" t="s">
        <v>65</v>
      </c>
      <c r="C14" s="51" t="s">
        <v>104</v>
      </c>
      <c r="D14" s="52">
        <v>24895</v>
      </c>
      <c r="E14" s="51" t="s">
        <v>113</v>
      </c>
      <c r="F14" s="53">
        <v>1663.29</v>
      </c>
      <c r="G14" s="53">
        <v>672.51</v>
      </c>
      <c r="H14" s="53">
        <v>672.51</v>
      </c>
      <c r="I14" s="53">
        <v>0</v>
      </c>
      <c r="J14" s="54">
        <v>0</v>
      </c>
      <c r="K14" s="53">
        <v>1736.6</v>
      </c>
      <c r="L14" s="53">
        <v>702.15</v>
      </c>
      <c r="M14" s="53">
        <v>702.15</v>
      </c>
      <c r="N14" s="53">
        <v>0</v>
      </c>
      <c r="O14" s="54">
        <v>0</v>
      </c>
      <c r="P14" s="53">
        <v>1836.54</v>
      </c>
      <c r="Q14" s="53">
        <v>742.56</v>
      </c>
      <c r="R14" s="53">
        <v>742.56</v>
      </c>
      <c r="S14" s="53">
        <v>0</v>
      </c>
      <c r="T14" s="54">
        <v>0</v>
      </c>
      <c r="U14" s="53">
        <v>1892.21</v>
      </c>
      <c r="V14" s="53">
        <v>765.07</v>
      </c>
      <c r="W14" s="53">
        <v>765.07</v>
      </c>
      <c r="X14" s="53">
        <v>0</v>
      </c>
      <c r="Y14" s="54">
        <v>0</v>
      </c>
    </row>
    <row r="15" spans="1:25" x14ac:dyDescent="0.2">
      <c r="A15" s="50" t="s">
        <v>114</v>
      </c>
      <c r="B15" s="51" t="s">
        <v>107</v>
      </c>
      <c r="C15" s="51"/>
      <c r="D15" s="52">
        <v>24269</v>
      </c>
      <c r="E15" s="51" t="s">
        <v>113</v>
      </c>
      <c r="F15" s="53"/>
      <c r="G15" s="53">
        <v>695.07</v>
      </c>
      <c r="H15" s="53">
        <v>695.07</v>
      </c>
      <c r="I15" s="53">
        <v>0</v>
      </c>
      <c r="J15" s="54"/>
      <c r="K15" s="53"/>
      <c r="L15" s="53">
        <v>725.71</v>
      </c>
      <c r="M15" s="53">
        <v>725.71</v>
      </c>
      <c r="N15" s="53">
        <v>0</v>
      </c>
      <c r="O15" s="54"/>
      <c r="P15" s="53"/>
      <c r="Q15" s="53">
        <v>767.47</v>
      </c>
      <c r="R15" s="53">
        <v>767.47</v>
      </c>
      <c r="S15" s="53">
        <v>0</v>
      </c>
      <c r="T15" s="54"/>
      <c r="U15" s="53"/>
      <c r="V15" s="53">
        <v>790.73</v>
      </c>
      <c r="W15" s="53">
        <v>790.73</v>
      </c>
      <c r="X15" s="53">
        <v>0</v>
      </c>
      <c r="Y15" s="54"/>
    </row>
    <row r="16" spans="1:25" x14ac:dyDescent="0.2">
      <c r="A16" s="50" t="s">
        <v>115</v>
      </c>
      <c r="B16" s="51" t="s">
        <v>109</v>
      </c>
      <c r="C16" s="51"/>
      <c r="D16" s="52">
        <v>38614</v>
      </c>
      <c r="E16" s="51" t="s">
        <v>113</v>
      </c>
      <c r="F16" s="53"/>
      <c r="G16" s="53">
        <v>295.70999999999998</v>
      </c>
      <c r="H16" s="53">
        <v>295.70999999999998</v>
      </c>
      <c r="I16" s="53">
        <v>0</v>
      </c>
      <c r="J16" s="54"/>
      <c r="K16" s="53"/>
      <c r="L16" s="53">
        <v>308.74</v>
      </c>
      <c r="M16" s="53">
        <v>308.74</v>
      </c>
      <c r="N16" s="53">
        <v>0</v>
      </c>
      <c r="O16" s="54"/>
      <c r="P16" s="53"/>
      <c r="Q16" s="53">
        <v>326.51</v>
      </c>
      <c r="R16" s="53">
        <v>326.51</v>
      </c>
      <c r="S16" s="53">
        <v>0</v>
      </c>
      <c r="T16" s="54"/>
      <c r="U16" s="53"/>
      <c r="V16" s="53">
        <v>336.41</v>
      </c>
      <c r="W16" s="53">
        <v>336.41</v>
      </c>
      <c r="X16" s="53">
        <v>0</v>
      </c>
      <c r="Y16" s="54"/>
    </row>
    <row r="17" spans="1:25" x14ac:dyDescent="0.2">
      <c r="A17" s="50" t="s">
        <v>116</v>
      </c>
      <c r="B17" s="51" t="s">
        <v>65</v>
      </c>
      <c r="C17" s="51" t="s">
        <v>117</v>
      </c>
      <c r="D17" s="52">
        <v>18453</v>
      </c>
      <c r="E17" s="51" t="s">
        <v>118</v>
      </c>
      <c r="F17" s="53">
        <v>1390.14</v>
      </c>
      <c r="G17" s="53">
        <v>695.07</v>
      </c>
      <c r="H17" s="53">
        <v>695.07</v>
      </c>
      <c r="I17" s="53">
        <v>0</v>
      </c>
      <c r="J17" s="54">
        <v>0</v>
      </c>
      <c r="K17" s="53">
        <v>1451.42</v>
      </c>
      <c r="L17" s="53">
        <v>725.71</v>
      </c>
      <c r="M17" s="53">
        <v>725.71</v>
      </c>
      <c r="N17" s="53">
        <v>0</v>
      </c>
      <c r="O17" s="54">
        <v>0</v>
      </c>
      <c r="P17" s="53">
        <v>1534.94</v>
      </c>
      <c r="Q17" s="53">
        <v>767.47</v>
      </c>
      <c r="R17" s="53">
        <v>767.47</v>
      </c>
      <c r="S17" s="53">
        <v>0</v>
      </c>
      <c r="T17" s="54">
        <v>0</v>
      </c>
      <c r="U17" s="53">
        <v>1581.46</v>
      </c>
      <c r="V17" s="53">
        <v>790.73</v>
      </c>
      <c r="W17" s="53">
        <v>790.73</v>
      </c>
      <c r="X17" s="53">
        <v>0</v>
      </c>
      <c r="Y17" s="54">
        <v>0</v>
      </c>
    </row>
    <row r="18" spans="1:25" x14ac:dyDescent="0.2">
      <c r="A18" s="50" t="s">
        <v>119</v>
      </c>
      <c r="B18" s="51" t="s">
        <v>107</v>
      </c>
      <c r="C18" s="51"/>
      <c r="D18" s="52">
        <v>19761</v>
      </c>
      <c r="E18" s="51" t="s">
        <v>118</v>
      </c>
      <c r="F18" s="53"/>
      <c r="G18" s="53">
        <v>695.07</v>
      </c>
      <c r="H18" s="53">
        <v>695.07</v>
      </c>
      <c r="I18" s="53">
        <v>0</v>
      </c>
      <c r="J18" s="54"/>
      <c r="K18" s="53"/>
      <c r="L18" s="53">
        <v>725.71</v>
      </c>
      <c r="M18" s="53">
        <v>725.71</v>
      </c>
      <c r="N18" s="53">
        <v>0</v>
      </c>
      <c r="O18" s="54"/>
      <c r="P18" s="53"/>
      <c r="Q18" s="53">
        <v>767.47</v>
      </c>
      <c r="R18" s="53">
        <v>767.47</v>
      </c>
      <c r="S18" s="53">
        <v>0</v>
      </c>
      <c r="T18" s="54"/>
      <c r="U18" s="53"/>
      <c r="V18" s="53">
        <v>790.73</v>
      </c>
      <c r="W18" s="53">
        <v>790.73</v>
      </c>
      <c r="X18" s="53">
        <v>0</v>
      </c>
      <c r="Y18" s="54"/>
    </row>
    <row r="19" spans="1:25" x14ac:dyDescent="0.2">
      <c r="A19" s="50" t="s">
        <v>120</v>
      </c>
      <c r="B19" s="51" t="s">
        <v>65</v>
      </c>
      <c r="C19" s="51" t="s">
        <v>65</v>
      </c>
      <c r="D19" s="52">
        <v>35733</v>
      </c>
      <c r="E19" s="51" t="s">
        <v>121</v>
      </c>
      <c r="F19" s="53">
        <v>381.07</v>
      </c>
      <c r="G19" s="53">
        <v>381.07</v>
      </c>
      <c r="H19" s="53">
        <v>381.07</v>
      </c>
      <c r="I19" s="53">
        <v>0</v>
      </c>
      <c r="J19" s="54">
        <v>0</v>
      </c>
      <c r="K19" s="53">
        <v>397.86</v>
      </c>
      <c r="L19" s="53">
        <v>397.86</v>
      </c>
      <c r="M19" s="53">
        <v>397.86</v>
      </c>
      <c r="N19" s="53">
        <v>0</v>
      </c>
      <c r="O19" s="54">
        <v>0</v>
      </c>
      <c r="P19" s="53">
        <v>420.76</v>
      </c>
      <c r="Q19" s="53">
        <v>420.76</v>
      </c>
      <c r="R19" s="53">
        <v>420.76</v>
      </c>
      <c r="S19" s="53">
        <v>0</v>
      </c>
      <c r="T19" s="54">
        <v>0</v>
      </c>
      <c r="U19" s="53">
        <v>433.52</v>
      </c>
      <c r="V19" s="53">
        <v>433.52</v>
      </c>
      <c r="W19" s="53">
        <v>433.52</v>
      </c>
      <c r="X19" s="53">
        <v>0</v>
      </c>
      <c r="Y19" s="54">
        <v>0</v>
      </c>
    </row>
    <row r="20" spans="1:25" x14ac:dyDescent="0.2">
      <c r="A20" s="50" t="s">
        <v>122</v>
      </c>
      <c r="B20" s="51" t="s">
        <v>65</v>
      </c>
      <c r="C20" s="51" t="s">
        <v>104</v>
      </c>
      <c r="D20" s="52">
        <v>24958</v>
      </c>
      <c r="E20" s="51" t="s">
        <v>123</v>
      </c>
      <c r="F20" s="53">
        <v>1908.09</v>
      </c>
      <c r="G20" s="53">
        <v>672.51</v>
      </c>
      <c r="H20" s="53">
        <v>672.51</v>
      </c>
      <c r="I20" s="53">
        <v>0</v>
      </c>
      <c r="J20" s="54">
        <v>0</v>
      </c>
      <c r="K20" s="53">
        <v>1992.18</v>
      </c>
      <c r="L20" s="53">
        <v>702.15</v>
      </c>
      <c r="M20" s="53">
        <v>702.15</v>
      </c>
      <c r="N20" s="53">
        <v>0</v>
      </c>
      <c r="O20" s="54">
        <v>0</v>
      </c>
      <c r="P20" s="53">
        <v>2106.84</v>
      </c>
      <c r="Q20" s="53">
        <v>742.56</v>
      </c>
      <c r="R20" s="53">
        <v>742.56</v>
      </c>
      <c r="S20" s="53">
        <v>0</v>
      </c>
      <c r="T20" s="54">
        <v>0</v>
      </c>
      <c r="U20" s="53">
        <v>2170.6999999999998</v>
      </c>
      <c r="V20" s="53">
        <v>765.07</v>
      </c>
      <c r="W20" s="53">
        <v>765.07</v>
      </c>
      <c r="X20" s="53">
        <v>0</v>
      </c>
      <c r="Y20" s="54">
        <v>0</v>
      </c>
    </row>
    <row r="21" spans="1:25" x14ac:dyDescent="0.2">
      <c r="A21" s="50" t="s">
        <v>124</v>
      </c>
      <c r="B21" s="51" t="s">
        <v>107</v>
      </c>
      <c r="C21" s="51"/>
      <c r="D21" s="52">
        <v>25342</v>
      </c>
      <c r="E21" s="51" t="s">
        <v>123</v>
      </c>
      <c r="F21" s="53"/>
      <c r="G21" s="53">
        <v>653</v>
      </c>
      <c r="H21" s="53">
        <v>653</v>
      </c>
      <c r="I21" s="53">
        <v>0</v>
      </c>
      <c r="J21" s="54"/>
      <c r="K21" s="53"/>
      <c r="L21" s="53">
        <v>681.78</v>
      </c>
      <c r="M21" s="53">
        <v>681.78</v>
      </c>
      <c r="N21" s="53">
        <v>0</v>
      </c>
      <c r="O21" s="54"/>
      <c r="P21" s="53"/>
      <c r="Q21" s="53">
        <v>721.02</v>
      </c>
      <c r="R21" s="53">
        <v>721.02</v>
      </c>
      <c r="S21" s="53">
        <v>0</v>
      </c>
      <c r="T21" s="54"/>
      <c r="U21" s="53"/>
      <c r="V21" s="53">
        <v>742.87</v>
      </c>
      <c r="W21" s="53">
        <v>742.87</v>
      </c>
      <c r="X21" s="53">
        <v>0</v>
      </c>
      <c r="Y21" s="54"/>
    </row>
    <row r="22" spans="1:25" x14ac:dyDescent="0.2">
      <c r="A22" s="50" t="s">
        <v>125</v>
      </c>
      <c r="B22" s="51" t="s">
        <v>109</v>
      </c>
      <c r="C22" s="51"/>
      <c r="D22" s="52">
        <v>38632</v>
      </c>
      <c r="E22" s="51" t="s">
        <v>123</v>
      </c>
      <c r="F22" s="53"/>
      <c r="G22" s="53">
        <v>295.70999999999998</v>
      </c>
      <c r="H22" s="53">
        <v>295.70999999999998</v>
      </c>
      <c r="I22" s="53">
        <v>0</v>
      </c>
      <c r="J22" s="54"/>
      <c r="K22" s="53"/>
      <c r="L22" s="53">
        <v>308.74</v>
      </c>
      <c r="M22" s="53">
        <v>308.74</v>
      </c>
      <c r="N22" s="53">
        <v>0</v>
      </c>
      <c r="O22" s="54"/>
      <c r="P22" s="53"/>
      <c r="Q22" s="53">
        <v>326.51</v>
      </c>
      <c r="R22" s="53">
        <v>326.51</v>
      </c>
      <c r="S22" s="53">
        <v>0</v>
      </c>
      <c r="T22" s="54"/>
      <c r="U22" s="53"/>
      <c r="V22" s="53">
        <v>336.41</v>
      </c>
      <c r="W22" s="53">
        <v>336.41</v>
      </c>
      <c r="X22" s="53">
        <v>0</v>
      </c>
      <c r="Y22" s="54"/>
    </row>
    <row r="23" spans="1:25" x14ac:dyDescent="0.2">
      <c r="A23" s="50" t="s">
        <v>126</v>
      </c>
      <c r="B23" s="51" t="s">
        <v>109</v>
      </c>
      <c r="C23" s="51"/>
      <c r="D23" s="52">
        <v>39092</v>
      </c>
      <c r="E23" s="51" t="s">
        <v>123</v>
      </c>
      <c r="F23" s="53"/>
      <c r="G23" s="53">
        <v>286.87</v>
      </c>
      <c r="H23" s="53">
        <v>286.87</v>
      </c>
      <c r="I23" s="53">
        <v>0</v>
      </c>
      <c r="J23" s="54"/>
      <c r="K23" s="53"/>
      <c r="L23" s="53">
        <v>299.51</v>
      </c>
      <c r="M23" s="53">
        <v>299.51</v>
      </c>
      <c r="N23" s="53">
        <v>0</v>
      </c>
      <c r="O23" s="54"/>
      <c r="P23" s="53"/>
      <c r="Q23" s="53">
        <v>316.75</v>
      </c>
      <c r="R23" s="53">
        <v>316.75</v>
      </c>
      <c r="S23" s="53">
        <v>0</v>
      </c>
      <c r="T23" s="54"/>
      <c r="U23" s="53"/>
      <c r="V23" s="53">
        <v>326.35000000000002</v>
      </c>
      <c r="W23" s="53">
        <v>326.35000000000002</v>
      </c>
      <c r="X23" s="53">
        <v>0</v>
      </c>
      <c r="Y23" s="54"/>
    </row>
    <row r="24" spans="1:25" x14ac:dyDescent="0.2">
      <c r="A24" s="50" t="s">
        <v>127</v>
      </c>
      <c r="B24" s="51" t="s">
        <v>65</v>
      </c>
      <c r="C24" s="51" t="s">
        <v>117</v>
      </c>
      <c r="D24" s="52">
        <v>21309</v>
      </c>
      <c r="E24" s="51" t="s">
        <v>96</v>
      </c>
      <c r="F24" s="53">
        <v>1390.14</v>
      </c>
      <c r="G24" s="53">
        <v>695.07</v>
      </c>
      <c r="H24" s="53">
        <v>695.07</v>
      </c>
      <c r="I24" s="53">
        <v>0</v>
      </c>
      <c r="J24" s="54">
        <v>0</v>
      </c>
      <c r="K24" s="53">
        <v>1451.42</v>
      </c>
      <c r="L24" s="53">
        <v>725.71</v>
      </c>
      <c r="M24" s="53">
        <v>725.71</v>
      </c>
      <c r="N24" s="53">
        <v>0</v>
      </c>
      <c r="O24" s="54">
        <v>0</v>
      </c>
      <c r="P24" s="53">
        <v>1534.94</v>
      </c>
      <c r="Q24" s="53">
        <v>767.47</v>
      </c>
      <c r="R24" s="53">
        <v>767.47</v>
      </c>
      <c r="S24" s="53">
        <v>0</v>
      </c>
      <c r="T24" s="54">
        <v>0</v>
      </c>
      <c r="U24" s="53">
        <v>1581.46</v>
      </c>
      <c r="V24" s="53">
        <v>790.73</v>
      </c>
      <c r="W24" s="53">
        <v>790.73</v>
      </c>
      <c r="X24" s="53">
        <v>0</v>
      </c>
      <c r="Y24" s="54">
        <v>0</v>
      </c>
    </row>
    <row r="25" spans="1:25" x14ac:dyDescent="0.2">
      <c r="A25" s="50" t="s">
        <v>128</v>
      </c>
      <c r="B25" s="51" t="s">
        <v>107</v>
      </c>
      <c r="C25" s="51"/>
      <c r="D25" s="52">
        <v>23570</v>
      </c>
      <c r="E25" s="51" t="s">
        <v>96</v>
      </c>
      <c r="F25" s="53"/>
      <c r="G25" s="53">
        <v>695.07</v>
      </c>
      <c r="H25" s="53">
        <v>695.07</v>
      </c>
      <c r="I25" s="53">
        <v>0</v>
      </c>
      <c r="J25" s="54"/>
      <c r="K25" s="53"/>
      <c r="L25" s="53">
        <v>725.71</v>
      </c>
      <c r="M25" s="53">
        <v>725.71</v>
      </c>
      <c r="N25" s="53">
        <v>0</v>
      </c>
      <c r="O25" s="54"/>
      <c r="P25" s="53"/>
      <c r="Q25" s="53">
        <v>767.47</v>
      </c>
      <c r="R25" s="53">
        <v>767.47</v>
      </c>
      <c r="S25" s="53">
        <v>0</v>
      </c>
      <c r="T25" s="54"/>
      <c r="U25" s="53"/>
      <c r="V25" s="53">
        <v>790.73</v>
      </c>
      <c r="W25" s="53">
        <v>790.73</v>
      </c>
      <c r="X25" s="53">
        <v>0</v>
      </c>
      <c r="Y25" s="54"/>
    </row>
    <row r="26" spans="1:25" x14ac:dyDescent="0.2">
      <c r="A26" s="50" t="s">
        <v>129</v>
      </c>
      <c r="B26" s="51" t="s">
        <v>65</v>
      </c>
      <c r="C26" s="51" t="s">
        <v>65</v>
      </c>
      <c r="D26" s="52">
        <v>24147</v>
      </c>
      <c r="E26" s="51" t="s">
        <v>113</v>
      </c>
      <c r="F26" s="53">
        <v>695.07</v>
      </c>
      <c r="G26" s="53">
        <v>695.07</v>
      </c>
      <c r="H26" s="53">
        <v>695.07</v>
      </c>
      <c r="I26" s="53">
        <v>0</v>
      </c>
      <c r="J26" s="54">
        <v>0</v>
      </c>
      <c r="K26" s="53">
        <v>725.71</v>
      </c>
      <c r="L26" s="53">
        <v>725.71</v>
      </c>
      <c r="M26" s="53">
        <v>725.71</v>
      </c>
      <c r="N26" s="53">
        <v>0</v>
      </c>
      <c r="O26" s="54">
        <v>0</v>
      </c>
      <c r="P26" s="53">
        <v>767.47</v>
      </c>
      <c r="Q26" s="53">
        <v>767.47</v>
      </c>
      <c r="R26" s="53">
        <v>767.47</v>
      </c>
      <c r="S26" s="53">
        <v>0</v>
      </c>
      <c r="T26" s="54">
        <v>0</v>
      </c>
      <c r="U26" s="53">
        <v>790.73</v>
      </c>
      <c r="V26" s="53">
        <v>790.73</v>
      </c>
      <c r="W26" s="53">
        <v>790.73</v>
      </c>
      <c r="X26" s="53">
        <v>0</v>
      </c>
      <c r="Y26" s="54">
        <v>0</v>
      </c>
    </row>
    <row r="27" spans="1:25" x14ac:dyDescent="0.2">
      <c r="A27" s="50" t="s">
        <v>130</v>
      </c>
      <c r="B27" s="51" t="s">
        <v>65</v>
      </c>
      <c r="C27" s="51" t="s">
        <v>65</v>
      </c>
      <c r="D27" s="52">
        <v>25210</v>
      </c>
      <c r="E27" s="51" t="s">
        <v>131</v>
      </c>
      <c r="F27" s="53">
        <v>653</v>
      </c>
      <c r="G27" s="53">
        <v>653</v>
      </c>
      <c r="H27" s="53">
        <v>653</v>
      </c>
      <c r="I27" s="53">
        <v>0</v>
      </c>
      <c r="J27" s="54">
        <v>0</v>
      </c>
      <c r="K27" s="53">
        <v>681.78</v>
      </c>
      <c r="L27" s="53">
        <v>681.78</v>
      </c>
      <c r="M27" s="53">
        <v>681.78</v>
      </c>
      <c r="N27" s="53">
        <v>0</v>
      </c>
      <c r="O27" s="54">
        <v>0</v>
      </c>
      <c r="P27" s="53">
        <v>721.02</v>
      </c>
      <c r="Q27" s="53">
        <v>721.02</v>
      </c>
      <c r="R27" s="53">
        <v>721.02</v>
      </c>
      <c r="S27" s="53">
        <v>0</v>
      </c>
      <c r="T27" s="54">
        <v>0</v>
      </c>
      <c r="U27" s="53">
        <v>742.87</v>
      </c>
      <c r="V27" s="53">
        <v>742.87</v>
      </c>
      <c r="W27" s="53">
        <v>742.87</v>
      </c>
      <c r="X27" s="53">
        <v>0</v>
      </c>
      <c r="Y27" s="54">
        <v>0</v>
      </c>
    </row>
    <row r="28" spans="1:25" x14ac:dyDescent="0.2">
      <c r="A28" s="50" t="s">
        <v>132</v>
      </c>
      <c r="B28" s="51" t="s">
        <v>65</v>
      </c>
      <c r="C28" s="51" t="s">
        <v>65</v>
      </c>
      <c r="D28" s="52">
        <v>35103</v>
      </c>
      <c r="E28" s="51" t="s">
        <v>113</v>
      </c>
      <c r="F28" s="53">
        <v>392.35</v>
      </c>
      <c r="G28" s="53">
        <v>392.35</v>
      </c>
      <c r="H28" s="53">
        <v>392.35</v>
      </c>
      <c r="I28" s="53">
        <v>0</v>
      </c>
      <c r="J28" s="54">
        <v>0</v>
      </c>
      <c r="K28" s="53">
        <v>409.64</v>
      </c>
      <c r="L28" s="53">
        <v>409.64</v>
      </c>
      <c r="M28" s="53">
        <v>409.64</v>
      </c>
      <c r="N28" s="53">
        <v>0</v>
      </c>
      <c r="O28" s="54">
        <v>0</v>
      </c>
      <c r="P28" s="53">
        <v>433.22</v>
      </c>
      <c r="Q28" s="53">
        <v>433.22</v>
      </c>
      <c r="R28" s="53">
        <v>433.22</v>
      </c>
      <c r="S28" s="53">
        <v>0</v>
      </c>
      <c r="T28" s="54">
        <v>0</v>
      </c>
      <c r="U28" s="53">
        <v>446.35</v>
      </c>
      <c r="V28" s="53">
        <v>446.35</v>
      </c>
      <c r="W28" s="53">
        <v>446.35</v>
      </c>
      <c r="X28" s="53">
        <v>0</v>
      </c>
      <c r="Y28" s="54">
        <v>0</v>
      </c>
    </row>
    <row r="29" spans="1:25" x14ac:dyDescent="0.2">
      <c r="A29" s="50" t="s">
        <v>133</v>
      </c>
      <c r="B29" s="51" t="s">
        <v>65</v>
      </c>
      <c r="C29" s="51" t="s">
        <v>117</v>
      </c>
      <c r="D29" s="52">
        <v>27399</v>
      </c>
      <c r="E29" s="51" t="s">
        <v>113</v>
      </c>
      <c r="F29" s="53">
        <v>1006.93</v>
      </c>
      <c r="G29" s="53">
        <v>546.29999999999995</v>
      </c>
      <c r="H29" s="53">
        <v>546.29999999999995</v>
      </c>
      <c r="I29" s="53">
        <v>0</v>
      </c>
      <c r="J29" s="54">
        <v>0</v>
      </c>
      <c r="K29" s="53">
        <v>1051.32</v>
      </c>
      <c r="L29" s="53">
        <v>570.38</v>
      </c>
      <c r="M29" s="53">
        <v>570.38</v>
      </c>
      <c r="N29" s="53">
        <v>0</v>
      </c>
      <c r="O29" s="54">
        <v>0</v>
      </c>
      <c r="P29" s="53">
        <v>1111.83</v>
      </c>
      <c r="Q29" s="53">
        <v>603.21</v>
      </c>
      <c r="R29" s="53">
        <v>603.21</v>
      </c>
      <c r="S29" s="53">
        <v>0</v>
      </c>
      <c r="T29" s="54">
        <v>0</v>
      </c>
      <c r="U29" s="53">
        <v>1145.53</v>
      </c>
      <c r="V29" s="53">
        <v>621.49</v>
      </c>
      <c r="W29" s="53">
        <v>621.49</v>
      </c>
      <c r="X29" s="53">
        <v>0</v>
      </c>
      <c r="Y29" s="54">
        <v>0</v>
      </c>
    </row>
    <row r="30" spans="1:25" x14ac:dyDescent="0.2">
      <c r="A30" s="50" t="s">
        <v>134</v>
      </c>
      <c r="B30" s="51" t="s">
        <v>107</v>
      </c>
      <c r="C30" s="51"/>
      <c r="D30" s="52">
        <v>29502</v>
      </c>
      <c r="E30" s="51" t="s">
        <v>113</v>
      </c>
      <c r="F30" s="53"/>
      <c r="G30" s="53">
        <v>460.63</v>
      </c>
      <c r="H30" s="53">
        <v>460.63</v>
      </c>
      <c r="I30" s="53">
        <v>0</v>
      </c>
      <c r="J30" s="54"/>
      <c r="K30" s="53"/>
      <c r="L30" s="53">
        <v>480.94</v>
      </c>
      <c r="M30" s="53">
        <v>480.94</v>
      </c>
      <c r="N30" s="53">
        <v>0</v>
      </c>
      <c r="O30" s="54"/>
      <c r="P30" s="53"/>
      <c r="Q30" s="53">
        <v>508.62</v>
      </c>
      <c r="R30" s="53">
        <v>508.62</v>
      </c>
      <c r="S30" s="53">
        <v>0</v>
      </c>
      <c r="T30" s="54"/>
      <c r="U30" s="53"/>
      <c r="V30" s="53">
        <v>524.04</v>
      </c>
      <c r="W30" s="53">
        <v>524.04</v>
      </c>
      <c r="X30" s="53">
        <v>0</v>
      </c>
      <c r="Y30" s="54"/>
    </row>
    <row r="31" spans="1:25" x14ac:dyDescent="0.2">
      <c r="A31" s="50" t="s">
        <v>135</v>
      </c>
      <c r="B31" s="51" t="s">
        <v>65</v>
      </c>
      <c r="C31" s="51" t="s">
        <v>104</v>
      </c>
      <c r="D31" s="52">
        <v>24592</v>
      </c>
      <c r="E31" s="51" t="s">
        <v>111</v>
      </c>
      <c r="F31" s="53">
        <v>1771.21</v>
      </c>
      <c r="G31" s="53">
        <v>695.07</v>
      </c>
      <c r="H31" s="53">
        <v>695.07</v>
      </c>
      <c r="I31" s="53">
        <v>0</v>
      </c>
      <c r="J31" s="54">
        <v>0</v>
      </c>
      <c r="K31" s="53">
        <v>1849.28</v>
      </c>
      <c r="L31" s="53">
        <v>725.71</v>
      </c>
      <c r="M31" s="53">
        <v>725.71</v>
      </c>
      <c r="N31" s="53">
        <v>0</v>
      </c>
      <c r="O31" s="54">
        <v>0</v>
      </c>
      <c r="P31" s="53">
        <v>1955.7</v>
      </c>
      <c r="Q31" s="53">
        <v>767.47</v>
      </c>
      <c r="R31" s="53">
        <v>767.47</v>
      </c>
      <c r="S31" s="53">
        <v>0</v>
      </c>
      <c r="T31" s="54">
        <v>0</v>
      </c>
      <c r="U31" s="53">
        <v>2014.98</v>
      </c>
      <c r="V31" s="53">
        <v>790.73</v>
      </c>
      <c r="W31" s="53">
        <v>790.73</v>
      </c>
      <c r="X31" s="53">
        <v>0</v>
      </c>
      <c r="Y31" s="54">
        <v>0</v>
      </c>
    </row>
    <row r="32" spans="1:25" x14ac:dyDescent="0.2">
      <c r="A32" s="50" t="s">
        <v>136</v>
      </c>
      <c r="B32" s="51" t="s">
        <v>107</v>
      </c>
      <c r="C32" s="51"/>
      <c r="D32" s="52">
        <v>22616</v>
      </c>
      <c r="E32" s="51" t="s">
        <v>111</v>
      </c>
      <c r="F32" s="53"/>
      <c r="G32" s="53">
        <v>695.07</v>
      </c>
      <c r="H32" s="53">
        <v>695.07</v>
      </c>
      <c r="I32" s="53">
        <v>0</v>
      </c>
      <c r="J32" s="54"/>
      <c r="K32" s="53"/>
      <c r="L32" s="53">
        <v>725.71</v>
      </c>
      <c r="M32" s="53">
        <v>725.71</v>
      </c>
      <c r="N32" s="53">
        <v>0</v>
      </c>
      <c r="O32" s="54"/>
      <c r="P32" s="53"/>
      <c r="Q32" s="53">
        <v>767.47</v>
      </c>
      <c r="R32" s="53">
        <v>767.47</v>
      </c>
      <c r="S32" s="53">
        <v>0</v>
      </c>
      <c r="T32" s="54"/>
      <c r="U32" s="53"/>
      <c r="V32" s="53">
        <v>790.73</v>
      </c>
      <c r="W32" s="53">
        <v>790.73</v>
      </c>
      <c r="X32" s="53">
        <v>0</v>
      </c>
      <c r="Y32" s="54"/>
    </row>
    <row r="33" spans="1:25" x14ac:dyDescent="0.2">
      <c r="A33" s="50" t="s">
        <v>137</v>
      </c>
      <c r="B33" s="51" t="s">
        <v>109</v>
      </c>
      <c r="C33" s="51"/>
      <c r="D33" s="52">
        <v>37842</v>
      </c>
      <c r="E33" s="51" t="s">
        <v>111</v>
      </c>
      <c r="F33" s="53"/>
      <c r="G33" s="53">
        <v>381.07</v>
      </c>
      <c r="H33" s="53">
        <v>381.07</v>
      </c>
      <c r="I33" s="53">
        <v>0</v>
      </c>
      <c r="J33" s="54"/>
      <c r="K33" s="53"/>
      <c r="L33" s="53">
        <v>397.86</v>
      </c>
      <c r="M33" s="53">
        <v>397.86</v>
      </c>
      <c r="N33" s="53">
        <v>0</v>
      </c>
      <c r="O33" s="54"/>
      <c r="P33" s="53"/>
      <c r="Q33" s="53">
        <v>420.76</v>
      </c>
      <c r="R33" s="53">
        <v>420.76</v>
      </c>
      <c r="S33" s="53">
        <v>0</v>
      </c>
      <c r="T33" s="54"/>
      <c r="U33" s="53"/>
      <c r="V33" s="53">
        <v>433.52</v>
      </c>
      <c r="W33" s="53">
        <v>433.52</v>
      </c>
      <c r="X33" s="53">
        <v>0</v>
      </c>
      <c r="Y33" s="54"/>
    </row>
    <row r="34" spans="1:25" x14ac:dyDescent="0.2">
      <c r="A34" s="50" t="s">
        <v>138</v>
      </c>
      <c r="B34" s="51" t="s">
        <v>65</v>
      </c>
      <c r="C34" s="51" t="s">
        <v>65</v>
      </c>
      <c r="D34" s="52">
        <v>35401</v>
      </c>
      <c r="E34" s="51" t="s">
        <v>113</v>
      </c>
      <c r="F34" s="53">
        <v>388.69</v>
      </c>
      <c r="G34" s="53">
        <v>388.69</v>
      </c>
      <c r="H34" s="53">
        <v>388.69</v>
      </c>
      <c r="I34" s="53">
        <v>0</v>
      </c>
      <c r="J34" s="54">
        <v>0</v>
      </c>
      <c r="K34" s="53">
        <v>405.82</v>
      </c>
      <c r="L34" s="53">
        <v>405.82</v>
      </c>
      <c r="M34" s="53">
        <v>405.82</v>
      </c>
      <c r="N34" s="53">
        <v>0</v>
      </c>
      <c r="O34" s="54">
        <v>0</v>
      </c>
      <c r="P34" s="53">
        <v>429.18</v>
      </c>
      <c r="Q34" s="53">
        <v>429.18</v>
      </c>
      <c r="R34" s="53">
        <v>429.18</v>
      </c>
      <c r="S34" s="53">
        <v>0</v>
      </c>
      <c r="T34" s="54">
        <v>0</v>
      </c>
      <c r="U34" s="53">
        <v>442.19</v>
      </c>
      <c r="V34" s="53">
        <v>442.19</v>
      </c>
      <c r="W34" s="53">
        <v>442.19</v>
      </c>
      <c r="X34" s="53">
        <v>0</v>
      </c>
      <c r="Y34" s="54">
        <v>0</v>
      </c>
    </row>
    <row r="35" spans="1:25" x14ac:dyDescent="0.2">
      <c r="A35" s="50" t="s">
        <v>139</v>
      </c>
      <c r="B35" s="51" t="s">
        <v>65</v>
      </c>
      <c r="C35" s="51" t="s">
        <v>65</v>
      </c>
      <c r="D35" s="52">
        <v>35453</v>
      </c>
      <c r="E35" s="51" t="s">
        <v>113</v>
      </c>
      <c r="F35" s="53">
        <v>388.69</v>
      </c>
      <c r="G35" s="53">
        <v>388.69</v>
      </c>
      <c r="H35" s="53">
        <v>388.69</v>
      </c>
      <c r="I35" s="53">
        <v>0</v>
      </c>
      <c r="J35" s="54">
        <v>0</v>
      </c>
      <c r="K35" s="53">
        <v>405.82</v>
      </c>
      <c r="L35" s="53">
        <v>405.82</v>
      </c>
      <c r="M35" s="53">
        <v>405.82</v>
      </c>
      <c r="N35" s="53">
        <v>0</v>
      </c>
      <c r="O35" s="54">
        <v>0</v>
      </c>
      <c r="P35" s="53">
        <v>429.18</v>
      </c>
      <c r="Q35" s="53">
        <v>429.18</v>
      </c>
      <c r="R35" s="53">
        <v>429.18</v>
      </c>
      <c r="S35" s="53">
        <v>0</v>
      </c>
      <c r="T35" s="54">
        <v>0</v>
      </c>
      <c r="U35" s="53">
        <v>442.19</v>
      </c>
      <c r="V35" s="53">
        <v>442.19</v>
      </c>
      <c r="W35" s="53">
        <v>442.19</v>
      </c>
      <c r="X35" s="53">
        <v>0</v>
      </c>
      <c r="Y35" s="54">
        <v>0</v>
      </c>
    </row>
    <row r="36" spans="1:25" x14ac:dyDescent="0.2">
      <c r="A36" s="50" t="s">
        <v>140</v>
      </c>
      <c r="B36" s="51" t="s">
        <v>65</v>
      </c>
      <c r="C36" s="51" t="s">
        <v>65</v>
      </c>
      <c r="D36" s="52">
        <v>34864</v>
      </c>
      <c r="E36" s="51" t="s">
        <v>118</v>
      </c>
      <c r="F36" s="53">
        <v>392.35</v>
      </c>
      <c r="G36" s="53">
        <v>392.35</v>
      </c>
      <c r="H36" s="53">
        <v>392.35</v>
      </c>
      <c r="I36" s="53">
        <v>0</v>
      </c>
      <c r="J36" s="54">
        <v>0</v>
      </c>
      <c r="K36" s="53">
        <v>409.64</v>
      </c>
      <c r="L36" s="53">
        <v>409.64</v>
      </c>
      <c r="M36" s="53">
        <v>409.64</v>
      </c>
      <c r="N36" s="53">
        <v>0</v>
      </c>
      <c r="O36" s="54">
        <v>0</v>
      </c>
      <c r="P36" s="53">
        <v>433.22</v>
      </c>
      <c r="Q36" s="53">
        <v>433.22</v>
      </c>
      <c r="R36" s="53">
        <v>433.22</v>
      </c>
      <c r="S36" s="53">
        <v>0</v>
      </c>
      <c r="T36" s="54">
        <v>0</v>
      </c>
      <c r="U36" s="53">
        <v>446.35</v>
      </c>
      <c r="V36" s="53">
        <v>446.35</v>
      </c>
      <c r="W36" s="53">
        <v>446.35</v>
      </c>
      <c r="X36" s="53">
        <v>0</v>
      </c>
      <c r="Y36" s="54">
        <v>0</v>
      </c>
    </row>
    <row r="37" spans="1:25" x14ac:dyDescent="0.2">
      <c r="A37" s="50" t="s">
        <v>141</v>
      </c>
      <c r="B37" s="51" t="s">
        <v>65</v>
      </c>
      <c r="C37" s="51" t="s">
        <v>104</v>
      </c>
      <c r="D37" s="52">
        <v>26666</v>
      </c>
      <c r="E37" s="51" t="s">
        <v>118</v>
      </c>
      <c r="F37" s="53">
        <v>1742.24</v>
      </c>
      <c r="G37" s="53">
        <v>579.83000000000004</v>
      </c>
      <c r="H37" s="53">
        <v>579.83000000000004</v>
      </c>
      <c r="I37" s="53">
        <v>0</v>
      </c>
      <c r="J37" s="54">
        <v>0</v>
      </c>
      <c r="K37" s="53">
        <v>1819.03</v>
      </c>
      <c r="L37" s="53">
        <v>605.39</v>
      </c>
      <c r="M37" s="53">
        <v>605.39</v>
      </c>
      <c r="N37" s="53">
        <v>0</v>
      </c>
      <c r="O37" s="54">
        <v>0</v>
      </c>
      <c r="P37" s="53">
        <v>1923.72</v>
      </c>
      <c r="Q37" s="53">
        <v>640.23</v>
      </c>
      <c r="R37" s="53">
        <v>640.23</v>
      </c>
      <c r="S37" s="53">
        <v>0</v>
      </c>
      <c r="T37" s="54">
        <v>0</v>
      </c>
      <c r="U37" s="53">
        <v>1982.04</v>
      </c>
      <c r="V37" s="53">
        <v>659.64</v>
      </c>
      <c r="W37" s="53">
        <v>659.64</v>
      </c>
      <c r="X37" s="53">
        <v>0</v>
      </c>
      <c r="Y37" s="54">
        <v>0</v>
      </c>
    </row>
    <row r="38" spans="1:25" x14ac:dyDescent="0.2">
      <c r="A38" s="50" t="s">
        <v>142</v>
      </c>
      <c r="B38" s="51" t="s">
        <v>107</v>
      </c>
      <c r="C38" s="51"/>
      <c r="D38" s="52">
        <v>28717</v>
      </c>
      <c r="E38" s="51" t="s">
        <v>118</v>
      </c>
      <c r="F38" s="53"/>
      <c r="G38" s="53">
        <v>485.63</v>
      </c>
      <c r="H38" s="53">
        <v>485.63</v>
      </c>
      <c r="I38" s="53">
        <v>0</v>
      </c>
      <c r="J38" s="54"/>
      <c r="K38" s="53"/>
      <c r="L38" s="53">
        <v>507.04</v>
      </c>
      <c r="M38" s="53">
        <v>507.04</v>
      </c>
      <c r="N38" s="53">
        <v>0</v>
      </c>
      <c r="O38" s="54"/>
      <c r="P38" s="53"/>
      <c r="Q38" s="53">
        <v>536.22</v>
      </c>
      <c r="R38" s="53">
        <v>536.22</v>
      </c>
      <c r="S38" s="53">
        <v>0</v>
      </c>
      <c r="T38" s="54"/>
      <c r="U38" s="53"/>
      <c r="V38" s="53">
        <v>552.47</v>
      </c>
      <c r="W38" s="53">
        <v>552.47</v>
      </c>
      <c r="X38" s="53">
        <v>0</v>
      </c>
      <c r="Y38" s="54"/>
    </row>
    <row r="39" spans="1:25" x14ac:dyDescent="0.2">
      <c r="A39" s="50" t="s">
        <v>143</v>
      </c>
      <c r="B39" s="51" t="s">
        <v>109</v>
      </c>
      <c r="C39" s="51"/>
      <c r="D39" s="52">
        <v>37384</v>
      </c>
      <c r="E39" s="51" t="s">
        <v>118</v>
      </c>
      <c r="F39" s="53"/>
      <c r="G39" s="53">
        <v>381.07</v>
      </c>
      <c r="H39" s="53">
        <v>381.07</v>
      </c>
      <c r="I39" s="53">
        <v>0</v>
      </c>
      <c r="J39" s="54"/>
      <c r="K39" s="53"/>
      <c r="L39" s="53">
        <v>397.86</v>
      </c>
      <c r="M39" s="53">
        <v>397.86</v>
      </c>
      <c r="N39" s="53">
        <v>0</v>
      </c>
      <c r="O39" s="54"/>
      <c r="P39" s="53"/>
      <c r="Q39" s="53">
        <v>420.76</v>
      </c>
      <c r="R39" s="53">
        <v>420.76</v>
      </c>
      <c r="S39" s="53">
        <v>0</v>
      </c>
      <c r="T39" s="54"/>
      <c r="U39" s="53"/>
      <c r="V39" s="53">
        <v>433.52</v>
      </c>
      <c r="W39" s="53">
        <v>433.52</v>
      </c>
      <c r="X39" s="53">
        <v>0</v>
      </c>
      <c r="Y39" s="54"/>
    </row>
    <row r="40" spans="1:25" x14ac:dyDescent="0.2">
      <c r="A40" s="50" t="s">
        <v>144</v>
      </c>
      <c r="B40" s="51" t="s">
        <v>109</v>
      </c>
      <c r="C40" s="51"/>
      <c r="D40" s="52">
        <v>38688</v>
      </c>
      <c r="E40" s="51" t="s">
        <v>118</v>
      </c>
      <c r="F40" s="53"/>
      <c r="G40" s="53">
        <v>295.70999999999998</v>
      </c>
      <c r="H40" s="53">
        <v>295.70999999999998</v>
      </c>
      <c r="I40" s="53">
        <v>0</v>
      </c>
      <c r="J40" s="54"/>
      <c r="K40" s="53"/>
      <c r="L40" s="53">
        <v>308.74</v>
      </c>
      <c r="M40" s="53">
        <v>308.74</v>
      </c>
      <c r="N40" s="53">
        <v>0</v>
      </c>
      <c r="O40" s="54"/>
      <c r="P40" s="53"/>
      <c r="Q40" s="53">
        <v>326.51</v>
      </c>
      <c r="R40" s="53">
        <v>326.51</v>
      </c>
      <c r="S40" s="53">
        <v>0</v>
      </c>
      <c r="T40" s="54"/>
      <c r="U40" s="53"/>
      <c r="V40" s="53">
        <v>336.41</v>
      </c>
      <c r="W40" s="53">
        <v>336.41</v>
      </c>
      <c r="X40" s="53">
        <v>0</v>
      </c>
      <c r="Y40" s="54"/>
    </row>
    <row r="41" spans="1:25" x14ac:dyDescent="0.2">
      <c r="A41" s="50" t="s">
        <v>145</v>
      </c>
      <c r="B41" s="51" t="s">
        <v>65</v>
      </c>
      <c r="C41" s="51" t="s">
        <v>65</v>
      </c>
      <c r="D41" s="52">
        <v>36146</v>
      </c>
      <c r="E41" s="51" t="s">
        <v>111</v>
      </c>
      <c r="F41" s="53">
        <v>381.07</v>
      </c>
      <c r="G41" s="53">
        <v>381.07</v>
      </c>
      <c r="H41" s="53">
        <v>381.07</v>
      </c>
      <c r="I41" s="53">
        <v>0</v>
      </c>
      <c r="J41" s="54">
        <v>0</v>
      </c>
      <c r="K41" s="53">
        <v>397.86</v>
      </c>
      <c r="L41" s="53">
        <v>397.86</v>
      </c>
      <c r="M41" s="53">
        <v>397.86</v>
      </c>
      <c r="N41" s="53">
        <v>0</v>
      </c>
      <c r="O41" s="54">
        <v>0</v>
      </c>
      <c r="P41" s="53">
        <v>420.76</v>
      </c>
      <c r="Q41" s="53">
        <v>420.76</v>
      </c>
      <c r="R41" s="53">
        <v>420.76</v>
      </c>
      <c r="S41" s="53">
        <v>0</v>
      </c>
      <c r="T41" s="54">
        <v>0</v>
      </c>
      <c r="U41" s="53">
        <v>433.52</v>
      </c>
      <c r="V41" s="53">
        <v>433.52</v>
      </c>
      <c r="W41" s="53">
        <v>433.52</v>
      </c>
      <c r="X41" s="53">
        <v>0</v>
      </c>
      <c r="Y41" s="54">
        <v>0</v>
      </c>
    </row>
    <row r="42" spans="1:25" x14ac:dyDescent="0.2">
      <c r="A42" s="50" t="s">
        <v>146</v>
      </c>
      <c r="B42" s="51" t="s">
        <v>65</v>
      </c>
      <c r="C42" s="51" t="s">
        <v>65</v>
      </c>
      <c r="D42" s="52">
        <v>35249</v>
      </c>
      <c r="E42" s="51" t="s">
        <v>147</v>
      </c>
      <c r="F42" s="53">
        <v>388.69</v>
      </c>
      <c r="G42" s="53">
        <v>388.69</v>
      </c>
      <c r="H42" s="53">
        <v>388.69</v>
      </c>
      <c r="I42" s="53">
        <v>0</v>
      </c>
      <c r="J42" s="54">
        <v>0</v>
      </c>
      <c r="K42" s="53">
        <v>405.82</v>
      </c>
      <c r="L42" s="53">
        <v>405.82</v>
      </c>
      <c r="M42" s="53">
        <v>405.82</v>
      </c>
      <c r="N42" s="53">
        <v>0</v>
      </c>
      <c r="O42" s="54">
        <v>0</v>
      </c>
      <c r="P42" s="53">
        <v>429.18</v>
      </c>
      <c r="Q42" s="53">
        <v>429.18</v>
      </c>
      <c r="R42" s="53">
        <v>429.18</v>
      </c>
      <c r="S42" s="53">
        <v>0</v>
      </c>
      <c r="T42" s="54">
        <v>0</v>
      </c>
      <c r="U42" s="53">
        <v>442.19</v>
      </c>
      <c r="V42" s="53">
        <v>442.19</v>
      </c>
      <c r="W42" s="53">
        <v>442.19</v>
      </c>
      <c r="X42" s="53">
        <v>0</v>
      </c>
      <c r="Y42" s="54">
        <v>0</v>
      </c>
    </row>
    <row r="43" spans="1:25" ht="16.149999999999999" customHeight="1" x14ac:dyDescent="0.2">
      <c r="A43" s="226" t="s">
        <v>81</v>
      </c>
      <c r="B43" s="227"/>
      <c r="C43" s="227"/>
      <c r="D43" s="227"/>
      <c r="E43" s="227"/>
      <c r="F43" s="211" t="s">
        <v>47</v>
      </c>
      <c r="G43" s="212"/>
      <c r="H43" s="212"/>
      <c r="I43" s="212"/>
      <c r="J43" s="213"/>
      <c r="K43" s="211" t="s">
        <v>48</v>
      </c>
      <c r="L43" s="212"/>
      <c r="M43" s="212"/>
      <c r="N43" s="212"/>
      <c r="O43" s="213"/>
      <c r="P43" s="211" t="s">
        <v>49</v>
      </c>
      <c r="Q43" s="212"/>
      <c r="R43" s="212"/>
      <c r="S43" s="212"/>
      <c r="T43" s="213"/>
      <c r="U43" s="211" t="s">
        <v>50</v>
      </c>
      <c r="V43" s="212"/>
      <c r="W43" s="212"/>
      <c r="X43" s="212"/>
      <c r="Y43" s="213"/>
    </row>
    <row r="44" spans="1:25" ht="13.9" customHeight="1" x14ac:dyDescent="0.2">
      <c r="A44" s="228" t="s">
        <v>82</v>
      </c>
      <c r="B44" s="229"/>
      <c r="C44" s="229"/>
      <c r="D44" s="229"/>
      <c r="E44" s="229"/>
      <c r="F44" s="214">
        <v>7505.22</v>
      </c>
      <c r="G44" s="215"/>
      <c r="H44" s="215"/>
      <c r="I44" s="215"/>
      <c r="J44" s="216"/>
      <c r="K44" s="214">
        <v>7836.01</v>
      </c>
      <c r="L44" s="215"/>
      <c r="M44" s="215"/>
      <c r="N44" s="215"/>
      <c r="O44" s="216"/>
      <c r="P44" s="214">
        <v>8287.01</v>
      </c>
      <c r="Q44" s="215"/>
      <c r="R44" s="215"/>
      <c r="S44" s="215"/>
      <c r="T44" s="216"/>
      <c r="U44" s="214">
        <v>8538.2099999999991</v>
      </c>
      <c r="V44" s="215"/>
      <c r="W44" s="215"/>
      <c r="X44" s="215"/>
      <c r="Y44" s="216"/>
    </row>
    <row r="45" spans="1:25" ht="13.9" customHeight="1" x14ac:dyDescent="0.2">
      <c r="A45" s="230" t="s">
        <v>83</v>
      </c>
      <c r="B45" s="231"/>
      <c r="C45" s="231"/>
      <c r="D45" s="231"/>
      <c r="E45" s="231"/>
      <c r="F45" s="208">
        <f>F44*12</f>
        <v>90062.64</v>
      </c>
      <c r="G45" s="209"/>
      <c r="H45" s="209"/>
      <c r="I45" s="209"/>
      <c r="J45" s="210"/>
      <c r="K45" s="208">
        <f>K44*12</f>
        <v>94032.12</v>
      </c>
      <c r="L45" s="209"/>
      <c r="M45" s="209"/>
      <c r="N45" s="209"/>
      <c r="O45" s="210"/>
      <c r="P45" s="208">
        <f>P44*12</f>
        <v>99444.12</v>
      </c>
      <c r="Q45" s="209"/>
      <c r="R45" s="209"/>
      <c r="S45" s="209"/>
      <c r="T45" s="210"/>
      <c r="U45" s="208">
        <f>U44*12</f>
        <v>102458.51999999999</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500-000000000000}"/>
    <hyperlink ref="F46" r:id="rId2" xr:uid="{00000000-0004-0000-5500-000001000000}"/>
    <hyperlink ref="K7" r:id="rId3" xr:uid="{00000000-0004-0000-5500-000002000000}"/>
    <hyperlink ref="K46" r:id="rId4" xr:uid="{00000000-0004-0000-5500-000003000000}"/>
    <hyperlink ref="P7" r:id="rId5" xr:uid="{00000000-0004-0000-5500-000004000000}"/>
    <hyperlink ref="P46" r:id="rId6" xr:uid="{00000000-0004-0000-5500-000005000000}"/>
    <hyperlink ref="U7" r:id="rId7" xr:uid="{00000000-0004-0000-5500-000006000000}"/>
    <hyperlink ref="U46" r:id="rId8" xr:uid="{00000000-0004-0000-55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15A8-7F3B-4AA9-BFB0-85257AF17E2D}">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152</v>
      </c>
      <c r="G6" s="122"/>
      <c r="H6" s="122"/>
      <c r="I6" s="122"/>
      <c r="J6" s="124"/>
      <c r="K6" s="121" t="s">
        <v>154</v>
      </c>
      <c r="L6" s="122"/>
      <c r="M6" s="122"/>
      <c r="N6" s="122"/>
      <c r="O6" s="124"/>
      <c r="P6" s="121" t="s">
        <v>156</v>
      </c>
      <c r="Q6" s="122"/>
      <c r="R6" s="122"/>
      <c r="S6" s="122"/>
      <c r="T6" s="124"/>
      <c r="U6" s="121" t="s">
        <v>158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153</v>
      </c>
      <c r="G8" s="233"/>
      <c r="H8" s="233"/>
      <c r="I8" s="233"/>
      <c r="J8" s="234"/>
      <c r="K8" s="232" t="s">
        <v>155</v>
      </c>
      <c r="L8" s="233"/>
      <c r="M8" s="233"/>
      <c r="N8" s="233"/>
      <c r="O8" s="234"/>
      <c r="P8" s="232" t="s">
        <v>157</v>
      </c>
      <c r="Q8" s="233"/>
      <c r="R8" s="233"/>
      <c r="S8" s="233"/>
      <c r="T8" s="234"/>
      <c r="U8" s="232" t="s">
        <v>159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1754.01</v>
      </c>
      <c r="G10" s="53">
        <v>801.27</v>
      </c>
      <c r="H10" s="53">
        <v>801.27</v>
      </c>
      <c r="I10" s="53">
        <v>0</v>
      </c>
      <c r="J10" s="54">
        <v>0</v>
      </c>
      <c r="K10" s="53">
        <v>1911.09</v>
      </c>
      <c r="L10" s="53">
        <v>873.03</v>
      </c>
      <c r="M10" s="53">
        <v>873.03</v>
      </c>
      <c r="N10" s="53">
        <v>0</v>
      </c>
      <c r="O10" s="54">
        <v>0</v>
      </c>
      <c r="P10" s="53">
        <v>2152.44</v>
      </c>
      <c r="Q10" s="53">
        <v>983.28</v>
      </c>
      <c r="R10" s="53">
        <v>983.28</v>
      </c>
      <c r="S10" s="53">
        <v>0</v>
      </c>
      <c r="T10" s="54">
        <v>0</v>
      </c>
      <c r="U10" s="53">
        <v>2228.04</v>
      </c>
      <c r="V10" s="53">
        <v>1017.82</v>
      </c>
      <c r="W10" s="53">
        <v>1017.82</v>
      </c>
      <c r="X10" s="53">
        <v>0</v>
      </c>
      <c r="Y10" s="54">
        <v>0</v>
      </c>
    </row>
    <row r="11" spans="1:25" x14ac:dyDescent="0.2">
      <c r="A11" s="50" t="s">
        <v>106</v>
      </c>
      <c r="B11" s="51" t="s">
        <v>107</v>
      </c>
      <c r="C11" s="51"/>
      <c r="D11" s="52">
        <v>27837</v>
      </c>
      <c r="E11" s="51" t="s">
        <v>105</v>
      </c>
      <c r="F11" s="53"/>
      <c r="G11" s="53">
        <v>611.85</v>
      </c>
      <c r="H11" s="53">
        <v>611.85</v>
      </c>
      <c r="I11" s="53">
        <v>0</v>
      </c>
      <c r="J11" s="54"/>
      <c r="K11" s="53"/>
      <c r="L11" s="53">
        <v>666.64</v>
      </c>
      <c r="M11" s="53">
        <v>666.64</v>
      </c>
      <c r="N11" s="53">
        <v>0</v>
      </c>
      <c r="O11" s="54"/>
      <c r="P11" s="53"/>
      <c r="Q11" s="53">
        <v>750.83</v>
      </c>
      <c r="R11" s="53">
        <v>750.83</v>
      </c>
      <c r="S11" s="53">
        <v>0</v>
      </c>
      <c r="T11" s="54"/>
      <c r="U11" s="53"/>
      <c r="V11" s="53">
        <v>777.2</v>
      </c>
      <c r="W11" s="53">
        <v>777.2</v>
      </c>
      <c r="X11" s="53">
        <v>0</v>
      </c>
      <c r="Y11" s="54"/>
    </row>
    <row r="12" spans="1:25" x14ac:dyDescent="0.2">
      <c r="A12" s="50" t="s">
        <v>108</v>
      </c>
      <c r="B12" s="51" t="s">
        <v>109</v>
      </c>
      <c r="C12" s="51"/>
      <c r="D12" s="52">
        <v>38648</v>
      </c>
      <c r="E12" s="51" t="s">
        <v>105</v>
      </c>
      <c r="F12" s="53"/>
      <c r="G12" s="53">
        <v>340.89</v>
      </c>
      <c r="H12" s="53">
        <v>340.89</v>
      </c>
      <c r="I12" s="53">
        <v>0</v>
      </c>
      <c r="J12" s="54"/>
      <c r="K12" s="53"/>
      <c r="L12" s="53">
        <v>371.42</v>
      </c>
      <c r="M12" s="53">
        <v>371.42</v>
      </c>
      <c r="N12" s="53">
        <v>0</v>
      </c>
      <c r="O12" s="54"/>
      <c r="P12" s="53"/>
      <c r="Q12" s="53">
        <v>418.33</v>
      </c>
      <c r="R12" s="53">
        <v>418.33</v>
      </c>
      <c r="S12" s="53">
        <v>0</v>
      </c>
      <c r="T12" s="54"/>
      <c r="U12" s="53"/>
      <c r="V12" s="53">
        <v>433.02</v>
      </c>
      <c r="W12" s="53">
        <v>433.02</v>
      </c>
      <c r="X12" s="53">
        <v>0</v>
      </c>
      <c r="Y12" s="54"/>
    </row>
    <row r="13" spans="1:25" x14ac:dyDescent="0.2">
      <c r="A13" s="50" t="s">
        <v>110</v>
      </c>
      <c r="B13" s="51" t="s">
        <v>65</v>
      </c>
      <c r="C13" s="51" t="s">
        <v>65</v>
      </c>
      <c r="D13" s="52">
        <v>36345</v>
      </c>
      <c r="E13" s="51" t="s">
        <v>111</v>
      </c>
      <c r="F13" s="53">
        <v>439.29</v>
      </c>
      <c r="G13" s="53">
        <v>439.29</v>
      </c>
      <c r="H13" s="53">
        <v>439.29</v>
      </c>
      <c r="I13" s="53">
        <v>0</v>
      </c>
      <c r="J13" s="54">
        <v>0</v>
      </c>
      <c r="K13" s="53">
        <v>478.64</v>
      </c>
      <c r="L13" s="53">
        <v>478.64</v>
      </c>
      <c r="M13" s="53">
        <v>478.64</v>
      </c>
      <c r="N13" s="53">
        <v>0</v>
      </c>
      <c r="O13" s="54">
        <v>0</v>
      </c>
      <c r="P13" s="53">
        <v>539.08000000000004</v>
      </c>
      <c r="Q13" s="53">
        <v>539.08000000000004</v>
      </c>
      <c r="R13" s="53">
        <v>539.08000000000004</v>
      </c>
      <c r="S13" s="53">
        <v>0</v>
      </c>
      <c r="T13" s="54">
        <v>0</v>
      </c>
      <c r="U13" s="53">
        <v>558.01</v>
      </c>
      <c r="V13" s="53">
        <v>558.01</v>
      </c>
      <c r="W13" s="53">
        <v>558.01</v>
      </c>
      <c r="X13" s="53">
        <v>0</v>
      </c>
      <c r="Y13" s="54">
        <v>0</v>
      </c>
    </row>
    <row r="14" spans="1:25" x14ac:dyDescent="0.2">
      <c r="A14" s="50" t="s">
        <v>112</v>
      </c>
      <c r="B14" s="51" t="s">
        <v>65</v>
      </c>
      <c r="C14" s="51" t="s">
        <v>104</v>
      </c>
      <c r="D14" s="52">
        <v>24895</v>
      </c>
      <c r="E14" s="51" t="s">
        <v>113</v>
      </c>
      <c r="F14" s="53">
        <v>1917.42</v>
      </c>
      <c r="G14" s="53">
        <v>775.26</v>
      </c>
      <c r="H14" s="53">
        <v>775.26</v>
      </c>
      <c r="I14" s="53">
        <v>0</v>
      </c>
      <c r="J14" s="54">
        <v>0</v>
      </c>
      <c r="K14" s="53">
        <v>2089.15</v>
      </c>
      <c r="L14" s="53">
        <v>844.7</v>
      </c>
      <c r="M14" s="53">
        <v>844.7</v>
      </c>
      <c r="N14" s="53">
        <v>0</v>
      </c>
      <c r="O14" s="54">
        <v>0</v>
      </c>
      <c r="P14" s="53">
        <v>2352.98</v>
      </c>
      <c r="Q14" s="53">
        <v>951.37</v>
      </c>
      <c r="R14" s="53">
        <v>951.37</v>
      </c>
      <c r="S14" s="53">
        <v>0</v>
      </c>
      <c r="T14" s="54">
        <v>0</v>
      </c>
      <c r="U14" s="53">
        <v>2435.62</v>
      </c>
      <c r="V14" s="53">
        <v>984.78</v>
      </c>
      <c r="W14" s="53">
        <v>984.78</v>
      </c>
      <c r="X14" s="53">
        <v>0</v>
      </c>
      <c r="Y14" s="54">
        <v>0</v>
      </c>
    </row>
    <row r="15" spans="1:25" x14ac:dyDescent="0.2">
      <c r="A15" s="50" t="s">
        <v>114</v>
      </c>
      <c r="B15" s="51" t="s">
        <v>107</v>
      </c>
      <c r="C15" s="51"/>
      <c r="D15" s="52">
        <v>24269</v>
      </c>
      <c r="E15" s="51" t="s">
        <v>113</v>
      </c>
      <c r="F15" s="53"/>
      <c r="G15" s="53">
        <v>801.27</v>
      </c>
      <c r="H15" s="53">
        <v>801.27</v>
      </c>
      <c r="I15" s="53">
        <v>0</v>
      </c>
      <c r="J15" s="54"/>
      <c r="K15" s="53"/>
      <c r="L15" s="53">
        <v>873.03</v>
      </c>
      <c r="M15" s="53">
        <v>873.03</v>
      </c>
      <c r="N15" s="53">
        <v>0</v>
      </c>
      <c r="O15" s="54"/>
      <c r="P15" s="53"/>
      <c r="Q15" s="53">
        <v>983.28</v>
      </c>
      <c r="R15" s="53">
        <v>983.28</v>
      </c>
      <c r="S15" s="53">
        <v>0</v>
      </c>
      <c r="T15" s="54"/>
      <c r="U15" s="53"/>
      <c r="V15" s="53">
        <v>1017.82</v>
      </c>
      <c r="W15" s="53">
        <v>1017.82</v>
      </c>
      <c r="X15" s="53">
        <v>0</v>
      </c>
      <c r="Y15" s="54"/>
    </row>
    <row r="16" spans="1:25" x14ac:dyDescent="0.2">
      <c r="A16" s="50" t="s">
        <v>115</v>
      </c>
      <c r="B16" s="51" t="s">
        <v>109</v>
      </c>
      <c r="C16" s="51"/>
      <c r="D16" s="52">
        <v>38614</v>
      </c>
      <c r="E16" s="51" t="s">
        <v>113</v>
      </c>
      <c r="F16" s="53"/>
      <c r="G16" s="53">
        <v>340.89</v>
      </c>
      <c r="H16" s="53">
        <v>340.89</v>
      </c>
      <c r="I16" s="53">
        <v>0</v>
      </c>
      <c r="J16" s="54"/>
      <c r="K16" s="53"/>
      <c r="L16" s="53">
        <v>371.42</v>
      </c>
      <c r="M16" s="53">
        <v>371.42</v>
      </c>
      <c r="N16" s="53">
        <v>0</v>
      </c>
      <c r="O16" s="54"/>
      <c r="P16" s="53"/>
      <c r="Q16" s="53">
        <v>418.33</v>
      </c>
      <c r="R16" s="53">
        <v>418.33</v>
      </c>
      <c r="S16" s="53">
        <v>0</v>
      </c>
      <c r="T16" s="54"/>
      <c r="U16" s="53"/>
      <c r="V16" s="53">
        <v>433.02</v>
      </c>
      <c r="W16" s="53">
        <v>433.02</v>
      </c>
      <c r="X16" s="53">
        <v>0</v>
      </c>
      <c r="Y16" s="54"/>
    </row>
    <row r="17" spans="1:25" x14ac:dyDescent="0.2">
      <c r="A17" s="50" t="s">
        <v>116</v>
      </c>
      <c r="B17" s="51" t="s">
        <v>65</v>
      </c>
      <c r="C17" s="51" t="s">
        <v>117</v>
      </c>
      <c r="D17" s="52">
        <v>18453</v>
      </c>
      <c r="E17" s="51" t="s">
        <v>118</v>
      </c>
      <c r="F17" s="53">
        <v>1602.54</v>
      </c>
      <c r="G17" s="53">
        <v>801.27</v>
      </c>
      <c r="H17" s="53">
        <v>801.27</v>
      </c>
      <c r="I17" s="53">
        <v>0</v>
      </c>
      <c r="J17" s="54">
        <v>0</v>
      </c>
      <c r="K17" s="53">
        <v>1746.06</v>
      </c>
      <c r="L17" s="53">
        <v>873.03</v>
      </c>
      <c r="M17" s="53">
        <v>873.03</v>
      </c>
      <c r="N17" s="53">
        <v>0</v>
      </c>
      <c r="O17" s="54">
        <v>0</v>
      </c>
      <c r="P17" s="53">
        <v>1966.56</v>
      </c>
      <c r="Q17" s="53">
        <v>983.28</v>
      </c>
      <c r="R17" s="53">
        <v>983.28</v>
      </c>
      <c r="S17" s="53">
        <v>0</v>
      </c>
      <c r="T17" s="54">
        <v>0</v>
      </c>
      <c r="U17" s="53">
        <v>2035.64</v>
      </c>
      <c r="V17" s="53">
        <v>1017.82</v>
      </c>
      <c r="W17" s="53">
        <v>1017.82</v>
      </c>
      <c r="X17" s="53">
        <v>0</v>
      </c>
      <c r="Y17" s="54">
        <v>0</v>
      </c>
    </row>
    <row r="18" spans="1:25" x14ac:dyDescent="0.2">
      <c r="A18" s="50" t="s">
        <v>119</v>
      </c>
      <c r="B18" s="51" t="s">
        <v>107</v>
      </c>
      <c r="C18" s="51"/>
      <c r="D18" s="52">
        <v>19761</v>
      </c>
      <c r="E18" s="51" t="s">
        <v>118</v>
      </c>
      <c r="F18" s="53"/>
      <c r="G18" s="53">
        <v>801.27</v>
      </c>
      <c r="H18" s="53">
        <v>801.27</v>
      </c>
      <c r="I18" s="53">
        <v>0</v>
      </c>
      <c r="J18" s="54"/>
      <c r="K18" s="53"/>
      <c r="L18" s="53">
        <v>873.03</v>
      </c>
      <c r="M18" s="53">
        <v>873.03</v>
      </c>
      <c r="N18" s="53">
        <v>0</v>
      </c>
      <c r="O18" s="54"/>
      <c r="P18" s="53"/>
      <c r="Q18" s="53">
        <v>983.28</v>
      </c>
      <c r="R18" s="53">
        <v>983.28</v>
      </c>
      <c r="S18" s="53">
        <v>0</v>
      </c>
      <c r="T18" s="54"/>
      <c r="U18" s="53"/>
      <c r="V18" s="53">
        <v>1017.82</v>
      </c>
      <c r="W18" s="53">
        <v>1017.82</v>
      </c>
      <c r="X18" s="53">
        <v>0</v>
      </c>
      <c r="Y18" s="54"/>
    </row>
    <row r="19" spans="1:25" x14ac:dyDescent="0.2">
      <c r="A19" s="50" t="s">
        <v>120</v>
      </c>
      <c r="B19" s="51" t="s">
        <v>65</v>
      </c>
      <c r="C19" s="51" t="s">
        <v>65</v>
      </c>
      <c r="D19" s="52">
        <v>35733</v>
      </c>
      <c r="E19" s="51" t="s">
        <v>121</v>
      </c>
      <c r="F19" s="53">
        <v>439.29</v>
      </c>
      <c r="G19" s="53">
        <v>439.29</v>
      </c>
      <c r="H19" s="53">
        <v>439.29</v>
      </c>
      <c r="I19" s="53">
        <v>0</v>
      </c>
      <c r="J19" s="54">
        <v>0</v>
      </c>
      <c r="K19" s="53">
        <v>478.64</v>
      </c>
      <c r="L19" s="53">
        <v>478.64</v>
      </c>
      <c r="M19" s="53">
        <v>478.64</v>
      </c>
      <c r="N19" s="53">
        <v>0</v>
      </c>
      <c r="O19" s="54">
        <v>0</v>
      </c>
      <c r="P19" s="53">
        <v>539.08000000000004</v>
      </c>
      <c r="Q19" s="53">
        <v>539.08000000000004</v>
      </c>
      <c r="R19" s="53">
        <v>539.08000000000004</v>
      </c>
      <c r="S19" s="53">
        <v>0</v>
      </c>
      <c r="T19" s="54">
        <v>0</v>
      </c>
      <c r="U19" s="53">
        <v>558.01</v>
      </c>
      <c r="V19" s="53">
        <v>558.01</v>
      </c>
      <c r="W19" s="53">
        <v>558.01</v>
      </c>
      <c r="X19" s="53">
        <v>0</v>
      </c>
      <c r="Y19" s="54">
        <v>0</v>
      </c>
    </row>
    <row r="20" spans="1:25" x14ac:dyDescent="0.2">
      <c r="A20" s="50" t="s">
        <v>122</v>
      </c>
      <c r="B20" s="51" t="s">
        <v>65</v>
      </c>
      <c r="C20" s="51" t="s">
        <v>104</v>
      </c>
      <c r="D20" s="52">
        <v>24958</v>
      </c>
      <c r="E20" s="51" t="s">
        <v>123</v>
      </c>
      <c r="F20" s="53">
        <v>2199.62</v>
      </c>
      <c r="G20" s="53">
        <v>775.26</v>
      </c>
      <c r="H20" s="53">
        <v>775.26</v>
      </c>
      <c r="I20" s="53">
        <v>0</v>
      </c>
      <c r="J20" s="54">
        <v>0</v>
      </c>
      <c r="K20" s="53">
        <v>2396.63</v>
      </c>
      <c r="L20" s="53">
        <v>844.7</v>
      </c>
      <c r="M20" s="53">
        <v>844.7</v>
      </c>
      <c r="N20" s="53">
        <v>0</v>
      </c>
      <c r="O20" s="54">
        <v>0</v>
      </c>
      <c r="P20" s="53">
        <v>2699.29</v>
      </c>
      <c r="Q20" s="53">
        <v>951.37</v>
      </c>
      <c r="R20" s="53">
        <v>951.37</v>
      </c>
      <c r="S20" s="53">
        <v>0</v>
      </c>
      <c r="T20" s="54">
        <v>0</v>
      </c>
      <c r="U20" s="53">
        <v>2794.08</v>
      </c>
      <c r="V20" s="53">
        <v>984.78</v>
      </c>
      <c r="W20" s="53">
        <v>984.78</v>
      </c>
      <c r="X20" s="53">
        <v>0</v>
      </c>
      <c r="Y20" s="54">
        <v>0</v>
      </c>
    </row>
    <row r="21" spans="1:25" x14ac:dyDescent="0.2">
      <c r="A21" s="50" t="s">
        <v>124</v>
      </c>
      <c r="B21" s="51" t="s">
        <v>107</v>
      </c>
      <c r="C21" s="51"/>
      <c r="D21" s="52">
        <v>25342</v>
      </c>
      <c r="E21" s="51" t="s">
        <v>123</v>
      </c>
      <c r="F21" s="53"/>
      <c r="G21" s="53">
        <v>752.77</v>
      </c>
      <c r="H21" s="53">
        <v>752.77</v>
      </c>
      <c r="I21" s="53">
        <v>0</v>
      </c>
      <c r="J21" s="54"/>
      <c r="K21" s="53"/>
      <c r="L21" s="53">
        <v>820.19</v>
      </c>
      <c r="M21" s="53">
        <v>820.19</v>
      </c>
      <c r="N21" s="53">
        <v>0</v>
      </c>
      <c r="O21" s="54"/>
      <c r="P21" s="53"/>
      <c r="Q21" s="53">
        <v>923.77</v>
      </c>
      <c r="R21" s="53">
        <v>923.77</v>
      </c>
      <c r="S21" s="53">
        <v>0</v>
      </c>
      <c r="T21" s="54"/>
      <c r="U21" s="53"/>
      <c r="V21" s="53">
        <v>956.21</v>
      </c>
      <c r="W21" s="53">
        <v>956.21</v>
      </c>
      <c r="X21" s="53">
        <v>0</v>
      </c>
      <c r="Y21" s="54"/>
    </row>
    <row r="22" spans="1:25" x14ac:dyDescent="0.2">
      <c r="A22" s="50" t="s">
        <v>125</v>
      </c>
      <c r="B22" s="51" t="s">
        <v>109</v>
      </c>
      <c r="C22" s="51"/>
      <c r="D22" s="52">
        <v>38632</v>
      </c>
      <c r="E22" s="51" t="s">
        <v>123</v>
      </c>
      <c r="F22" s="53"/>
      <c r="G22" s="53">
        <v>340.89</v>
      </c>
      <c r="H22" s="53">
        <v>340.89</v>
      </c>
      <c r="I22" s="53">
        <v>0</v>
      </c>
      <c r="J22" s="54"/>
      <c r="K22" s="53"/>
      <c r="L22" s="53">
        <v>371.42</v>
      </c>
      <c r="M22" s="53">
        <v>371.42</v>
      </c>
      <c r="N22" s="53">
        <v>0</v>
      </c>
      <c r="O22" s="54"/>
      <c r="P22" s="53"/>
      <c r="Q22" s="53">
        <v>418.33</v>
      </c>
      <c r="R22" s="53">
        <v>418.33</v>
      </c>
      <c r="S22" s="53">
        <v>0</v>
      </c>
      <c r="T22" s="54"/>
      <c r="U22" s="53"/>
      <c r="V22" s="53">
        <v>433.02</v>
      </c>
      <c r="W22" s="53">
        <v>433.02</v>
      </c>
      <c r="X22" s="53">
        <v>0</v>
      </c>
      <c r="Y22" s="54"/>
    </row>
    <row r="23" spans="1:25" x14ac:dyDescent="0.2">
      <c r="A23" s="50" t="s">
        <v>126</v>
      </c>
      <c r="B23" s="51" t="s">
        <v>109</v>
      </c>
      <c r="C23" s="51"/>
      <c r="D23" s="52">
        <v>39092</v>
      </c>
      <c r="E23" s="51" t="s">
        <v>123</v>
      </c>
      <c r="F23" s="53"/>
      <c r="G23" s="53">
        <v>330.7</v>
      </c>
      <c r="H23" s="53">
        <v>330.7</v>
      </c>
      <c r="I23" s="53">
        <v>0</v>
      </c>
      <c r="J23" s="54"/>
      <c r="K23" s="53"/>
      <c r="L23" s="53">
        <v>360.32</v>
      </c>
      <c r="M23" s="53">
        <v>360.32</v>
      </c>
      <c r="N23" s="53">
        <v>0</v>
      </c>
      <c r="O23" s="54"/>
      <c r="P23" s="53"/>
      <c r="Q23" s="53">
        <v>405.82</v>
      </c>
      <c r="R23" s="53">
        <v>405.82</v>
      </c>
      <c r="S23" s="53">
        <v>0</v>
      </c>
      <c r="T23" s="54"/>
      <c r="U23" s="53"/>
      <c r="V23" s="53">
        <v>420.07</v>
      </c>
      <c r="W23" s="53">
        <v>420.07</v>
      </c>
      <c r="X23" s="53">
        <v>0</v>
      </c>
      <c r="Y23" s="54"/>
    </row>
    <row r="24" spans="1:25" x14ac:dyDescent="0.2">
      <c r="A24" s="50" t="s">
        <v>127</v>
      </c>
      <c r="B24" s="51" t="s">
        <v>65</v>
      </c>
      <c r="C24" s="51" t="s">
        <v>117</v>
      </c>
      <c r="D24" s="52">
        <v>21309</v>
      </c>
      <c r="E24" s="51" t="s">
        <v>96</v>
      </c>
      <c r="F24" s="53">
        <v>1602.54</v>
      </c>
      <c r="G24" s="53">
        <v>801.27</v>
      </c>
      <c r="H24" s="53">
        <v>801.27</v>
      </c>
      <c r="I24" s="53">
        <v>0</v>
      </c>
      <c r="J24" s="54">
        <v>0</v>
      </c>
      <c r="K24" s="53">
        <v>1746.06</v>
      </c>
      <c r="L24" s="53">
        <v>873.03</v>
      </c>
      <c r="M24" s="53">
        <v>873.03</v>
      </c>
      <c r="N24" s="53">
        <v>0</v>
      </c>
      <c r="O24" s="54">
        <v>0</v>
      </c>
      <c r="P24" s="53">
        <v>1966.56</v>
      </c>
      <c r="Q24" s="53">
        <v>983.28</v>
      </c>
      <c r="R24" s="53">
        <v>983.28</v>
      </c>
      <c r="S24" s="53">
        <v>0</v>
      </c>
      <c r="T24" s="54">
        <v>0</v>
      </c>
      <c r="U24" s="53">
        <v>2035.64</v>
      </c>
      <c r="V24" s="53">
        <v>1017.82</v>
      </c>
      <c r="W24" s="53">
        <v>1017.82</v>
      </c>
      <c r="X24" s="53">
        <v>0</v>
      </c>
      <c r="Y24" s="54">
        <v>0</v>
      </c>
    </row>
    <row r="25" spans="1:25" x14ac:dyDescent="0.2">
      <c r="A25" s="50" t="s">
        <v>128</v>
      </c>
      <c r="B25" s="51" t="s">
        <v>107</v>
      </c>
      <c r="C25" s="51"/>
      <c r="D25" s="52">
        <v>23570</v>
      </c>
      <c r="E25" s="51" t="s">
        <v>96</v>
      </c>
      <c r="F25" s="53"/>
      <c r="G25" s="53">
        <v>801.27</v>
      </c>
      <c r="H25" s="53">
        <v>801.27</v>
      </c>
      <c r="I25" s="53">
        <v>0</v>
      </c>
      <c r="J25" s="54"/>
      <c r="K25" s="53"/>
      <c r="L25" s="53">
        <v>873.03</v>
      </c>
      <c r="M25" s="53">
        <v>873.03</v>
      </c>
      <c r="N25" s="53">
        <v>0</v>
      </c>
      <c r="O25" s="54"/>
      <c r="P25" s="53"/>
      <c r="Q25" s="53">
        <v>983.28</v>
      </c>
      <c r="R25" s="53">
        <v>983.28</v>
      </c>
      <c r="S25" s="53">
        <v>0</v>
      </c>
      <c r="T25" s="54"/>
      <c r="U25" s="53"/>
      <c r="V25" s="53">
        <v>1017.82</v>
      </c>
      <c r="W25" s="53">
        <v>1017.82</v>
      </c>
      <c r="X25" s="53">
        <v>0</v>
      </c>
      <c r="Y25" s="54"/>
    </row>
    <row r="26" spans="1:25" x14ac:dyDescent="0.2">
      <c r="A26" s="50" t="s">
        <v>129</v>
      </c>
      <c r="B26" s="51" t="s">
        <v>65</v>
      </c>
      <c r="C26" s="51" t="s">
        <v>65</v>
      </c>
      <c r="D26" s="52">
        <v>24147</v>
      </c>
      <c r="E26" s="51" t="s">
        <v>113</v>
      </c>
      <c r="F26" s="53">
        <v>801.27</v>
      </c>
      <c r="G26" s="53">
        <v>801.27</v>
      </c>
      <c r="H26" s="53">
        <v>801.27</v>
      </c>
      <c r="I26" s="53">
        <v>0</v>
      </c>
      <c r="J26" s="54">
        <v>0</v>
      </c>
      <c r="K26" s="53">
        <v>873.03</v>
      </c>
      <c r="L26" s="53">
        <v>873.03</v>
      </c>
      <c r="M26" s="53">
        <v>873.03</v>
      </c>
      <c r="N26" s="53">
        <v>0</v>
      </c>
      <c r="O26" s="54">
        <v>0</v>
      </c>
      <c r="P26" s="53">
        <v>983.28</v>
      </c>
      <c r="Q26" s="53">
        <v>983.28</v>
      </c>
      <c r="R26" s="53">
        <v>983.28</v>
      </c>
      <c r="S26" s="53">
        <v>0</v>
      </c>
      <c r="T26" s="54">
        <v>0</v>
      </c>
      <c r="U26" s="53">
        <v>1017.82</v>
      </c>
      <c r="V26" s="53">
        <v>1017.82</v>
      </c>
      <c r="W26" s="53">
        <v>1017.82</v>
      </c>
      <c r="X26" s="53">
        <v>0</v>
      </c>
      <c r="Y26" s="54">
        <v>0</v>
      </c>
    </row>
    <row r="27" spans="1:25" x14ac:dyDescent="0.2">
      <c r="A27" s="50" t="s">
        <v>130</v>
      </c>
      <c r="B27" s="51" t="s">
        <v>65</v>
      </c>
      <c r="C27" s="51" t="s">
        <v>65</v>
      </c>
      <c r="D27" s="52">
        <v>25210</v>
      </c>
      <c r="E27" s="51" t="s">
        <v>131</v>
      </c>
      <c r="F27" s="53">
        <v>752.77</v>
      </c>
      <c r="G27" s="53">
        <v>752.77</v>
      </c>
      <c r="H27" s="53">
        <v>752.77</v>
      </c>
      <c r="I27" s="53">
        <v>0</v>
      </c>
      <c r="J27" s="54">
        <v>0</v>
      </c>
      <c r="K27" s="53">
        <v>820.19</v>
      </c>
      <c r="L27" s="53">
        <v>820.19</v>
      </c>
      <c r="M27" s="53">
        <v>820.19</v>
      </c>
      <c r="N27" s="53">
        <v>0</v>
      </c>
      <c r="O27" s="54">
        <v>0</v>
      </c>
      <c r="P27" s="53">
        <v>923.77</v>
      </c>
      <c r="Q27" s="53">
        <v>923.77</v>
      </c>
      <c r="R27" s="53">
        <v>923.77</v>
      </c>
      <c r="S27" s="53">
        <v>0</v>
      </c>
      <c r="T27" s="54">
        <v>0</v>
      </c>
      <c r="U27" s="53">
        <v>956.21</v>
      </c>
      <c r="V27" s="53">
        <v>956.21</v>
      </c>
      <c r="W27" s="53">
        <v>956.21</v>
      </c>
      <c r="X27" s="53">
        <v>0</v>
      </c>
      <c r="Y27" s="54">
        <v>0</v>
      </c>
    </row>
    <row r="28" spans="1:25" x14ac:dyDescent="0.2">
      <c r="A28" s="50" t="s">
        <v>132</v>
      </c>
      <c r="B28" s="51" t="s">
        <v>65</v>
      </c>
      <c r="C28" s="51" t="s">
        <v>65</v>
      </c>
      <c r="D28" s="52">
        <v>35103</v>
      </c>
      <c r="E28" s="51" t="s">
        <v>113</v>
      </c>
      <c r="F28" s="53">
        <v>452.3</v>
      </c>
      <c r="G28" s="53">
        <v>452.3</v>
      </c>
      <c r="H28" s="53">
        <v>452.3</v>
      </c>
      <c r="I28" s="53">
        <v>0</v>
      </c>
      <c r="J28" s="54">
        <v>0</v>
      </c>
      <c r="K28" s="53">
        <v>492.8</v>
      </c>
      <c r="L28" s="53">
        <v>492.8</v>
      </c>
      <c r="M28" s="53">
        <v>492.8</v>
      </c>
      <c r="N28" s="53">
        <v>0</v>
      </c>
      <c r="O28" s="54">
        <v>0</v>
      </c>
      <c r="P28" s="53">
        <v>555.04</v>
      </c>
      <c r="Q28" s="53">
        <v>555.04</v>
      </c>
      <c r="R28" s="53">
        <v>555.04</v>
      </c>
      <c r="S28" s="53">
        <v>0</v>
      </c>
      <c r="T28" s="54">
        <v>0</v>
      </c>
      <c r="U28" s="53">
        <v>574.53</v>
      </c>
      <c r="V28" s="53">
        <v>574.53</v>
      </c>
      <c r="W28" s="53">
        <v>574.53</v>
      </c>
      <c r="X28" s="53">
        <v>0</v>
      </c>
      <c r="Y28" s="54">
        <v>0</v>
      </c>
    </row>
    <row r="29" spans="1:25" x14ac:dyDescent="0.2">
      <c r="A29" s="50" t="s">
        <v>133</v>
      </c>
      <c r="B29" s="51" t="s">
        <v>65</v>
      </c>
      <c r="C29" s="51" t="s">
        <v>117</v>
      </c>
      <c r="D29" s="52">
        <v>27399</v>
      </c>
      <c r="E29" s="51" t="s">
        <v>113</v>
      </c>
      <c r="F29" s="53">
        <v>1160.79</v>
      </c>
      <c r="G29" s="53">
        <v>629.77</v>
      </c>
      <c r="H29" s="53">
        <v>629.77</v>
      </c>
      <c r="I29" s="53">
        <v>0</v>
      </c>
      <c r="J29" s="54">
        <v>0</v>
      </c>
      <c r="K29" s="53">
        <v>1264.75</v>
      </c>
      <c r="L29" s="53">
        <v>686.17</v>
      </c>
      <c r="M29" s="53">
        <v>686.17</v>
      </c>
      <c r="N29" s="53">
        <v>0</v>
      </c>
      <c r="O29" s="54">
        <v>0</v>
      </c>
      <c r="P29" s="53">
        <v>1424.46</v>
      </c>
      <c r="Q29" s="53">
        <v>772.82</v>
      </c>
      <c r="R29" s="53">
        <v>772.82</v>
      </c>
      <c r="S29" s="53">
        <v>0</v>
      </c>
      <c r="T29" s="54">
        <v>0</v>
      </c>
      <c r="U29" s="53">
        <v>1474.5</v>
      </c>
      <c r="V29" s="53">
        <v>799.97</v>
      </c>
      <c r="W29" s="53">
        <v>799.97</v>
      </c>
      <c r="X29" s="53">
        <v>0</v>
      </c>
      <c r="Y29" s="54">
        <v>0</v>
      </c>
    </row>
    <row r="30" spans="1:25" x14ac:dyDescent="0.2">
      <c r="A30" s="50" t="s">
        <v>134</v>
      </c>
      <c r="B30" s="51" t="s">
        <v>107</v>
      </c>
      <c r="C30" s="51"/>
      <c r="D30" s="52">
        <v>29502</v>
      </c>
      <c r="E30" s="51" t="s">
        <v>113</v>
      </c>
      <c r="F30" s="53"/>
      <c r="G30" s="53">
        <v>531.02</v>
      </c>
      <c r="H30" s="53">
        <v>531.02</v>
      </c>
      <c r="I30" s="53">
        <v>0</v>
      </c>
      <c r="J30" s="54"/>
      <c r="K30" s="53"/>
      <c r="L30" s="53">
        <v>578.58000000000004</v>
      </c>
      <c r="M30" s="53">
        <v>578.58000000000004</v>
      </c>
      <c r="N30" s="53">
        <v>0</v>
      </c>
      <c r="O30" s="54"/>
      <c r="P30" s="53"/>
      <c r="Q30" s="53">
        <v>651.64</v>
      </c>
      <c r="R30" s="53">
        <v>651.64</v>
      </c>
      <c r="S30" s="53">
        <v>0</v>
      </c>
      <c r="T30" s="54"/>
      <c r="U30" s="53"/>
      <c r="V30" s="53">
        <v>674.53</v>
      </c>
      <c r="W30" s="53">
        <v>674.53</v>
      </c>
      <c r="X30" s="53">
        <v>0</v>
      </c>
      <c r="Y30" s="54"/>
    </row>
    <row r="31" spans="1:25" x14ac:dyDescent="0.2">
      <c r="A31" s="50" t="s">
        <v>135</v>
      </c>
      <c r="B31" s="51" t="s">
        <v>65</v>
      </c>
      <c r="C31" s="51" t="s">
        <v>104</v>
      </c>
      <c r="D31" s="52">
        <v>24592</v>
      </c>
      <c r="E31" s="51" t="s">
        <v>111</v>
      </c>
      <c r="F31" s="53">
        <v>2041.83</v>
      </c>
      <c r="G31" s="53">
        <v>801.27</v>
      </c>
      <c r="H31" s="53">
        <v>801.27</v>
      </c>
      <c r="I31" s="53">
        <v>0</v>
      </c>
      <c r="J31" s="54">
        <v>0</v>
      </c>
      <c r="K31" s="53">
        <v>2224.6999999999998</v>
      </c>
      <c r="L31" s="53">
        <v>873.03</v>
      </c>
      <c r="M31" s="53">
        <v>873.03</v>
      </c>
      <c r="N31" s="53">
        <v>0</v>
      </c>
      <c r="O31" s="54">
        <v>0</v>
      </c>
      <c r="P31" s="53">
        <v>2505.64</v>
      </c>
      <c r="Q31" s="53">
        <v>983.28</v>
      </c>
      <c r="R31" s="53">
        <v>983.28</v>
      </c>
      <c r="S31" s="53">
        <v>0</v>
      </c>
      <c r="T31" s="54">
        <v>0</v>
      </c>
      <c r="U31" s="53">
        <v>2593.65</v>
      </c>
      <c r="V31" s="53">
        <v>1017.82</v>
      </c>
      <c r="W31" s="53">
        <v>1017.82</v>
      </c>
      <c r="X31" s="53">
        <v>0</v>
      </c>
      <c r="Y31" s="54">
        <v>0</v>
      </c>
    </row>
    <row r="32" spans="1:25" x14ac:dyDescent="0.2">
      <c r="A32" s="50" t="s">
        <v>136</v>
      </c>
      <c r="B32" s="51" t="s">
        <v>107</v>
      </c>
      <c r="C32" s="51"/>
      <c r="D32" s="52">
        <v>22616</v>
      </c>
      <c r="E32" s="51" t="s">
        <v>111</v>
      </c>
      <c r="F32" s="53"/>
      <c r="G32" s="53">
        <v>801.27</v>
      </c>
      <c r="H32" s="53">
        <v>801.27</v>
      </c>
      <c r="I32" s="53">
        <v>0</v>
      </c>
      <c r="J32" s="54"/>
      <c r="K32" s="53"/>
      <c r="L32" s="53">
        <v>873.03</v>
      </c>
      <c r="M32" s="53">
        <v>873.03</v>
      </c>
      <c r="N32" s="53">
        <v>0</v>
      </c>
      <c r="O32" s="54"/>
      <c r="P32" s="53"/>
      <c r="Q32" s="53">
        <v>983.28</v>
      </c>
      <c r="R32" s="53">
        <v>983.28</v>
      </c>
      <c r="S32" s="53">
        <v>0</v>
      </c>
      <c r="T32" s="54"/>
      <c r="U32" s="53"/>
      <c r="V32" s="53">
        <v>1017.82</v>
      </c>
      <c r="W32" s="53">
        <v>1017.82</v>
      </c>
      <c r="X32" s="53">
        <v>0</v>
      </c>
      <c r="Y32" s="54"/>
    </row>
    <row r="33" spans="1:25" x14ac:dyDescent="0.2">
      <c r="A33" s="50" t="s">
        <v>137</v>
      </c>
      <c r="B33" s="51" t="s">
        <v>109</v>
      </c>
      <c r="C33" s="51"/>
      <c r="D33" s="52">
        <v>37842</v>
      </c>
      <c r="E33" s="51" t="s">
        <v>111</v>
      </c>
      <c r="F33" s="53"/>
      <c r="G33" s="53">
        <v>439.29</v>
      </c>
      <c r="H33" s="53">
        <v>439.29</v>
      </c>
      <c r="I33" s="53">
        <v>0</v>
      </c>
      <c r="J33" s="54"/>
      <c r="K33" s="53"/>
      <c r="L33" s="53">
        <v>478.64</v>
      </c>
      <c r="M33" s="53">
        <v>478.64</v>
      </c>
      <c r="N33" s="53">
        <v>0</v>
      </c>
      <c r="O33" s="54"/>
      <c r="P33" s="53"/>
      <c r="Q33" s="53">
        <v>539.08000000000004</v>
      </c>
      <c r="R33" s="53">
        <v>539.08000000000004</v>
      </c>
      <c r="S33" s="53">
        <v>0</v>
      </c>
      <c r="T33" s="54"/>
      <c r="U33" s="53"/>
      <c r="V33" s="53">
        <v>558.01</v>
      </c>
      <c r="W33" s="53">
        <v>558.01</v>
      </c>
      <c r="X33" s="53">
        <v>0</v>
      </c>
      <c r="Y33" s="54"/>
    </row>
    <row r="34" spans="1:25" x14ac:dyDescent="0.2">
      <c r="A34" s="50" t="s">
        <v>138</v>
      </c>
      <c r="B34" s="51" t="s">
        <v>65</v>
      </c>
      <c r="C34" s="51" t="s">
        <v>65</v>
      </c>
      <c r="D34" s="52">
        <v>35401</v>
      </c>
      <c r="E34" s="51" t="s">
        <v>113</v>
      </c>
      <c r="F34" s="53">
        <v>448.08</v>
      </c>
      <c r="G34" s="53">
        <v>448.08</v>
      </c>
      <c r="H34" s="53">
        <v>448.08</v>
      </c>
      <c r="I34" s="53">
        <v>0</v>
      </c>
      <c r="J34" s="54">
        <v>0</v>
      </c>
      <c r="K34" s="53">
        <v>488.21</v>
      </c>
      <c r="L34" s="53">
        <v>488.21</v>
      </c>
      <c r="M34" s="53">
        <v>488.21</v>
      </c>
      <c r="N34" s="53">
        <v>0</v>
      </c>
      <c r="O34" s="54">
        <v>0</v>
      </c>
      <c r="P34" s="53">
        <v>549.86</v>
      </c>
      <c r="Q34" s="53">
        <v>549.86</v>
      </c>
      <c r="R34" s="53">
        <v>549.86</v>
      </c>
      <c r="S34" s="53">
        <v>0</v>
      </c>
      <c r="T34" s="54">
        <v>0</v>
      </c>
      <c r="U34" s="53">
        <v>569.16999999999996</v>
      </c>
      <c r="V34" s="53">
        <v>569.16999999999996</v>
      </c>
      <c r="W34" s="53">
        <v>569.16999999999996</v>
      </c>
      <c r="X34" s="53">
        <v>0</v>
      </c>
      <c r="Y34" s="54">
        <v>0</v>
      </c>
    </row>
    <row r="35" spans="1:25" x14ac:dyDescent="0.2">
      <c r="A35" s="50" t="s">
        <v>139</v>
      </c>
      <c r="B35" s="51" t="s">
        <v>65</v>
      </c>
      <c r="C35" s="51" t="s">
        <v>65</v>
      </c>
      <c r="D35" s="52">
        <v>35453</v>
      </c>
      <c r="E35" s="51" t="s">
        <v>113</v>
      </c>
      <c r="F35" s="53">
        <v>448.08</v>
      </c>
      <c r="G35" s="53">
        <v>448.08</v>
      </c>
      <c r="H35" s="53">
        <v>448.08</v>
      </c>
      <c r="I35" s="53">
        <v>0</v>
      </c>
      <c r="J35" s="54">
        <v>0</v>
      </c>
      <c r="K35" s="53">
        <v>488.21</v>
      </c>
      <c r="L35" s="53">
        <v>488.21</v>
      </c>
      <c r="M35" s="53">
        <v>488.21</v>
      </c>
      <c r="N35" s="53">
        <v>0</v>
      </c>
      <c r="O35" s="54">
        <v>0</v>
      </c>
      <c r="P35" s="53">
        <v>549.86</v>
      </c>
      <c r="Q35" s="53">
        <v>549.86</v>
      </c>
      <c r="R35" s="53">
        <v>549.86</v>
      </c>
      <c r="S35" s="53">
        <v>0</v>
      </c>
      <c r="T35" s="54">
        <v>0</v>
      </c>
      <c r="U35" s="53">
        <v>569.16999999999996</v>
      </c>
      <c r="V35" s="53">
        <v>569.16999999999996</v>
      </c>
      <c r="W35" s="53">
        <v>569.16999999999996</v>
      </c>
      <c r="X35" s="53">
        <v>0</v>
      </c>
      <c r="Y35" s="54">
        <v>0</v>
      </c>
    </row>
    <row r="36" spans="1:25" x14ac:dyDescent="0.2">
      <c r="A36" s="50" t="s">
        <v>140</v>
      </c>
      <c r="B36" s="51" t="s">
        <v>65</v>
      </c>
      <c r="C36" s="51" t="s">
        <v>65</v>
      </c>
      <c r="D36" s="52">
        <v>34864</v>
      </c>
      <c r="E36" s="51" t="s">
        <v>118</v>
      </c>
      <c r="F36" s="53">
        <v>452.3</v>
      </c>
      <c r="G36" s="53">
        <v>452.3</v>
      </c>
      <c r="H36" s="53">
        <v>452.3</v>
      </c>
      <c r="I36" s="53">
        <v>0</v>
      </c>
      <c r="J36" s="54">
        <v>0</v>
      </c>
      <c r="K36" s="53">
        <v>492.8</v>
      </c>
      <c r="L36" s="53">
        <v>492.8</v>
      </c>
      <c r="M36" s="53">
        <v>492.8</v>
      </c>
      <c r="N36" s="53">
        <v>0</v>
      </c>
      <c r="O36" s="54">
        <v>0</v>
      </c>
      <c r="P36" s="53">
        <v>555.04</v>
      </c>
      <c r="Q36" s="53">
        <v>555.04</v>
      </c>
      <c r="R36" s="53">
        <v>555.04</v>
      </c>
      <c r="S36" s="53">
        <v>0</v>
      </c>
      <c r="T36" s="54">
        <v>0</v>
      </c>
      <c r="U36" s="53">
        <v>574.53</v>
      </c>
      <c r="V36" s="53">
        <v>574.53</v>
      </c>
      <c r="W36" s="53">
        <v>574.53</v>
      </c>
      <c r="X36" s="53">
        <v>0</v>
      </c>
      <c r="Y36" s="54">
        <v>0</v>
      </c>
    </row>
    <row r="37" spans="1:25" x14ac:dyDescent="0.2">
      <c r="A37" s="50" t="s">
        <v>141</v>
      </c>
      <c r="B37" s="51" t="s">
        <v>65</v>
      </c>
      <c r="C37" s="51" t="s">
        <v>104</v>
      </c>
      <c r="D37" s="52">
        <v>26666</v>
      </c>
      <c r="E37" s="51" t="s">
        <v>118</v>
      </c>
      <c r="F37" s="53">
        <v>2008.44</v>
      </c>
      <c r="G37" s="53">
        <v>668.43</v>
      </c>
      <c r="H37" s="53">
        <v>668.43</v>
      </c>
      <c r="I37" s="53">
        <v>0</v>
      </c>
      <c r="J37" s="54">
        <v>0</v>
      </c>
      <c r="K37" s="53">
        <v>2188.3200000000002</v>
      </c>
      <c r="L37" s="53">
        <v>728.29</v>
      </c>
      <c r="M37" s="53">
        <v>728.29</v>
      </c>
      <c r="N37" s="53">
        <v>0</v>
      </c>
      <c r="O37" s="54">
        <v>0</v>
      </c>
      <c r="P37" s="53">
        <v>2464.67</v>
      </c>
      <c r="Q37" s="53">
        <v>820.26</v>
      </c>
      <c r="R37" s="53">
        <v>820.26</v>
      </c>
      <c r="S37" s="53">
        <v>0</v>
      </c>
      <c r="T37" s="54">
        <v>0</v>
      </c>
      <c r="U37" s="53">
        <v>2551.23</v>
      </c>
      <c r="V37" s="53">
        <v>849.07</v>
      </c>
      <c r="W37" s="53">
        <v>849.07</v>
      </c>
      <c r="X37" s="53">
        <v>0</v>
      </c>
      <c r="Y37" s="54">
        <v>0</v>
      </c>
    </row>
    <row r="38" spans="1:25" x14ac:dyDescent="0.2">
      <c r="A38" s="50" t="s">
        <v>142</v>
      </c>
      <c r="B38" s="51" t="s">
        <v>107</v>
      </c>
      <c r="C38" s="51"/>
      <c r="D38" s="52">
        <v>28717</v>
      </c>
      <c r="E38" s="51" t="s">
        <v>118</v>
      </c>
      <c r="F38" s="53"/>
      <c r="G38" s="53">
        <v>559.83000000000004</v>
      </c>
      <c r="H38" s="53">
        <v>559.83000000000004</v>
      </c>
      <c r="I38" s="53">
        <v>0</v>
      </c>
      <c r="J38" s="54"/>
      <c r="K38" s="53"/>
      <c r="L38" s="53">
        <v>609.97</v>
      </c>
      <c r="M38" s="53">
        <v>609.97</v>
      </c>
      <c r="N38" s="53">
        <v>0</v>
      </c>
      <c r="O38" s="54"/>
      <c r="P38" s="53"/>
      <c r="Q38" s="53">
        <v>687</v>
      </c>
      <c r="R38" s="53">
        <v>687</v>
      </c>
      <c r="S38" s="53">
        <v>0</v>
      </c>
      <c r="T38" s="54"/>
      <c r="U38" s="53"/>
      <c r="V38" s="53">
        <v>711.13</v>
      </c>
      <c r="W38" s="53">
        <v>711.13</v>
      </c>
      <c r="X38" s="53">
        <v>0</v>
      </c>
      <c r="Y38" s="54"/>
    </row>
    <row r="39" spans="1:25" x14ac:dyDescent="0.2">
      <c r="A39" s="50" t="s">
        <v>143</v>
      </c>
      <c r="B39" s="51" t="s">
        <v>109</v>
      </c>
      <c r="C39" s="51"/>
      <c r="D39" s="52">
        <v>37384</v>
      </c>
      <c r="E39" s="51" t="s">
        <v>118</v>
      </c>
      <c r="F39" s="53"/>
      <c r="G39" s="53">
        <v>439.29</v>
      </c>
      <c r="H39" s="53">
        <v>439.29</v>
      </c>
      <c r="I39" s="53">
        <v>0</v>
      </c>
      <c r="J39" s="54"/>
      <c r="K39" s="53"/>
      <c r="L39" s="53">
        <v>478.64</v>
      </c>
      <c r="M39" s="53">
        <v>478.64</v>
      </c>
      <c r="N39" s="53">
        <v>0</v>
      </c>
      <c r="O39" s="54"/>
      <c r="P39" s="53"/>
      <c r="Q39" s="53">
        <v>539.08000000000004</v>
      </c>
      <c r="R39" s="53">
        <v>539.08000000000004</v>
      </c>
      <c r="S39" s="53">
        <v>0</v>
      </c>
      <c r="T39" s="54"/>
      <c r="U39" s="53"/>
      <c r="V39" s="53">
        <v>558.01</v>
      </c>
      <c r="W39" s="53">
        <v>558.01</v>
      </c>
      <c r="X39" s="53">
        <v>0</v>
      </c>
      <c r="Y39" s="54"/>
    </row>
    <row r="40" spans="1:25" x14ac:dyDescent="0.2">
      <c r="A40" s="50" t="s">
        <v>144</v>
      </c>
      <c r="B40" s="51" t="s">
        <v>109</v>
      </c>
      <c r="C40" s="51"/>
      <c r="D40" s="52">
        <v>38688</v>
      </c>
      <c r="E40" s="51" t="s">
        <v>118</v>
      </c>
      <c r="F40" s="53"/>
      <c r="G40" s="53">
        <v>340.89</v>
      </c>
      <c r="H40" s="53">
        <v>340.89</v>
      </c>
      <c r="I40" s="53">
        <v>0</v>
      </c>
      <c r="J40" s="54"/>
      <c r="K40" s="53"/>
      <c r="L40" s="53">
        <v>371.42</v>
      </c>
      <c r="M40" s="53">
        <v>371.42</v>
      </c>
      <c r="N40" s="53">
        <v>0</v>
      </c>
      <c r="O40" s="54"/>
      <c r="P40" s="53"/>
      <c r="Q40" s="53">
        <v>418.33</v>
      </c>
      <c r="R40" s="53">
        <v>418.33</v>
      </c>
      <c r="S40" s="53">
        <v>0</v>
      </c>
      <c r="T40" s="54"/>
      <c r="U40" s="53"/>
      <c r="V40" s="53">
        <v>433.02</v>
      </c>
      <c r="W40" s="53">
        <v>433.02</v>
      </c>
      <c r="X40" s="53">
        <v>0</v>
      </c>
      <c r="Y40" s="54"/>
    </row>
    <row r="41" spans="1:25" x14ac:dyDescent="0.2">
      <c r="A41" s="50" t="s">
        <v>145</v>
      </c>
      <c r="B41" s="51" t="s">
        <v>65</v>
      </c>
      <c r="C41" s="51" t="s">
        <v>65</v>
      </c>
      <c r="D41" s="52">
        <v>36146</v>
      </c>
      <c r="E41" s="51" t="s">
        <v>111</v>
      </c>
      <c r="F41" s="53">
        <v>439.29</v>
      </c>
      <c r="G41" s="53">
        <v>439.29</v>
      </c>
      <c r="H41" s="53">
        <v>439.29</v>
      </c>
      <c r="I41" s="53">
        <v>0</v>
      </c>
      <c r="J41" s="54">
        <v>0</v>
      </c>
      <c r="K41" s="53">
        <v>478.64</v>
      </c>
      <c r="L41" s="53">
        <v>478.64</v>
      </c>
      <c r="M41" s="53">
        <v>478.64</v>
      </c>
      <c r="N41" s="53">
        <v>0</v>
      </c>
      <c r="O41" s="54">
        <v>0</v>
      </c>
      <c r="P41" s="53">
        <v>539.08000000000004</v>
      </c>
      <c r="Q41" s="53">
        <v>539.08000000000004</v>
      </c>
      <c r="R41" s="53">
        <v>539.08000000000004</v>
      </c>
      <c r="S41" s="53">
        <v>0</v>
      </c>
      <c r="T41" s="54">
        <v>0</v>
      </c>
      <c r="U41" s="53">
        <v>558.01</v>
      </c>
      <c r="V41" s="53">
        <v>558.01</v>
      </c>
      <c r="W41" s="53">
        <v>558.01</v>
      </c>
      <c r="X41" s="53">
        <v>0</v>
      </c>
      <c r="Y41" s="54">
        <v>0</v>
      </c>
    </row>
    <row r="42" spans="1:25" x14ac:dyDescent="0.2">
      <c r="A42" s="50" t="s">
        <v>146</v>
      </c>
      <c r="B42" s="51" t="s">
        <v>65</v>
      </c>
      <c r="C42" s="51" t="s">
        <v>65</v>
      </c>
      <c r="D42" s="52">
        <v>35249</v>
      </c>
      <c r="E42" s="51" t="s">
        <v>147</v>
      </c>
      <c r="F42" s="53">
        <v>448.08</v>
      </c>
      <c r="G42" s="53">
        <v>448.08</v>
      </c>
      <c r="H42" s="53">
        <v>448.08</v>
      </c>
      <c r="I42" s="53">
        <v>0</v>
      </c>
      <c r="J42" s="54">
        <v>0</v>
      </c>
      <c r="K42" s="53">
        <v>488.21</v>
      </c>
      <c r="L42" s="53">
        <v>488.21</v>
      </c>
      <c r="M42" s="53">
        <v>488.21</v>
      </c>
      <c r="N42" s="53">
        <v>0</v>
      </c>
      <c r="O42" s="54">
        <v>0</v>
      </c>
      <c r="P42" s="53">
        <v>549.86</v>
      </c>
      <c r="Q42" s="53">
        <v>549.86</v>
      </c>
      <c r="R42" s="53">
        <v>549.86</v>
      </c>
      <c r="S42" s="53">
        <v>0</v>
      </c>
      <c r="T42" s="54">
        <v>0</v>
      </c>
      <c r="U42" s="53">
        <v>569.16999999999996</v>
      </c>
      <c r="V42" s="53">
        <v>569.16999999999996</v>
      </c>
      <c r="W42" s="53">
        <v>569.16999999999996</v>
      </c>
      <c r="X42" s="53">
        <v>0</v>
      </c>
      <c r="Y42" s="54">
        <v>0</v>
      </c>
    </row>
    <row r="43" spans="1:25" ht="16.149999999999999" customHeight="1" x14ac:dyDescent="0.2">
      <c r="A43" s="226" t="s">
        <v>81</v>
      </c>
      <c r="B43" s="227"/>
      <c r="C43" s="227"/>
      <c r="D43" s="227"/>
      <c r="E43" s="227"/>
      <c r="F43" s="211" t="s">
        <v>153</v>
      </c>
      <c r="G43" s="212"/>
      <c r="H43" s="212"/>
      <c r="I43" s="212"/>
      <c r="J43" s="213"/>
      <c r="K43" s="211" t="s">
        <v>155</v>
      </c>
      <c r="L43" s="212"/>
      <c r="M43" s="212"/>
      <c r="N43" s="212"/>
      <c r="O43" s="213"/>
      <c r="P43" s="211" t="s">
        <v>157</v>
      </c>
      <c r="Q43" s="212"/>
      <c r="R43" s="212"/>
      <c r="S43" s="212"/>
      <c r="T43" s="213"/>
      <c r="U43" s="211" t="s">
        <v>159</v>
      </c>
      <c r="V43" s="212"/>
      <c r="W43" s="212"/>
      <c r="X43" s="212"/>
      <c r="Y43" s="213"/>
    </row>
    <row r="44" spans="1:25" ht="13.9" customHeight="1" x14ac:dyDescent="0.2">
      <c r="A44" s="228" t="s">
        <v>82</v>
      </c>
      <c r="B44" s="229"/>
      <c r="C44" s="229"/>
      <c r="D44" s="229"/>
      <c r="E44" s="229"/>
      <c r="F44" s="214">
        <v>8651.9599999999991</v>
      </c>
      <c r="G44" s="215"/>
      <c r="H44" s="215"/>
      <c r="I44" s="215"/>
      <c r="J44" s="216"/>
      <c r="K44" s="214">
        <v>9426.83</v>
      </c>
      <c r="L44" s="215"/>
      <c r="M44" s="215"/>
      <c r="N44" s="215"/>
      <c r="O44" s="216"/>
      <c r="P44" s="214">
        <v>10617.28</v>
      </c>
      <c r="Q44" s="215"/>
      <c r="R44" s="215"/>
      <c r="S44" s="215"/>
      <c r="T44" s="216"/>
      <c r="U44" s="214">
        <v>10990.17</v>
      </c>
      <c r="V44" s="215"/>
      <c r="W44" s="215"/>
      <c r="X44" s="215"/>
      <c r="Y44" s="216"/>
    </row>
    <row r="45" spans="1:25" ht="13.9" customHeight="1" x14ac:dyDescent="0.2">
      <c r="A45" s="230" t="s">
        <v>83</v>
      </c>
      <c r="B45" s="231"/>
      <c r="C45" s="231"/>
      <c r="D45" s="231"/>
      <c r="E45" s="231"/>
      <c r="F45" s="208">
        <f>F44*12</f>
        <v>103823.51999999999</v>
      </c>
      <c r="G45" s="209"/>
      <c r="H45" s="209"/>
      <c r="I45" s="209"/>
      <c r="J45" s="210"/>
      <c r="K45" s="208">
        <f>K44*12</f>
        <v>113121.95999999999</v>
      </c>
      <c r="L45" s="209"/>
      <c r="M45" s="209"/>
      <c r="N45" s="209"/>
      <c r="O45" s="210"/>
      <c r="P45" s="208">
        <f>P44*12</f>
        <v>127407.36000000002</v>
      </c>
      <c r="Q45" s="209"/>
      <c r="R45" s="209"/>
      <c r="S45" s="209"/>
      <c r="T45" s="210"/>
      <c r="U45" s="208">
        <f>U44*12</f>
        <v>131882.04</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600-000000000000}"/>
    <hyperlink ref="F46" r:id="rId2" xr:uid="{00000000-0004-0000-5600-000001000000}"/>
    <hyperlink ref="K7" r:id="rId3" xr:uid="{00000000-0004-0000-5600-000002000000}"/>
    <hyperlink ref="K46" r:id="rId4" xr:uid="{00000000-0004-0000-5600-000003000000}"/>
    <hyperlink ref="P7" r:id="rId5" xr:uid="{00000000-0004-0000-5600-000004000000}"/>
    <hyperlink ref="P46" r:id="rId6" xr:uid="{00000000-0004-0000-5600-000005000000}"/>
    <hyperlink ref="U7" r:id="rId7" xr:uid="{00000000-0004-0000-5600-000006000000}"/>
    <hyperlink ref="U46" r:id="rId8" xr:uid="{00000000-0004-0000-56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F5984-98E4-406F-91D9-4562486E4553}">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160</v>
      </c>
      <c r="G6" s="122"/>
      <c r="H6" s="122"/>
      <c r="I6" s="122"/>
      <c r="J6" s="124"/>
      <c r="K6" s="121" t="s">
        <v>162</v>
      </c>
      <c r="L6" s="122"/>
      <c r="M6" s="122"/>
      <c r="N6" s="122"/>
      <c r="O6" s="124"/>
      <c r="P6" s="121" t="s">
        <v>164</v>
      </c>
      <c r="Q6" s="122"/>
      <c r="R6" s="122"/>
      <c r="S6" s="122"/>
      <c r="T6" s="124"/>
      <c r="U6" s="121" t="s">
        <v>166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161</v>
      </c>
      <c r="G8" s="233"/>
      <c r="H8" s="233"/>
      <c r="I8" s="233"/>
      <c r="J8" s="234"/>
      <c r="K8" s="232" t="s">
        <v>163</v>
      </c>
      <c r="L8" s="233"/>
      <c r="M8" s="233"/>
      <c r="N8" s="233"/>
      <c r="O8" s="234"/>
      <c r="P8" s="232" t="s">
        <v>165</v>
      </c>
      <c r="Q8" s="233"/>
      <c r="R8" s="233"/>
      <c r="S8" s="233"/>
      <c r="T8" s="234"/>
      <c r="U8" s="232" t="s">
        <v>168</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2309.96</v>
      </c>
      <c r="G10" s="53">
        <v>1055.24</v>
      </c>
      <c r="H10" s="53">
        <v>1055.24</v>
      </c>
      <c r="I10" s="53">
        <v>0</v>
      </c>
      <c r="J10" s="54">
        <v>0</v>
      </c>
      <c r="K10" s="53">
        <v>2345.34</v>
      </c>
      <c r="L10" s="53">
        <v>1071.4000000000001</v>
      </c>
      <c r="M10" s="53">
        <v>1071.4000000000001</v>
      </c>
      <c r="N10" s="53">
        <v>0</v>
      </c>
      <c r="O10" s="54">
        <v>0</v>
      </c>
      <c r="P10" s="53">
        <v>2427.64</v>
      </c>
      <c r="Q10" s="53">
        <v>1109</v>
      </c>
      <c r="R10" s="53">
        <v>1109</v>
      </c>
      <c r="S10" s="53">
        <v>0</v>
      </c>
      <c r="T10" s="54">
        <v>0</v>
      </c>
      <c r="U10" s="53">
        <v>2777.51</v>
      </c>
      <c r="V10" s="53">
        <v>1268.83</v>
      </c>
      <c r="W10" s="53">
        <v>1268.83</v>
      </c>
      <c r="X10" s="53">
        <v>0</v>
      </c>
      <c r="Y10" s="54">
        <v>0</v>
      </c>
    </row>
    <row r="11" spans="1:25" x14ac:dyDescent="0.2">
      <c r="A11" s="50" t="s">
        <v>106</v>
      </c>
      <c r="B11" s="51" t="s">
        <v>107</v>
      </c>
      <c r="C11" s="51"/>
      <c r="D11" s="52">
        <v>27837</v>
      </c>
      <c r="E11" s="51" t="s">
        <v>105</v>
      </c>
      <c r="F11" s="53"/>
      <c r="G11" s="53">
        <v>805.78</v>
      </c>
      <c r="H11" s="53">
        <v>805.78</v>
      </c>
      <c r="I11" s="53">
        <v>0</v>
      </c>
      <c r="J11" s="54"/>
      <c r="K11" s="53"/>
      <c r="L11" s="53">
        <v>818.12</v>
      </c>
      <c r="M11" s="53">
        <v>818.12</v>
      </c>
      <c r="N11" s="53">
        <v>0</v>
      </c>
      <c r="O11" s="54"/>
      <c r="P11" s="53"/>
      <c r="Q11" s="53">
        <v>846.83</v>
      </c>
      <c r="R11" s="53">
        <v>846.83</v>
      </c>
      <c r="S11" s="53">
        <v>0</v>
      </c>
      <c r="T11" s="54"/>
      <c r="U11" s="53"/>
      <c r="V11" s="53">
        <v>968.87</v>
      </c>
      <c r="W11" s="53">
        <v>968.87</v>
      </c>
      <c r="X11" s="53">
        <v>0</v>
      </c>
      <c r="Y11" s="54"/>
    </row>
    <row r="12" spans="1:25" x14ac:dyDescent="0.2">
      <c r="A12" s="50" t="s">
        <v>108</v>
      </c>
      <c r="B12" s="51" t="s">
        <v>109</v>
      </c>
      <c r="C12" s="51"/>
      <c r="D12" s="52">
        <v>38648</v>
      </c>
      <c r="E12" s="51" t="s">
        <v>105</v>
      </c>
      <c r="F12" s="53"/>
      <c r="G12" s="53">
        <v>448.94</v>
      </c>
      <c r="H12" s="53">
        <v>448.94</v>
      </c>
      <c r="I12" s="53">
        <v>0</v>
      </c>
      <c r="J12" s="54"/>
      <c r="K12" s="53"/>
      <c r="L12" s="53">
        <v>455.82</v>
      </c>
      <c r="M12" s="53">
        <v>455.82</v>
      </c>
      <c r="N12" s="53">
        <v>0</v>
      </c>
      <c r="O12" s="54"/>
      <c r="P12" s="53"/>
      <c r="Q12" s="53">
        <v>471.81</v>
      </c>
      <c r="R12" s="53">
        <v>471.81</v>
      </c>
      <c r="S12" s="53">
        <v>0</v>
      </c>
      <c r="T12" s="54"/>
      <c r="U12" s="53"/>
      <c r="V12" s="53">
        <v>539.80999999999995</v>
      </c>
      <c r="W12" s="53">
        <v>539.80999999999995</v>
      </c>
      <c r="X12" s="53">
        <v>0</v>
      </c>
      <c r="Y12" s="54"/>
    </row>
    <row r="13" spans="1:25" x14ac:dyDescent="0.2">
      <c r="A13" s="50" t="s">
        <v>110</v>
      </c>
      <c r="B13" s="51" t="s">
        <v>65</v>
      </c>
      <c r="C13" s="51" t="s">
        <v>65</v>
      </c>
      <c r="D13" s="52">
        <v>36345</v>
      </c>
      <c r="E13" s="51" t="s">
        <v>111</v>
      </c>
      <c r="F13" s="53">
        <v>578.53</v>
      </c>
      <c r="G13" s="53">
        <v>578.53</v>
      </c>
      <c r="H13" s="53">
        <v>578.53</v>
      </c>
      <c r="I13" s="53">
        <v>0</v>
      </c>
      <c r="J13" s="54">
        <v>0</v>
      </c>
      <c r="K13" s="53">
        <v>587.39</v>
      </c>
      <c r="L13" s="53">
        <v>587.39</v>
      </c>
      <c r="M13" s="53">
        <v>587.39</v>
      </c>
      <c r="N13" s="53">
        <v>0</v>
      </c>
      <c r="O13" s="54">
        <v>0</v>
      </c>
      <c r="P13" s="53">
        <v>608</v>
      </c>
      <c r="Q13" s="53">
        <v>608</v>
      </c>
      <c r="R13" s="53">
        <v>608</v>
      </c>
      <c r="S13" s="53">
        <v>0</v>
      </c>
      <c r="T13" s="54">
        <v>0</v>
      </c>
      <c r="U13" s="53">
        <v>695.63</v>
      </c>
      <c r="V13" s="53">
        <v>695.63</v>
      </c>
      <c r="W13" s="53">
        <v>695.63</v>
      </c>
      <c r="X13" s="53">
        <v>0</v>
      </c>
      <c r="Y13" s="54">
        <v>0</v>
      </c>
    </row>
    <row r="14" spans="1:25" x14ac:dyDescent="0.2">
      <c r="A14" s="50" t="s">
        <v>112</v>
      </c>
      <c r="B14" s="51" t="s">
        <v>65</v>
      </c>
      <c r="C14" s="51" t="s">
        <v>104</v>
      </c>
      <c r="D14" s="52">
        <v>24895</v>
      </c>
      <c r="E14" s="51" t="s">
        <v>113</v>
      </c>
      <c r="F14" s="53">
        <v>2525.17</v>
      </c>
      <c r="G14" s="53">
        <v>1020.99</v>
      </c>
      <c r="H14" s="53">
        <v>1020.99</v>
      </c>
      <c r="I14" s="53">
        <v>0</v>
      </c>
      <c r="J14" s="54">
        <v>0</v>
      </c>
      <c r="K14" s="53">
        <v>2563.85</v>
      </c>
      <c r="L14" s="53">
        <v>1036.6300000000001</v>
      </c>
      <c r="M14" s="53">
        <v>1036.6300000000001</v>
      </c>
      <c r="N14" s="53">
        <v>0</v>
      </c>
      <c r="O14" s="54">
        <v>0</v>
      </c>
      <c r="P14" s="53">
        <v>2653.81</v>
      </c>
      <c r="Q14" s="53">
        <v>1073</v>
      </c>
      <c r="R14" s="53">
        <v>1073</v>
      </c>
      <c r="S14" s="53">
        <v>0</v>
      </c>
      <c r="T14" s="54">
        <v>0</v>
      </c>
      <c r="U14" s="53">
        <v>3036.29</v>
      </c>
      <c r="V14" s="53">
        <v>1227.6500000000001</v>
      </c>
      <c r="W14" s="53">
        <v>1227.6500000000001</v>
      </c>
      <c r="X14" s="53">
        <v>0</v>
      </c>
      <c r="Y14" s="54">
        <v>0</v>
      </c>
    </row>
    <row r="15" spans="1:25" x14ac:dyDescent="0.2">
      <c r="A15" s="50" t="s">
        <v>114</v>
      </c>
      <c r="B15" s="51" t="s">
        <v>107</v>
      </c>
      <c r="C15" s="51"/>
      <c r="D15" s="52">
        <v>24269</v>
      </c>
      <c r="E15" s="51" t="s">
        <v>113</v>
      </c>
      <c r="F15" s="53"/>
      <c r="G15" s="53">
        <v>1055.24</v>
      </c>
      <c r="H15" s="53">
        <v>1055.24</v>
      </c>
      <c r="I15" s="53">
        <v>0</v>
      </c>
      <c r="J15" s="54"/>
      <c r="K15" s="53"/>
      <c r="L15" s="53">
        <v>1071.4000000000001</v>
      </c>
      <c r="M15" s="53">
        <v>1071.4000000000001</v>
      </c>
      <c r="N15" s="53">
        <v>0</v>
      </c>
      <c r="O15" s="54"/>
      <c r="P15" s="53"/>
      <c r="Q15" s="53">
        <v>1109</v>
      </c>
      <c r="R15" s="53">
        <v>1109</v>
      </c>
      <c r="S15" s="53">
        <v>0</v>
      </c>
      <c r="T15" s="54"/>
      <c r="U15" s="53"/>
      <c r="V15" s="53">
        <v>1268.83</v>
      </c>
      <c r="W15" s="53">
        <v>1268.83</v>
      </c>
      <c r="X15" s="53">
        <v>0</v>
      </c>
      <c r="Y15" s="54"/>
    </row>
    <row r="16" spans="1:25" x14ac:dyDescent="0.2">
      <c r="A16" s="50" t="s">
        <v>115</v>
      </c>
      <c r="B16" s="51" t="s">
        <v>109</v>
      </c>
      <c r="C16" s="51"/>
      <c r="D16" s="52">
        <v>38614</v>
      </c>
      <c r="E16" s="51" t="s">
        <v>113</v>
      </c>
      <c r="F16" s="53"/>
      <c r="G16" s="53">
        <v>448.94</v>
      </c>
      <c r="H16" s="53">
        <v>448.94</v>
      </c>
      <c r="I16" s="53">
        <v>0</v>
      </c>
      <c r="J16" s="54"/>
      <c r="K16" s="53"/>
      <c r="L16" s="53">
        <v>455.82</v>
      </c>
      <c r="M16" s="53">
        <v>455.82</v>
      </c>
      <c r="N16" s="53">
        <v>0</v>
      </c>
      <c r="O16" s="54"/>
      <c r="P16" s="53"/>
      <c r="Q16" s="53">
        <v>471.81</v>
      </c>
      <c r="R16" s="53">
        <v>471.81</v>
      </c>
      <c r="S16" s="53">
        <v>0</v>
      </c>
      <c r="T16" s="54"/>
      <c r="U16" s="53"/>
      <c r="V16" s="53">
        <v>539.80999999999995</v>
      </c>
      <c r="W16" s="53">
        <v>539.80999999999995</v>
      </c>
      <c r="X16" s="53">
        <v>0</v>
      </c>
      <c r="Y16" s="54"/>
    </row>
    <row r="17" spans="1:25" x14ac:dyDescent="0.2">
      <c r="A17" s="50" t="s">
        <v>116</v>
      </c>
      <c r="B17" s="51" t="s">
        <v>65</v>
      </c>
      <c r="C17" s="51" t="s">
        <v>117</v>
      </c>
      <c r="D17" s="52">
        <v>18453</v>
      </c>
      <c r="E17" s="51" t="s">
        <v>118</v>
      </c>
      <c r="F17" s="53">
        <v>2110.48</v>
      </c>
      <c r="G17" s="53">
        <v>1055.24</v>
      </c>
      <c r="H17" s="53">
        <v>1055.24</v>
      </c>
      <c r="I17" s="53">
        <v>0</v>
      </c>
      <c r="J17" s="54">
        <v>0</v>
      </c>
      <c r="K17" s="53">
        <v>2142.8000000000002</v>
      </c>
      <c r="L17" s="53">
        <v>1071.4000000000001</v>
      </c>
      <c r="M17" s="53">
        <v>1071.4000000000001</v>
      </c>
      <c r="N17" s="53">
        <v>0</v>
      </c>
      <c r="O17" s="54">
        <v>0</v>
      </c>
      <c r="P17" s="53">
        <v>2218</v>
      </c>
      <c r="Q17" s="53">
        <v>1109</v>
      </c>
      <c r="R17" s="53">
        <v>1109</v>
      </c>
      <c r="S17" s="53">
        <v>0</v>
      </c>
      <c r="T17" s="54">
        <v>0</v>
      </c>
      <c r="U17" s="53">
        <v>2537.66</v>
      </c>
      <c r="V17" s="53">
        <v>1268.83</v>
      </c>
      <c r="W17" s="53">
        <v>1268.83</v>
      </c>
      <c r="X17" s="53">
        <v>0</v>
      </c>
      <c r="Y17" s="54">
        <v>0</v>
      </c>
    </row>
    <row r="18" spans="1:25" x14ac:dyDescent="0.2">
      <c r="A18" s="50" t="s">
        <v>119</v>
      </c>
      <c r="B18" s="51" t="s">
        <v>107</v>
      </c>
      <c r="C18" s="51"/>
      <c r="D18" s="52">
        <v>19761</v>
      </c>
      <c r="E18" s="51" t="s">
        <v>118</v>
      </c>
      <c r="F18" s="53"/>
      <c r="G18" s="53">
        <v>1055.24</v>
      </c>
      <c r="H18" s="53">
        <v>1055.24</v>
      </c>
      <c r="I18" s="53">
        <v>0</v>
      </c>
      <c r="J18" s="54"/>
      <c r="K18" s="53"/>
      <c r="L18" s="53">
        <v>1071.4000000000001</v>
      </c>
      <c r="M18" s="53">
        <v>1071.4000000000001</v>
      </c>
      <c r="N18" s="53">
        <v>0</v>
      </c>
      <c r="O18" s="54"/>
      <c r="P18" s="53"/>
      <c r="Q18" s="53">
        <v>1109</v>
      </c>
      <c r="R18" s="53">
        <v>1109</v>
      </c>
      <c r="S18" s="53">
        <v>0</v>
      </c>
      <c r="T18" s="54"/>
      <c r="U18" s="53"/>
      <c r="V18" s="53">
        <v>1268.83</v>
      </c>
      <c r="W18" s="53">
        <v>1268.83</v>
      </c>
      <c r="X18" s="53">
        <v>0</v>
      </c>
      <c r="Y18" s="54"/>
    </row>
    <row r="19" spans="1:25" x14ac:dyDescent="0.2">
      <c r="A19" s="50" t="s">
        <v>120</v>
      </c>
      <c r="B19" s="51" t="s">
        <v>65</v>
      </c>
      <c r="C19" s="51" t="s">
        <v>65</v>
      </c>
      <c r="D19" s="52">
        <v>35733</v>
      </c>
      <c r="E19" s="51" t="s">
        <v>121</v>
      </c>
      <c r="F19" s="53">
        <v>578.53</v>
      </c>
      <c r="G19" s="53">
        <v>578.53</v>
      </c>
      <c r="H19" s="53">
        <v>578.53</v>
      </c>
      <c r="I19" s="53">
        <v>0</v>
      </c>
      <c r="J19" s="54">
        <v>0</v>
      </c>
      <c r="K19" s="53">
        <v>587.39</v>
      </c>
      <c r="L19" s="53">
        <v>587.39</v>
      </c>
      <c r="M19" s="53">
        <v>587.39</v>
      </c>
      <c r="N19" s="53">
        <v>0</v>
      </c>
      <c r="O19" s="54">
        <v>0</v>
      </c>
      <c r="P19" s="53">
        <v>608</v>
      </c>
      <c r="Q19" s="53">
        <v>608</v>
      </c>
      <c r="R19" s="53">
        <v>608</v>
      </c>
      <c r="S19" s="53">
        <v>0</v>
      </c>
      <c r="T19" s="54">
        <v>0</v>
      </c>
      <c r="U19" s="53">
        <v>695.63</v>
      </c>
      <c r="V19" s="53">
        <v>695.63</v>
      </c>
      <c r="W19" s="53">
        <v>695.63</v>
      </c>
      <c r="X19" s="53">
        <v>0</v>
      </c>
      <c r="Y19" s="54">
        <v>0</v>
      </c>
    </row>
    <row r="20" spans="1:25" x14ac:dyDescent="0.2">
      <c r="A20" s="50" t="s">
        <v>122</v>
      </c>
      <c r="B20" s="51" t="s">
        <v>65</v>
      </c>
      <c r="C20" s="51" t="s">
        <v>104</v>
      </c>
      <c r="D20" s="52">
        <v>24958</v>
      </c>
      <c r="E20" s="51" t="s">
        <v>123</v>
      </c>
      <c r="F20" s="53">
        <v>2896.82</v>
      </c>
      <c r="G20" s="53">
        <v>1020.99</v>
      </c>
      <c r="H20" s="53">
        <v>1020.99</v>
      </c>
      <c r="I20" s="53">
        <v>0</v>
      </c>
      <c r="J20" s="54">
        <v>0</v>
      </c>
      <c r="K20" s="53">
        <v>2941.19</v>
      </c>
      <c r="L20" s="53">
        <v>1036.6300000000001</v>
      </c>
      <c r="M20" s="53">
        <v>1036.6300000000001</v>
      </c>
      <c r="N20" s="53">
        <v>0</v>
      </c>
      <c r="O20" s="54">
        <v>0</v>
      </c>
      <c r="P20" s="53">
        <v>3044.38</v>
      </c>
      <c r="Q20" s="53">
        <v>1073</v>
      </c>
      <c r="R20" s="53">
        <v>1073</v>
      </c>
      <c r="S20" s="53">
        <v>0</v>
      </c>
      <c r="T20" s="54">
        <v>0</v>
      </c>
      <c r="U20" s="53">
        <v>3483.16</v>
      </c>
      <c r="V20" s="53">
        <v>1227.6500000000001</v>
      </c>
      <c r="W20" s="53">
        <v>1227.6500000000001</v>
      </c>
      <c r="X20" s="53">
        <v>0</v>
      </c>
      <c r="Y20" s="54">
        <v>0</v>
      </c>
    </row>
    <row r="21" spans="1:25" x14ac:dyDescent="0.2">
      <c r="A21" s="50" t="s">
        <v>124</v>
      </c>
      <c r="B21" s="51" t="s">
        <v>107</v>
      </c>
      <c r="C21" s="51"/>
      <c r="D21" s="52">
        <v>25342</v>
      </c>
      <c r="E21" s="51" t="s">
        <v>123</v>
      </c>
      <c r="F21" s="53"/>
      <c r="G21" s="53">
        <v>991.37</v>
      </c>
      <c r="H21" s="53">
        <v>991.37</v>
      </c>
      <c r="I21" s="53">
        <v>0</v>
      </c>
      <c r="J21" s="54"/>
      <c r="K21" s="53"/>
      <c r="L21" s="53">
        <v>1006.55</v>
      </c>
      <c r="M21" s="53">
        <v>1006.55</v>
      </c>
      <c r="N21" s="53">
        <v>0</v>
      </c>
      <c r="O21" s="54"/>
      <c r="P21" s="53"/>
      <c r="Q21" s="53">
        <v>1041.8699999999999</v>
      </c>
      <c r="R21" s="53">
        <v>1041.8699999999999</v>
      </c>
      <c r="S21" s="53">
        <v>0</v>
      </c>
      <c r="T21" s="54"/>
      <c r="U21" s="53"/>
      <c r="V21" s="53">
        <v>1192.03</v>
      </c>
      <c r="W21" s="53">
        <v>1192.03</v>
      </c>
      <c r="X21" s="53">
        <v>0</v>
      </c>
      <c r="Y21" s="54"/>
    </row>
    <row r="22" spans="1:25" x14ac:dyDescent="0.2">
      <c r="A22" s="50" t="s">
        <v>125</v>
      </c>
      <c r="B22" s="51" t="s">
        <v>109</v>
      </c>
      <c r="C22" s="51"/>
      <c r="D22" s="52">
        <v>38632</v>
      </c>
      <c r="E22" s="51" t="s">
        <v>123</v>
      </c>
      <c r="F22" s="53"/>
      <c r="G22" s="53">
        <v>448.94</v>
      </c>
      <c r="H22" s="53">
        <v>448.94</v>
      </c>
      <c r="I22" s="53">
        <v>0</v>
      </c>
      <c r="J22" s="54"/>
      <c r="K22" s="53"/>
      <c r="L22" s="53">
        <v>455.82</v>
      </c>
      <c r="M22" s="53">
        <v>455.82</v>
      </c>
      <c r="N22" s="53">
        <v>0</v>
      </c>
      <c r="O22" s="54"/>
      <c r="P22" s="53"/>
      <c r="Q22" s="53">
        <v>471.81</v>
      </c>
      <c r="R22" s="53">
        <v>471.81</v>
      </c>
      <c r="S22" s="53">
        <v>0</v>
      </c>
      <c r="T22" s="54"/>
      <c r="U22" s="53"/>
      <c r="V22" s="53">
        <v>539.80999999999995</v>
      </c>
      <c r="W22" s="53">
        <v>539.80999999999995</v>
      </c>
      <c r="X22" s="53">
        <v>0</v>
      </c>
      <c r="Y22" s="54"/>
    </row>
    <row r="23" spans="1:25" x14ac:dyDescent="0.2">
      <c r="A23" s="50" t="s">
        <v>126</v>
      </c>
      <c r="B23" s="51" t="s">
        <v>109</v>
      </c>
      <c r="C23" s="51"/>
      <c r="D23" s="52">
        <v>39092</v>
      </c>
      <c r="E23" s="51" t="s">
        <v>123</v>
      </c>
      <c r="F23" s="53"/>
      <c r="G23" s="53">
        <v>435.52</v>
      </c>
      <c r="H23" s="53">
        <v>435.52</v>
      </c>
      <c r="I23" s="53">
        <v>0</v>
      </c>
      <c r="J23" s="54"/>
      <c r="K23" s="53"/>
      <c r="L23" s="53">
        <v>442.19</v>
      </c>
      <c r="M23" s="53">
        <v>442.19</v>
      </c>
      <c r="N23" s="53">
        <v>0</v>
      </c>
      <c r="O23" s="54"/>
      <c r="P23" s="53"/>
      <c r="Q23" s="53">
        <v>457.7</v>
      </c>
      <c r="R23" s="53">
        <v>457.7</v>
      </c>
      <c r="S23" s="53">
        <v>0</v>
      </c>
      <c r="T23" s="54"/>
      <c r="U23" s="53"/>
      <c r="V23" s="53">
        <v>523.66999999999996</v>
      </c>
      <c r="W23" s="53">
        <v>523.66999999999996</v>
      </c>
      <c r="X23" s="53">
        <v>0</v>
      </c>
      <c r="Y23" s="54"/>
    </row>
    <row r="24" spans="1:25" x14ac:dyDescent="0.2">
      <c r="A24" s="50" t="s">
        <v>127</v>
      </c>
      <c r="B24" s="51" t="s">
        <v>65</v>
      </c>
      <c r="C24" s="51" t="s">
        <v>117</v>
      </c>
      <c r="D24" s="52">
        <v>21309</v>
      </c>
      <c r="E24" s="51" t="s">
        <v>96</v>
      </c>
      <c r="F24" s="53">
        <v>2110.48</v>
      </c>
      <c r="G24" s="53">
        <v>1055.24</v>
      </c>
      <c r="H24" s="53">
        <v>1055.24</v>
      </c>
      <c r="I24" s="53">
        <v>0</v>
      </c>
      <c r="J24" s="54">
        <v>0</v>
      </c>
      <c r="K24" s="53">
        <v>2142.8000000000002</v>
      </c>
      <c r="L24" s="53">
        <v>1071.4000000000001</v>
      </c>
      <c r="M24" s="53">
        <v>1071.4000000000001</v>
      </c>
      <c r="N24" s="53">
        <v>0</v>
      </c>
      <c r="O24" s="54">
        <v>0</v>
      </c>
      <c r="P24" s="53">
        <v>2218</v>
      </c>
      <c r="Q24" s="53">
        <v>1109</v>
      </c>
      <c r="R24" s="53">
        <v>1109</v>
      </c>
      <c r="S24" s="53">
        <v>0</v>
      </c>
      <c r="T24" s="54">
        <v>0</v>
      </c>
      <c r="U24" s="53">
        <v>2537.66</v>
      </c>
      <c r="V24" s="53">
        <v>1268.83</v>
      </c>
      <c r="W24" s="53">
        <v>1268.83</v>
      </c>
      <c r="X24" s="53">
        <v>0</v>
      </c>
      <c r="Y24" s="54">
        <v>0</v>
      </c>
    </row>
    <row r="25" spans="1:25" x14ac:dyDescent="0.2">
      <c r="A25" s="50" t="s">
        <v>128</v>
      </c>
      <c r="B25" s="51" t="s">
        <v>107</v>
      </c>
      <c r="C25" s="51"/>
      <c r="D25" s="52">
        <v>23570</v>
      </c>
      <c r="E25" s="51" t="s">
        <v>96</v>
      </c>
      <c r="F25" s="53"/>
      <c r="G25" s="53">
        <v>1055.24</v>
      </c>
      <c r="H25" s="53">
        <v>1055.24</v>
      </c>
      <c r="I25" s="53">
        <v>0</v>
      </c>
      <c r="J25" s="54"/>
      <c r="K25" s="53"/>
      <c r="L25" s="53">
        <v>1071.4000000000001</v>
      </c>
      <c r="M25" s="53">
        <v>1071.4000000000001</v>
      </c>
      <c r="N25" s="53">
        <v>0</v>
      </c>
      <c r="O25" s="54"/>
      <c r="P25" s="53"/>
      <c r="Q25" s="53">
        <v>1109</v>
      </c>
      <c r="R25" s="53">
        <v>1109</v>
      </c>
      <c r="S25" s="53">
        <v>0</v>
      </c>
      <c r="T25" s="54"/>
      <c r="U25" s="53"/>
      <c r="V25" s="53">
        <v>1268.83</v>
      </c>
      <c r="W25" s="53">
        <v>1268.83</v>
      </c>
      <c r="X25" s="53">
        <v>0</v>
      </c>
      <c r="Y25" s="54"/>
    </row>
    <row r="26" spans="1:25" x14ac:dyDescent="0.2">
      <c r="A26" s="50" t="s">
        <v>129</v>
      </c>
      <c r="B26" s="51" t="s">
        <v>65</v>
      </c>
      <c r="C26" s="51" t="s">
        <v>65</v>
      </c>
      <c r="D26" s="52">
        <v>24147</v>
      </c>
      <c r="E26" s="51" t="s">
        <v>113</v>
      </c>
      <c r="F26" s="53">
        <v>1055.24</v>
      </c>
      <c r="G26" s="53">
        <v>1055.24</v>
      </c>
      <c r="H26" s="53">
        <v>1055.24</v>
      </c>
      <c r="I26" s="53">
        <v>0</v>
      </c>
      <c r="J26" s="54">
        <v>0</v>
      </c>
      <c r="K26" s="53">
        <v>1071.4000000000001</v>
      </c>
      <c r="L26" s="53">
        <v>1071.4000000000001</v>
      </c>
      <c r="M26" s="53">
        <v>1071.4000000000001</v>
      </c>
      <c r="N26" s="53">
        <v>0</v>
      </c>
      <c r="O26" s="54">
        <v>0</v>
      </c>
      <c r="P26" s="53">
        <v>1109</v>
      </c>
      <c r="Q26" s="53">
        <v>1109</v>
      </c>
      <c r="R26" s="53">
        <v>1109</v>
      </c>
      <c r="S26" s="53">
        <v>0</v>
      </c>
      <c r="T26" s="54">
        <v>0</v>
      </c>
      <c r="U26" s="53">
        <v>1268.83</v>
      </c>
      <c r="V26" s="53">
        <v>1268.83</v>
      </c>
      <c r="W26" s="53">
        <v>1268.83</v>
      </c>
      <c r="X26" s="53">
        <v>0</v>
      </c>
      <c r="Y26" s="54">
        <v>0</v>
      </c>
    </row>
    <row r="27" spans="1:25" x14ac:dyDescent="0.2">
      <c r="A27" s="50" t="s">
        <v>130</v>
      </c>
      <c r="B27" s="51" t="s">
        <v>65</v>
      </c>
      <c r="C27" s="51" t="s">
        <v>65</v>
      </c>
      <c r="D27" s="52">
        <v>25210</v>
      </c>
      <c r="E27" s="51" t="s">
        <v>131</v>
      </c>
      <c r="F27" s="53">
        <v>991.37</v>
      </c>
      <c r="G27" s="53">
        <v>991.37</v>
      </c>
      <c r="H27" s="53">
        <v>991.37</v>
      </c>
      <c r="I27" s="53">
        <v>0</v>
      </c>
      <c r="J27" s="54">
        <v>0</v>
      </c>
      <c r="K27" s="53">
        <v>1006.55</v>
      </c>
      <c r="L27" s="53">
        <v>1006.55</v>
      </c>
      <c r="M27" s="53">
        <v>1006.55</v>
      </c>
      <c r="N27" s="53">
        <v>0</v>
      </c>
      <c r="O27" s="54">
        <v>0</v>
      </c>
      <c r="P27" s="53">
        <v>1041.8699999999999</v>
      </c>
      <c r="Q27" s="53">
        <v>1041.8699999999999</v>
      </c>
      <c r="R27" s="53">
        <v>1041.8699999999999</v>
      </c>
      <c r="S27" s="53">
        <v>0</v>
      </c>
      <c r="T27" s="54">
        <v>0</v>
      </c>
      <c r="U27" s="53">
        <v>1192.03</v>
      </c>
      <c r="V27" s="53">
        <v>1192.03</v>
      </c>
      <c r="W27" s="53">
        <v>1192.03</v>
      </c>
      <c r="X27" s="53">
        <v>0</v>
      </c>
      <c r="Y27" s="54">
        <v>0</v>
      </c>
    </row>
    <row r="28" spans="1:25" x14ac:dyDescent="0.2">
      <c r="A28" s="50" t="s">
        <v>132</v>
      </c>
      <c r="B28" s="51" t="s">
        <v>65</v>
      </c>
      <c r="C28" s="51" t="s">
        <v>65</v>
      </c>
      <c r="D28" s="52">
        <v>35103</v>
      </c>
      <c r="E28" s="51" t="s">
        <v>113</v>
      </c>
      <c r="F28" s="53">
        <v>595.66</v>
      </c>
      <c r="G28" s="53">
        <v>595.66</v>
      </c>
      <c r="H28" s="53">
        <v>595.66</v>
      </c>
      <c r="I28" s="53">
        <v>0</v>
      </c>
      <c r="J28" s="54">
        <v>0</v>
      </c>
      <c r="K28" s="53">
        <v>604.78</v>
      </c>
      <c r="L28" s="53">
        <v>604.78</v>
      </c>
      <c r="M28" s="53">
        <v>604.78</v>
      </c>
      <c r="N28" s="53">
        <v>0</v>
      </c>
      <c r="O28" s="54">
        <v>0</v>
      </c>
      <c r="P28" s="53">
        <v>626</v>
      </c>
      <c r="Q28" s="53">
        <v>626</v>
      </c>
      <c r="R28" s="53">
        <v>626</v>
      </c>
      <c r="S28" s="53">
        <v>0</v>
      </c>
      <c r="T28" s="54">
        <v>0</v>
      </c>
      <c r="U28" s="53">
        <v>716.22</v>
      </c>
      <c r="V28" s="53">
        <v>716.22</v>
      </c>
      <c r="W28" s="53">
        <v>716.22</v>
      </c>
      <c r="X28" s="53">
        <v>0</v>
      </c>
      <c r="Y28" s="54">
        <v>0</v>
      </c>
    </row>
    <row r="29" spans="1:25" x14ac:dyDescent="0.2">
      <c r="A29" s="50" t="s">
        <v>133</v>
      </c>
      <c r="B29" s="51" t="s">
        <v>65</v>
      </c>
      <c r="C29" s="51" t="s">
        <v>117</v>
      </c>
      <c r="D29" s="52">
        <v>27399</v>
      </c>
      <c r="E29" s="51" t="s">
        <v>113</v>
      </c>
      <c r="F29" s="53">
        <v>1528.71</v>
      </c>
      <c r="G29" s="53">
        <v>829.38</v>
      </c>
      <c r="H29" s="53">
        <v>829.38</v>
      </c>
      <c r="I29" s="53">
        <v>0</v>
      </c>
      <c r="J29" s="54">
        <v>0</v>
      </c>
      <c r="K29" s="53">
        <v>1552.12</v>
      </c>
      <c r="L29" s="53">
        <v>842.08</v>
      </c>
      <c r="M29" s="53">
        <v>842.08</v>
      </c>
      <c r="N29" s="53">
        <v>0</v>
      </c>
      <c r="O29" s="54">
        <v>0</v>
      </c>
      <c r="P29" s="53">
        <v>1606.58</v>
      </c>
      <c r="Q29" s="53">
        <v>871.63</v>
      </c>
      <c r="R29" s="53">
        <v>871.63</v>
      </c>
      <c r="S29" s="53">
        <v>0</v>
      </c>
      <c r="T29" s="54">
        <v>0</v>
      </c>
      <c r="U29" s="53">
        <v>1838.14</v>
      </c>
      <c r="V29" s="53">
        <v>997.26</v>
      </c>
      <c r="W29" s="53">
        <v>997.26</v>
      </c>
      <c r="X29" s="53">
        <v>0</v>
      </c>
      <c r="Y29" s="54">
        <v>0</v>
      </c>
    </row>
    <row r="30" spans="1:25" x14ac:dyDescent="0.2">
      <c r="A30" s="50" t="s">
        <v>134</v>
      </c>
      <c r="B30" s="51" t="s">
        <v>107</v>
      </c>
      <c r="C30" s="51"/>
      <c r="D30" s="52">
        <v>29502</v>
      </c>
      <c r="E30" s="51" t="s">
        <v>113</v>
      </c>
      <c r="F30" s="53"/>
      <c r="G30" s="53">
        <v>699.33</v>
      </c>
      <c r="H30" s="53">
        <v>699.33</v>
      </c>
      <c r="I30" s="53">
        <v>0</v>
      </c>
      <c r="J30" s="54"/>
      <c r="K30" s="53"/>
      <c r="L30" s="53">
        <v>710.04</v>
      </c>
      <c r="M30" s="53">
        <v>710.04</v>
      </c>
      <c r="N30" s="53">
        <v>0</v>
      </c>
      <c r="O30" s="54"/>
      <c r="P30" s="53"/>
      <c r="Q30" s="53">
        <v>734.95</v>
      </c>
      <c r="R30" s="53">
        <v>734.95</v>
      </c>
      <c r="S30" s="53">
        <v>0</v>
      </c>
      <c r="T30" s="54"/>
      <c r="U30" s="53"/>
      <c r="V30" s="53">
        <v>840.88</v>
      </c>
      <c r="W30" s="53">
        <v>840.88</v>
      </c>
      <c r="X30" s="53">
        <v>0</v>
      </c>
      <c r="Y30" s="54"/>
    </row>
    <row r="31" spans="1:25" x14ac:dyDescent="0.2">
      <c r="A31" s="50" t="s">
        <v>135</v>
      </c>
      <c r="B31" s="51" t="s">
        <v>65</v>
      </c>
      <c r="C31" s="51" t="s">
        <v>104</v>
      </c>
      <c r="D31" s="52">
        <v>24592</v>
      </c>
      <c r="E31" s="51" t="s">
        <v>111</v>
      </c>
      <c r="F31" s="53">
        <v>2689.01</v>
      </c>
      <c r="G31" s="53">
        <v>1055.24</v>
      </c>
      <c r="H31" s="53">
        <v>1055.24</v>
      </c>
      <c r="I31" s="53">
        <v>0</v>
      </c>
      <c r="J31" s="54">
        <v>0</v>
      </c>
      <c r="K31" s="53">
        <v>2730.19</v>
      </c>
      <c r="L31" s="53">
        <v>1071.4000000000001</v>
      </c>
      <c r="M31" s="53">
        <v>1071.4000000000001</v>
      </c>
      <c r="N31" s="53">
        <v>0</v>
      </c>
      <c r="O31" s="54">
        <v>0</v>
      </c>
      <c r="P31" s="53">
        <v>2826</v>
      </c>
      <c r="Q31" s="53">
        <v>1109</v>
      </c>
      <c r="R31" s="53">
        <v>1109</v>
      </c>
      <c r="S31" s="53">
        <v>0</v>
      </c>
      <c r="T31" s="54">
        <v>0</v>
      </c>
      <c r="U31" s="53">
        <v>3233.29</v>
      </c>
      <c r="V31" s="53">
        <v>1268.83</v>
      </c>
      <c r="W31" s="53">
        <v>1268.83</v>
      </c>
      <c r="X31" s="53">
        <v>0</v>
      </c>
      <c r="Y31" s="54">
        <v>0</v>
      </c>
    </row>
    <row r="32" spans="1:25" x14ac:dyDescent="0.2">
      <c r="A32" s="50" t="s">
        <v>136</v>
      </c>
      <c r="B32" s="51" t="s">
        <v>107</v>
      </c>
      <c r="C32" s="51"/>
      <c r="D32" s="52">
        <v>22616</v>
      </c>
      <c r="E32" s="51" t="s">
        <v>111</v>
      </c>
      <c r="F32" s="53"/>
      <c r="G32" s="53">
        <v>1055.24</v>
      </c>
      <c r="H32" s="53">
        <v>1055.24</v>
      </c>
      <c r="I32" s="53">
        <v>0</v>
      </c>
      <c r="J32" s="54"/>
      <c r="K32" s="53"/>
      <c r="L32" s="53">
        <v>1071.4000000000001</v>
      </c>
      <c r="M32" s="53">
        <v>1071.4000000000001</v>
      </c>
      <c r="N32" s="53">
        <v>0</v>
      </c>
      <c r="O32" s="54"/>
      <c r="P32" s="53"/>
      <c r="Q32" s="53">
        <v>1109</v>
      </c>
      <c r="R32" s="53">
        <v>1109</v>
      </c>
      <c r="S32" s="53">
        <v>0</v>
      </c>
      <c r="T32" s="54"/>
      <c r="U32" s="53"/>
      <c r="V32" s="53">
        <v>1268.83</v>
      </c>
      <c r="W32" s="53">
        <v>1268.83</v>
      </c>
      <c r="X32" s="53">
        <v>0</v>
      </c>
      <c r="Y32" s="54"/>
    </row>
    <row r="33" spans="1:25" x14ac:dyDescent="0.2">
      <c r="A33" s="50" t="s">
        <v>137</v>
      </c>
      <c r="B33" s="51" t="s">
        <v>109</v>
      </c>
      <c r="C33" s="51"/>
      <c r="D33" s="52">
        <v>37842</v>
      </c>
      <c r="E33" s="51" t="s">
        <v>111</v>
      </c>
      <c r="F33" s="53"/>
      <c r="G33" s="53">
        <v>578.53</v>
      </c>
      <c r="H33" s="53">
        <v>578.53</v>
      </c>
      <c r="I33" s="53">
        <v>0</v>
      </c>
      <c r="J33" s="54"/>
      <c r="K33" s="53"/>
      <c r="L33" s="53">
        <v>587.39</v>
      </c>
      <c r="M33" s="53">
        <v>587.39</v>
      </c>
      <c r="N33" s="53">
        <v>0</v>
      </c>
      <c r="O33" s="54"/>
      <c r="P33" s="53"/>
      <c r="Q33" s="53">
        <v>608</v>
      </c>
      <c r="R33" s="53">
        <v>608</v>
      </c>
      <c r="S33" s="53">
        <v>0</v>
      </c>
      <c r="T33" s="54"/>
      <c r="U33" s="53"/>
      <c r="V33" s="53">
        <v>695.63</v>
      </c>
      <c r="W33" s="53">
        <v>695.63</v>
      </c>
      <c r="X33" s="53">
        <v>0</v>
      </c>
      <c r="Y33" s="54"/>
    </row>
    <row r="34" spans="1:25" x14ac:dyDescent="0.2">
      <c r="A34" s="50" t="s">
        <v>138</v>
      </c>
      <c r="B34" s="51" t="s">
        <v>65</v>
      </c>
      <c r="C34" s="51" t="s">
        <v>65</v>
      </c>
      <c r="D34" s="52">
        <v>35401</v>
      </c>
      <c r="E34" s="51" t="s">
        <v>113</v>
      </c>
      <c r="F34" s="53">
        <v>590.1</v>
      </c>
      <c r="G34" s="53">
        <v>590.1</v>
      </c>
      <c r="H34" s="53">
        <v>590.1</v>
      </c>
      <c r="I34" s="53">
        <v>0</v>
      </c>
      <c r="J34" s="54">
        <v>0</v>
      </c>
      <c r="K34" s="53">
        <v>599.14</v>
      </c>
      <c r="L34" s="53">
        <v>599.14</v>
      </c>
      <c r="M34" s="53">
        <v>599.14</v>
      </c>
      <c r="N34" s="53">
        <v>0</v>
      </c>
      <c r="O34" s="54">
        <v>0</v>
      </c>
      <c r="P34" s="53">
        <v>620.16</v>
      </c>
      <c r="Q34" s="53">
        <v>620.16</v>
      </c>
      <c r="R34" s="53">
        <v>620.16</v>
      </c>
      <c r="S34" s="53">
        <v>0</v>
      </c>
      <c r="T34" s="54">
        <v>0</v>
      </c>
      <c r="U34" s="53">
        <v>709.54</v>
      </c>
      <c r="V34" s="53">
        <v>709.54</v>
      </c>
      <c r="W34" s="53">
        <v>709.54</v>
      </c>
      <c r="X34" s="53">
        <v>0</v>
      </c>
      <c r="Y34" s="54">
        <v>0</v>
      </c>
    </row>
    <row r="35" spans="1:25" x14ac:dyDescent="0.2">
      <c r="A35" s="50" t="s">
        <v>139</v>
      </c>
      <c r="B35" s="51" t="s">
        <v>65</v>
      </c>
      <c r="C35" s="51" t="s">
        <v>65</v>
      </c>
      <c r="D35" s="52">
        <v>35453</v>
      </c>
      <c r="E35" s="51" t="s">
        <v>113</v>
      </c>
      <c r="F35" s="53">
        <v>590.1</v>
      </c>
      <c r="G35" s="53">
        <v>590.1</v>
      </c>
      <c r="H35" s="53">
        <v>590.1</v>
      </c>
      <c r="I35" s="53">
        <v>0</v>
      </c>
      <c r="J35" s="54">
        <v>0</v>
      </c>
      <c r="K35" s="53">
        <v>599.14</v>
      </c>
      <c r="L35" s="53">
        <v>599.14</v>
      </c>
      <c r="M35" s="53">
        <v>599.14</v>
      </c>
      <c r="N35" s="53">
        <v>0</v>
      </c>
      <c r="O35" s="54">
        <v>0</v>
      </c>
      <c r="P35" s="53">
        <v>620.16</v>
      </c>
      <c r="Q35" s="53">
        <v>620.16</v>
      </c>
      <c r="R35" s="53">
        <v>620.16</v>
      </c>
      <c r="S35" s="53">
        <v>0</v>
      </c>
      <c r="T35" s="54">
        <v>0</v>
      </c>
      <c r="U35" s="53">
        <v>709.54</v>
      </c>
      <c r="V35" s="53">
        <v>709.54</v>
      </c>
      <c r="W35" s="53">
        <v>709.54</v>
      </c>
      <c r="X35" s="53">
        <v>0</v>
      </c>
      <c r="Y35" s="54">
        <v>0</v>
      </c>
    </row>
    <row r="36" spans="1:25" x14ac:dyDescent="0.2">
      <c r="A36" s="50" t="s">
        <v>140</v>
      </c>
      <c r="B36" s="51" t="s">
        <v>65</v>
      </c>
      <c r="C36" s="51" t="s">
        <v>65</v>
      </c>
      <c r="D36" s="52">
        <v>34864</v>
      </c>
      <c r="E36" s="51" t="s">
        <v>118</v>
      </c>
      <c r="F36" s="53">
        <v>595.66</v>
      </c>
      <c r="G36" s="53">
        <v>595.66</v>
      </c>
      <c r="H36" s="53">
        <v>595.66</v>
      </c>
      <c r="I36" s="53">
        <v>0</v>
      </c>
      <c r="J36" s="54">
        <v>0</v>
      </c>
      <c r="K36" s="53">
        <v>604.78</v>
      </c>
      <c r="L36" s="53">
        <v>604.78</v>
      </c>
      <c r="M36" s="53">
        <v>604.78</v>
      </c>
      <c r="N36" s="53">
        <v>0</v>
      </c>
      <c r="O36" s="54">
        <v>0</v>
      </c>
      <c r="P36" s="53">
        <v>626</v>
      </c>
      <c r="Q36" s="53">
        <v>626</v>
      </c>
      <c r="R36" s="53">
        <v>626</v>
      </c>
      <c r="S36" s="53">
        <v>0</v>
      </c>
      <c r="T36" s="54">
        <v>0</v>
      </c>
      <c r="U36" s="53">
        <v>716.22</v>
      </c>
      <c r="V36" s="53">
        <v>716.22</v>
      </c>
      <c r="W36" s="53">
        <v>716.22</v>
      </c>
      <c r="X36" s="53">
        <v>0</v>
      </c>
      <c r="Y36" s="54">
        <v>0</v>
      </c>
    </row>
    <row r="37" spans="1:25" x14ac:dyDescent="0.2">
      <c r="A37" s="50" t="s">
        <v>141</v>
      </c>
      <c r="B37" s="51" t="s">
        <v>65</v>
      </c>
      <c r="C37" s="51" t="s">
        <v>104</v>
      </c>
      <c r="D37" s="52">
        <v>26666</v>
      </c>
      <c r="E37" s="51" t="s">
        <v>118</v>
      </c>
      <c r="F37" s="53">
        <v>2645.04</v>
      </c>
      <c r="G37" s="53">
        <v>880.29</v>
      </c>
      <c r="H37" s="53">
        <v>880.29</v>
      </c>
      <c r="I37" s="53">
        <v>0</v>
      </c>
      <c r="J37" s="54">
        <v>0</v>
      </c>
      <c r="K37" s="53">
        <v>2685.55</v>
      </c>
      <c r="L37" s="53">
        <v>893.77</v>
      </c>
      <c r="M37" s="53">
        <v>893.77</v>
      </c>
      <c r="N37" s="53">
        <v>0</v>
      </c>
      <c r="O37" s="54">
        <v>0</v>
      </c>
      <c r="P37" s="53">
        <v>2779.79</v>
      </c>
      <c r="Q37" s="53">
        <v>925.14</v>
      </c>
      <c r="R37" s="53">
        <v>925.14</v>
      </c>
      <c r="S37" s="53">
        <v>0</v>
      </c>
      <c r="T37" s="54">
        <v>0</v>
      </c>
      <c r="U37" s="53">
        <v>3180.42</v>
      </c>
      <c r="V37" s="53">
        <v>1058.47</v>
      </c>
      <c r="W37" s="53">
        <v>1058.47</v>
      </c>
      <c r="X37" s="53">
        <v>0</v>
      </c>
      <c r="Y37" s="54">
        <v>0</v>
      </c>
    </row>
    <row r="38" spans="1:25" x14ac:dyDescent="0.2">
      <c r="A38" s="50" t="s">
        <v>142</v>
      </c>
      <c r="B38" s="51" t="s">
        <v>107</v>
      </c>
      <c r="C38" s="51"/>
      <c r="D38" s="52">
        <v>28717</v>
      </c>
      <c r="E38" s="51" t="s">
        <v>118</v>
      </c>
      <c r="F38" s="53"/>
      <c r="G38" s="53">
        <v>737.28</v>
      </c>
      <c r="H38" s="53">
        <v>737.28</v>
      </c>
      <c r="I38" s="53">
        <v>0</v>
      </c>
      <c r="J38" s="54"/>
      <c r="K38" s="53"/>
      <c r="L38" s="53">
        <v>748.57</v>
      </c>
      <c r="M38" s="53">
        <v>748.57</v>
      </c>
      <c r="N38" s="53">
        <v>0</v>
      </c>
      <c r="O38" s="54"/>
      <c r="P38" s="53"/>
      <c r="Q38" s="53">
        <v>774.84</v>
      </c>
      <c r="R38" s="53">
        <v>774.84</v>
      </c>
      <c r="S38" s="53">
        <v>0</v>
      </c>
      <c r="T38" s="54"/>
      <c r="U38" s="53"/>
      <c r="V38" s="53">
        <v>886.51</v>
      </c>
      <c r="W38" s="53">
        <v>886.51</v>
      </c>
      <c r="X38" s="53">
        <v>0</v>
      </c>
      <c r="Y38" s="54"/>
    </row>
    <row r="39" spans="1:25" x14ac:dyDescent="0.2">
      <c r="A39" s="50" t="s">
        <v>143</v>
      </c>
      <c r="B39" s="51" t="s">
        <v>109</v>
      </c>
      <c r="C39" s="51"/>
      <c r="D39" s="52">
        <v>37384</v>
      </c>
      <c r="E39" s="51" t="s">
        <v>118</v>
      </c>
      <c r="F39" s="53"/>
      <c r="G39" s="53">
        <v>578.53</v>
      </c>
      <c r="H39" s="53">
        <v>578.53</v>
      </c>
      <c r="I39" s="53">
        <v>0</v>
      </c>
      <c r="J39" s="54"/>
      <c r="K39" s="53"/>
      <c r="L39" s="53">
        <v>587.39</v>
      </c>
      <c r="M39" s="53">
        <v>587.39</v>
      </c>
      <c r="N39" s="53">
        <v>0</v>
      </c>
      <c r="O39" s="54"/>
      <c r="P39" s="53"/>
      <c r="Q39" s="53">
        <v>608</v>
      </c>
      <c r="R39" s="53">
        <v>608</v>
      </c>
      <c r="S39" s="53">
        <v>0</v>
      </c>
      <c r="T39" s="54"/>
      <c r="U39" s="53"/>
      <c r="V39" s="53">
        <v>695.63</v>
      </c>
      <c r="W39" s="53">
        <v>695.63</v>
      </c>
      <c r="X39" s="53">
        <v>0</v>
      </c>
      <c r="Y39" s="54"/>
    </row>
    <row r="40" spans="1:25" x14ac:dyDescent="0.2">
      <c r="A40" s="50" t="s">
        <v>144</v>
      </c>
      <c r="B40" s="51" t="s">
        <v>109</v>
      </c>
      <c r="C40" s="51"/>
      <c r="D40" s="52">
        <v>38688</v>
      </c>
      <c r="E40" s="51" t="s">
        <v>118</v>
      </c>
      <c r="F40" s="53"/>
      <c r="G40" s="53">
        <v>448.94</v>
      </c>
      <c r="H40" s="53">
        <v>448.94</v>
      </c>
      <c r="I40" s="53">
        <v>0</v>
      </c>
      <c r="J40" s="54"/>
      <c r="K40" s="53"/>
      <c r="L40" s="53">
        <v>455.82</v>
      </c>
      <c r="M40" s="53">
        <v>455.82</v>
      </c>
      <c r="N40" s="53">
        <v>0</v>
      </c>
      <c r="O40" s="54"/>
      <c r="P40" s="53"/>
      <c r="Q40" s="53">
        <v>471.81</v>
      </c>
      <c r="R40" s="53">
        <v>471.81</v>
      </c>
      <c r="S40" s="53">
        <v>0</v>
      </c>
      <c r="T40" s="54"/>
      <c r="U40" s="53"/>
      <c r="V40" s="53">
        <v>539.80999999999995</v>
      </c>
      <c r="W40" s="53">
        <v>539.80999999999995</v>
      </c>
      <c r="X40" s="53">
        <v>0</v>
      </c>
      <c r="Y40" s="54"/>
    </row>
    <row r="41" spans="1:25" x14ac:dyDescent="0.2">
      <c r="A41" s="50" t="s">
        <v>145</v>
      </c>
      <c r="B41" s="51" t="s">
        <v>65</v>
      </c>
      <c r="C41" s="51" t="s">
        <v>65</v>
      </c>
      <c r="D41" s="52">
        <v>36146</v>
      </c>
      <c r="E41" s="51" t="s">
        <v>111</v>
      </c>
      <c r="F41" s="53">
        <v>578.53</v>
      </c>
      <c r="G41" s="53">
        <v>578.53</v>
      </c>
      <c r="H41" s="53">
        <v>578.53</v>
      </c>
      <c r="I41" s="53">
        <v>0</v>
      </c>
      <c r="J41" s="54">
        <v>0</v>
      </c>
      <c r="K41" s="53">
        <v>587.39</v>
      </c>
      <c r="L41" s="53">
        <v>587.39</v>
      </c>
      <c r="M41" s="53">
        <v>587.39</v>
      </c>
      <c r="N41" s="53">
        <v>0</v>
      </c>
      <c r="O41" s="54">
        <v>0</v>
      </c>
      <c r="P41" s="53">
        <v>608</v>
      </c>
      <c r="Q41" s="53">
        <v>608</v>
      </c>
      <c r="R41" s="53">
        <v>608</v>
      </c>
      <c r="S41" s="53">
        <v>0</v>
      </c>
      <c r="T41" s="54">
        <v>0</v>
      </c>
      <c r="U41" s="53">
        <v>695.63</v>
      </c>
      <c r="V41" s="53">
        <v>695.63</v>
      </c>
      <c r="W41" s="53">
        <v>695.63</v>
      </c>
      <c r="X41" s="53">
        <v>0</v>
      </c>
      <c r="Y41" s="54">
        <v>0</v>
      </c>
    </row>
    <row r="42" spans="1:25" x14ac:dyDescent="0.2">
      <c r="A42" s="50" t="s">
        <v>146</v>
      </c>
      <c r="B42" s="51" t="s">
        <v>65</v>
      </c>
      <c r="C42" s="51" t="s">
        <v>65</v>
      </c>
      <c r="D42" s="52">
        <v>35249</v>
      </c>
      <c r="E42" s="51" t="s">
        <v>147</v>
      </c>
      <c r="F42" s="53">
        <v>590.1</v>
      </c>
      <c r="G42" s="53">
        <v>590.1</v>
      </c>
      <c r="H42" s="53">
        <v>590.1</v>
      </c>
      <c r="I42" s="53">
        <v>0</v>
      </c>
      <c r="J42" s="54">
        <v>0</v>
      </c>
      <c r="K42" s="53">
        <v>599.14</v>
      </c>
      <c r="L42" s="53">
        <v>599.14</v>
      </c>
      <c r="M42" s="53">
        <v>599.14</v>
      </c>
      <c r="N42" s="53">
        <v>0</v>
      </c>
      <c r="O42" s="54">
        <v>0</v>
      </c>
      <c r="P42" s="53">
        <v>620.16</v>
      </c>
      <c r="Q42" s="53">
        <v>620.16</v>
      </c>
      <c r="R42" s="53">
        <v>620.16</v>
      </c>
      <c r="S42" s="53">
        <v>0</v>
      </c>
      <c r="T42" s="54">
        <v>0</v>
      </c>
      <c r="U42" s="53">
        <v>709.54</v>
      </c>
      <c r="V42" s="53">
        <v>709.54</v>
      </c>
      <c r="W42" s="53">
        <v>709.54</v>
      </c>
      <c r="X42" s="53">
        <v>0</v>
      </c>
      <c r="Y42" s="54">
        <v>0</v>
      </c>
    </row>
    <row r="43" spans="1:25" ht="16.149999999999999" customHeight="1" x14ac:dyDescent="0.2">
      <c r="A43" s="226" t="s">
        <v>81</v>
      </c>
      <c r="B43" s="227"/>
      <c r="C43" s="227"/>
      <c r="D43" s="227"/>
      <c r="E43" s="227"/>
      <c r="F43" s="211" t="s">
        <v>161</v>
      </c>
      <c r="G43" s="212"/>
      <c r="H43" s="212"/>
      <c r="I43" s="212"/>
      <c r="J43" s="213"/>
      <c r="K43" s="211" t="s">
        <v>163</v>
      </c>
      <c r="L43" s="212"/>
      <c r="M43" s="212"/>
      <c r="N43" s="212"/>
      <c r="O43" s="213"/>
      <c r="P43" s="211" t="s">
        <v>165</v>
      </c>
      <c r="Q43" s="212"/>
      <c r="R43" s="212"/>
      <c r="S43" s="212"/>
      <c r="T43" s="213"/>
      <c r="U43" s="211" t="s">
        <v>168</v>
      </c>
      <c r="V43" s="212"/>
      <c r="W43" s="212"/>
      <c r="X43" s="212"/>
      <c r="Y43" s="213"/>
    </row>
    <row r="44" spans="1:25" ht="13.9" customHeight="1" x14ac:dyDescent="0.2">
      <c r="A44" s="228" t="s">
        <v>82</v>
      </c>
      <c r="B44" s="229"/>
      <c r="C44" s="229"/>
      <c r="D44" s="229"/>
      <c r="E44" s="229"/>
      <c r="F44" s="214">
        <v>11394.28</v>
      </c>
      <c r="G44" s="215"/>
      <c r="H44" s="215"/>
      <c r="I44" s="215"/>
      <c r="J44" s="216"/>
      <c r="K44" s="214">
        <v>11568.78</v>
      </c>
      <c r="L44" s="215"/>
      <c r="M44" s="215"/>
      <c r="N44" s="215"/>
      <c r="O44" s="216"/>
      <c r="P44" s="214">
        <v>11974.72</v>
      </c>
      <c r="Q44" s="215"/>
      <c r="R44" s="215"/>
      <c r="S44" s="215"/>
      <c r="T44" s="216"/>
      <c r="U44" s="214">
        <v>13700.57</v>
      </c>
      <c r="V44" s="215"/>
      <c r="W44" s="215"/>
      <c r="X44" s="215"/>
      <c r="Y44" s="216"/>
    </row>
    <row r="45" spans="1:25" ht="13.9" customHeight="1" x14ac:dyDescent="0.2">
      <c r="A45" s="230" t="s">
        <v>83</v>
      </c>
      <c r="B45" s="231"/>
      <c r="C45" s="231"/>
      <c r="D45" s="231"/>
      <c r="E45" s="231"/>
      <c r="F45" s="208">
        <f>F44*12</f>
        <v>136731.36000000002</v>
      </c>
      <c r="G45" s="209"/>
      <c r="H45" s="209"/>
      <c r="I45" s="209"/>
      <c r="J45" s="210"/>
      <c r="K45" s="208">
        <f>K44*12</f>
        <v>138825.36000000002</v>
      </c>
      <c r="L45" s="209"/>
      <c r="M45" s="209"/>
      <c r="N45" s="209"/>
      <c r="O45" s="210"/>
      <c r="P45" s="208">
        <f>P44*12</f>
        <v>143696.63999999998</v>
      </c>
      <c r="Q45" s="209"/>
      <c r="R45" s="209"/>
      <c r="S45" s="209"/>
      <c r="T45" s="210"/>
      <c r="U45" s="208">
        <f>U44*12</f>
        <v>164406.84</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700-000000000000}"/>
    <hyperlink ref="F46" r:id="rId2" xr:uid="{00000000-0004-0000-5700-000001000000}"/>
    <hyperlink ref="K7" r:id="rId3" xr:uid="{00000000-0004-0000-5700-000002000000}"/>
    <hyperlink ref="K46" r:id="rId4" xr:uid="{00000000-0004-0000-5700-000003000000}"/>
    <hyperlink ref="P7" r:id="rId5" xr:uid="{00000000-0004-0000-5700-000004000000}"/>
    <hyperlink ref="P46" r:id="rId6" xr:uid="{00000000-0004-0000-5700-000005000000}"/>
    <hyperlink ref="U7" r:id="rId7" xr:uid="{00000000-0004-0000-5700-000006000000}"/>
    <hyperlink ref="U46" r:id="rId8" xr:uid="{00000000-0004-0000-57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47DE-6E39-4105-A1DE-940C865C0C94}">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172</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169</v>
      </c>
      <c r="G6" s="122"/>
      <c r="H6" s="122"/>
      <c r="I6" s="122"/>
      <c r="J6" s="124"/>
      <c r="K6" s="121" t="s">
        <v>171</v>
      </c>
      <c r="L6" s="122"/>
      <c r="M6" s="122"/>
      <c r="N6" s="122"/>
      <c r="O6" s="124"/>
      <c r="P6" s="121" t="s">
        <v>174</v>
      </c>
      <c r="Q6" s="122"/>
      <c r="R6" s="122"/>
      <c r="S6" s="122"/>
      <c r="T6" s="124"/>
      <c r="U6" s="121" t="s">
        <v>176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170</v>
      </c>
      <c r="G8" s="233"/>
      <c r="H8" s="233"/>
      <c r="I8" s="233"/>
      <c r="J8" s="234"/>
      <c r="K8" s="232" t="s">
        <v>173</v>
      </c>
      <c r="L8" s="233"/>
      <c r="M8" s="233"/>
      <c r="N8" s="233"/>
      <c r="O8" s="234"/>
      <c r="P8" s="232" t="s">
        <v>175</v>
      </c>
      <c r="Q8" s="233"/>
      <c r="R8" s="233"/>
      <c r="S8" s="233"/>
      <c r="T8" s="234"/>
      <c r="U8" s="232" t="s">
        <v>177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2962.47</v>
      </c>
      <c r="G10" s="53">
        <v>1353.32</v>
      </c>
      <c r="H10" s="53">
        <v>1353.32</v>
      </c>
      <c r="I10" s="53">
        <v>0</v>
      </c>
      <c r="J10" s="54">
        <v>0</v>
      </c>
      <c r="K10" s="53">
        <v>3155.17</v>
      </c>
      <c r="L10" s="53">
        <v>1441.35</v>
      </c>
      <c r="M10" s="53">
        <v>1441.35</v>
      </c>
      <c r="N10" s="53">
        <v>0</v>
      </c>
      <c r="O10" s="54">
        <v>0</v>
      </c>
      <c r="P10" s="53">
        <v>3186.21</v>
      </c>
      <c r="Q10" s="53">
        <v>1455.53</v>
      </c>
      <c r="R10" s="53">
        <v>1455.53</v>
      </c>
      <c r="S10" s="53">
        <v>0</v>
      </c>
      <c r="T10" s="54">
        <v>0</v>
      </c>
      <c r="U10" s="53">
        <v>3229.19</v>
      </c>
      <c r="V10" s="53">
        <v>1475.17</v>
      </c>
      <c r="W10" s="53">
        <v>1475.17</v>
      </c>
      <c r="X10" s="53">
        <v>0</v>
      </c>
      <c r="Y10" s="54">
        <v>0</v>
      </c>
    </row>
    <row r="11" spans="1:25" x14ac:dyDescent="0.2">
      <c r="A11" s="50" t="s">
        <v>106</v>
      </c>
      <c r="B11" s="51" t="s">
        <v>107</v>
      </c>
      <c r="C11" s="51"/>
      <c r="D11" s="52">
        <v>27837</v>
      </c>
      <c r="E11" s="51" t="s">
        <v>105</v>
      </c>
      <c r="F11" s="53"/>
      <c r="G11" s="53">
        <v>1033.3900000000001</v>
      </c>
      <c r="H11" s="53">
        <v>1033.3900000000001</v>
      </c>
      <c r="I11" s="53">
        <v>0</v>
      </c>
      <c r="J11" s="54"/>
      <c r="K11" s="53"/>
      <c r="L11" s="53">
        <v>1100.6099999999999</v>
      </c>
      <c r="M11" s="53">
        <v>1100.6099999999999</v>
      </c>
      <c r="N11" s="53">
        <v>0</v>
      </c>
      <c r="O11" s="54"/>
      <c r="P11" s="53"/>
      <c r="Q11" s="53">
        <v>1111.44</v>
      </c>
      <c r="R11" s="53">
        <v>1111.44</v>
      </c>
      <c r="S11" s="53">
        <v>0</v>
      </c>
      <c r="T11" s="54"/>
      <c r="U11" s="53"/>
      <c r="V11" s="53">
        <v>1126.43</v>
      </c>
      <c r="W11" s="53">
        <v>1126.43</v>
      </c>
      <c r="X11" s="53">
        <v>0</v>
      </c>
      <c r="Y11" s="54"/>
    </row>
    <row r="12" spans="1:25" x14ac:dyDescent="0.2">
      <c r="A12" s="50" t="s">
        <v>108</v>
      </c>
      <c r="B12" s="51" t="s">
        <v>109</v>
      </c>
      <c r="C12" s="51"/>
      <c r="D12" s="52">
        <v>38648</v>
      </c>
      <c r="E12" s="51" t="s">
        <v>105</v>
      </c>
      <c r="F12" s="53"/>
      <c r="G12" s="53">
        <v>575.76</v>
      </c>
      <c r="H12" s="53">
        <v>575.76</v>
      </c>
      <c r="I12" s="53">
        <v>0</v>
      </c>
      <c r="J12" s="54"/>
      <c r="K12" s="53"/>
      <c r="L12" s="53">
        <v>613.21</v>
      </c>
      <c r="M12" s="53">
        <v>613.21</v>
      </c>
      <c r="N12" s="53">
        <v>0</v>
      </c>
      <c r="O12" s="54"/>
      <c r="P12" s="53"/>
      <c r="Q12" s="53">
        <v>619.24</v>
      </c>
      <c r="R12" s="53">
        <v>619.24</v>
      </c>
      <c r="S12" s="53">
        <v>0</v>
      </c>
      <c r="T12" s="54"/>
      <c r="U12" s="53"/>
      <c r="V12" s="53">
        <v>627.59</v>
      </c>
      <c r="W12" s="53">
        <v>627.59</v>
      </c>
      <c r="X12" s="53">
        <v>0</v>
      </c>
      <c r="Y12" s="54"/>
    </row>
    <row r="13" spans="1:25" x14ac:dyDescent="0.2">
      <c r="A13" s="50" t="s">
        <v>110</v>
      </c>
      <c r="B13" s="51" t="s">
        <v>65</v>
      </c>
      <c r="C13" s="51" t="s">
        <v>65</v>
      </c>
      <c r="D13" s="52">
        <v>36345</v>
      </c>
      <c r="E13" s="51" t="s">
        <v>111</v>
      </c>
      <c r="F13" s="53">
        <v>741.95</v>
      </c>
      <c r="G13" s="53">
        <v>741.95</v>
      </c>
      <c r="H13" s="53">
        <v>741.95</v>
      </c>
      <c r="I13" s="53">
        <v>0</v>
      </c>
      <c r="J13" s="54">
        <v>0</v>
      </c>
      <c r="K13" s="53">
        <v>790.22</v>
      </c>
      <c r="L13" s="53">
        <v>790.22</v>
      </c>
      <c r="M13" s="53">
        <v>790.22</v>
      </c>
      <c r="N13" s="53">
        <v>0</v>
      </c>
      <c r="O13" s="54">
        <v>0</v>
      </c>
      <c r="P13" s="53">
        <v>797.99</v>
      </c>
      <c r="Q13" s="53">
        <v>797.99</v>
      </c>
      <c r="R13" s="53">
        <v>797.99</v>
      </c>
      <c r="S13" s="53">
        <v>0</v>
      </c>
      <c r="T13" s="54">
        <v>0</v>
      </c>
      <c r="U13" s="53">
        <v>808.75</v>
      </c>
      <c r="V13" s="53">
        <v>808.75</v>
      </c>
      <c r="W13" s="53">
        <v>808.75</v>
      </c>
      <c r="X13" s="53">
        <v>0</v>
      </c>
      <c r="Y13" s="54">
        <v>0</v>
      </c>
    </row>
    <row r="14" spans="1:25" x14ac:dyDescent="0.2">
      <c r="A14" s="50" t="s">
        <v>112</v>
      </c>
      <c r="B14" s="51" t="s">
        <v>65</v>
      </c>
      <c r="C14" s="51" t="s">
        <v>104</v>
      </c>
      <c r="D14" s="52">
        <v>24895</v>
      </c>
      <c r="E14" s="51" t="s">
        <v>113</v>
      </c>
      <c r="F14" s="53">
        <v>3238.48</v>
      </c>
      <c r="G14" s="53">
        <v>1309.4000000000001</v>
      </c>
      <c r="H14" s="53">
        <v>1309.4000000000001</v>
      </c>
      <c r="I14" s="53">
        <v>0</v>
      </c>
      <c r="J14" s="54">
        <v>0</v>
      </c>
      <c r="K14" s="53">
        <v>3449.13</v>
      </c>
      <c r="L14" s="53">
        <v>1394.57</v>
      </c>
      <c r="M14" s="53">
        <v>1394.57</v>
      </c>
      <c r="N14" s="53">
        <v>0</v>
      </c>
      <c r="O14" s="54">
        <v>0</v>
      </c>
      <c r="P14" s="53">
        <v>3483.06</v>
      </c>
      <c r="Q14" s="53">
        <v>1408.29</v>
      </c>
      <c r="R14" s="53">
        <v>1408.29</v>
      </c>
      <c r="S14" s="53">
        <v>0</v>
      </c>
      <c r="T14" s="54">
        <v>0</v>
      </c>
      <c r="U14" s="53">
        <v>3530.05</v>
      </c>
      <c r="V14" s="53">
        <v>1427.29</v>
      </c>
      <c r="W14" s="53">
        <v>1427.29</v>
      </c>
      <c r="X14" s="53">
        <v>0</v>
      </c>
      <c r="Y14" s="54">
        <v>0</v>
      </c>
    </row>
    <row r="15" spans="1:25" x14ac:dyDescent="0.2">
      <c r="A15" s="50" t="s">
        <v>114</v>
      </c>
      <c r="B15" s="51" t="s">
        <v>107</v>
      </c>
      <c r="C15" s="51"/>
      <c r="D15" s="52">
        <v>24269</v>
      </c>
      <c r="E15" s="51" t="s">
        <v>113</v>
      </c>
      <c r="F15" s="53"/>
      <c r="G15" s="53">
        <v>1353.32</v>
      </c>
      <c r="H15" s="53">
        <v>1353.32</v>
      </c>
      <c r="I15" s="53">
        <v>0</v>
      </c>
      <c r="J15" s="54"/>
      <c r="K15" s="53"/>
      <c r="L15" s="53">
        <v>1441.35</v>
      </c>
      <c r="M15" s="53">
        <v>1441.35</v>
      </c>
      <c r="N15" s="53">
        <v>0</v>
      </c>
      <c r="O15" s="54"/>
      <c r="P15" s="53"/>
      <c r="Q15" s="53">
        <v>1455.53</v>
      </c>
      <c r="R15" s="53">
        <v>1455.53</v>
      </c>
      <c r="S15" s="53">
        <v>0</v>
      </c>
      <c r="T15" s="54"/>
      <c r="U15" s="53"/>
      <c r="V15" s="53">
        <v>1475.17</v>
      </c>
      <c r="W15" s="53">
        <v>1475.17</v>
      </c>
      <c r="X15" s="53">
        <v>0</v>
      </c>
      <c r="Y15" s="54"/>
    </row>
    <row r="16" spans="1:25" x14ac:dyDescent="0.2">
      <c r="A16" s="50" t="s">
        <v>115</v>
      </c>
      <c r="B16" s="51" t="s">
        <v>109</v>
      </c>
      <c r="C16" s="51"/>
      <c r="D16" s="52">
        <v>38614</v>
      </c>
      <c r="E16" s="51" t="s">
        <v>113</v>
      </c>
      <c r="F16" s="53"/>
      <c r="G16" s="53">
        <v>575.76</v>
      </c>
      <c r="H16" s="53">
        <v>575.76</v>
      </c>
      <c r="I16" s="53">
        <v>0</v>
      </c>
      <c r="J16" s="54"/>
      <c r="K16" s="53"/>
      <c r="L16" s="53">
        <v>613.21</v>
      </c>
      <c r="M16" s="53">
        <v>613.21</v>
      </c>
      <c r="N16" s="53">
        <v>0</v>
      </c>
      <c r="O16" s="54"/>
      <c r="P16" s="53"/>
      <c r="Q16" s="53">
        <v>619.24</v>
      </c>
      <c r="R16" s="53">
        <v>619.24</v>
      </c>
      <c r="S16" s="53">
        <v>0</v>
      </c>
      <c r="T16" s="54"/>
      <c r="U16" s="53"/>
      <c r="V16" s="53">
        <v>627.59</v>
      </c>
      <c r="W16" s="53">
        <v>627.59</v>
      </c>
      <c r="X16" s="53">
        <v>0</v>
      </c>
      <c r="Y16" s="54"/>
    </row>
    <row r="17" spans="1:25" x14ac:dyDescent="0.2">
      <c r="A17" s="50" t="s">
        <v>116</v>
      </c>
      <c r="B17" s="51" t="s">
        <v>65</v>
      </c>
      <c r="C17" s="51" t="s">
        <v>117</v>
      </c>
      <c r="D17" s="52">
        <v>18453</v>
      </c>
      <c r="E17" s="51" t="s">
        <v>118</v>
      </c>
      <c r="F17" s="53">
        <v>2706.64</v>
      </c>
      <c r="G17" s="53">
        <v>1353.32</v>
      </c>
      <c r="H17" s="53">
        <v>1353.32</v>
      </c>
      <c r="I17" s="53">
        <v>0</v>
      </c>
      <c r="J17" s="54">
        <v>0</v>
      </c>
      <c r="K17" s="53">
        <v>2882.7</v>
      </c>
      <c r="L17" s="53">
        <v>1441.35</v>
      </c>
      <c r="M17" s="53">
        <v>1441.35</v>
      </c>
      <c r="N17" s="53">
        <v>0</v>
      </c>
      <c r="O17" s="54">
        <v>0</v>
      </c>
      <c r="P17" s="53">
        <v>2911.06</v>
      </c>
      <c r="Q17" s="53">
        <v>1455.53</v>
      </c>
      <c r="R17" s="53">
        <v>1455.53</v>
      </c>
      <c r="S17" s="53">
        <v>0</v>
      </c>
      <c r="T17" s="54">
        <v>0</v>
      </c>
      <c r="U17" s="53">
        <v>2950.34</v>
      </c>
      <c r="V17" s="53">
        <v>1475.17</v>
      </c>
      <c r="W17" s="53">
        <v>1475.17</v>
      </c>
      <c r="X17" s="53">
        <v>0</v>
      </c>
      <c r="Y17" s="54">
        <v>0</v>
      </c>
    </row>
    <row r="18" spans="1:25" x14ac:dyDescent="0.2">
      <c r="A18" s="50" t="s">
        <v>119</v>
      </c>
      <c r="B18" s="51" t="s">
        <v>107</v>
      </c>
      <c r="C18" s="51"/>
      <c r="D18" s="52">
        <v>19761</v>
      </c>
      <c r="E18" s="51" t="s">
        <v>118</v>
      </c>
      <c r="F18" s="53"/>
      <c r="G18" s="53">
        <v>1353.32</v>
      </c>
      <c r="H18" s="53">
        <v>1353.32</v>
      </c>
      <c r="I18" s="53">
        <v>0</v>
      </c>
      <c r="J18" s="54"/>
      <c r="K18" s="53"/>
      <c r="L18" s="53">
        <v>1441.35</v>
      </c>
      <c r="M18" s="53">
        <v>1441.35</v>
      </c>
      <c r="N18" s="53">
        <v>0</v>
      </c>
      <c r="O18" s="54"/>
      <c r="P18" s="53"/>
      <c r="Q18" s="53">
        <v>1455.53</v>
      </c>
      <c r="R18" s="53">
        <v>1455.53</v>
      </c>
      <c r="S18" s="53">
        <v>0</v>
      </c>
      <c r="T18" s="54"/>
      <c r="U18" s="53"/>
      <c r="V18" s="53">
        <v>1475.17</v>
      </c>
      <c r="W18" s="53">
        <v>1475.17</v>
      </c>
      <c r="X18" s="53">
        <v>0</v>
      </c>
      <c r="Y18" s="54"/>
    </row>
    <row r="19" spans="1:25" x14ac:dyDescent="0.2">
      <c r="A19" s="50" t="s">
        <v>120</v>
      </c>
      <c r="B19" s="51" t="s">
        <v>65</v>
      </c>
      <c r="C19" s="51" t="s">
        <v>65</v>
      </c>
      <c r="D19" s="52">
        <v>35733</v>
      </c>
      <c r="E19" s="51" t="s">
        <v>121</v>
      </c>
      <c r="F19" s="53">
        <v>741.95</v>
      </c>
      <c r="G19" s="53">
        <v>741.95</v>
      </c>
      <c r="H19" s="53">
        <v>741.95</v>
      </c>
      <c r="I19" s="53">
        <v>0</v>
      </c>
      <c r="J19" s="54">
        <v>0</v>
      </c>
      <c r="K19" s="53">
        <v>790.22</v>
      </c>
      <c r="L19" s="53">
        <v>790.22</v>
      </c>
      <c r="M19" s="53">
        <v>790.22</v>
      </c>
      <c r="N19" s="53">
        <v>0</v>
      </c>
      <c r="O19" s="54">
        <v>0</v>
      </c>
      <c r="P19" s="53">
        <v>797.99</v>
      </c>
      <c r="Q19" s="53">
        <v>797.99</v>
      </c>
      <c r="R19" s="53">
        <v>797.99</v>
      </c>
      <c r="S19" s="53">
        <v>0</v>
      </c>
      <c r="T19" s="54">
        <v>0</v>
      </c>
      <c r="U19" s="53">
        <v>808.75</v>
      </c>
      <c r="V19" s="53">
        <v>808.75</v>
      </c>
      <c r="W19" s="53">
        <v>808.75</v>
      </c>
      <c r="X19" s="53">
        <v>0</v>
      </c>
      <c r="Y19" s="54">
        <v>0</v>
      </c>
    </row>
    <row r="20" spans="1:25" x14ac:dyDescent="0.2">
      <c r="A20" s="50" t="s">
        <v>122</v>
      </c>
      <c r="B20" s="51" t="s">
        <v>65</v>
      </c>
      <c r="C20" s="51" t="s">
        <v>104</v>
      </c>
      <c r="D20" s="52">
        <v>24958</v>
      </c>
      <c r="E20" s="51" t="s">
        <v>123</v>
      </c>
      <c r="F20" s="53">
        <v>3715.11</v>
      </c>
      <c r="G20" s="53">
        <v>1309.4000000000001</v>
      </c>
      <c r="H20" s="53">
        <v>1309.4000000000001</v>
      </c>
      <c r="I20" s="53">
        <v>0</v>
      </c>
      <c r="J20" s="54">
        <v>0</v>
      </c>
      <c r="K20" s="53">
        <v>3956.76</v>
      </c>
      <c r="L20" s="53">
        <v>1394.57</v>
      </c>
      <c r="M20" s="53">
        <v>1394.57</v>
      </c>
      <c r="N20" s="53">
        <v>0</v>
      </c>
      <c r="O20" s="54">
        <v>0</v>
      </c>
      <c r="P20" s="53">
        <v>3995.69</v>
      </c>
      <c r="Q20" s="53">
        <v>1408.29</v>
      </c>
      <c r="R20" s="53">
        <v>1408.29</v>
      </c>
      <c r="S20" s="53">
        <v>0</v>
      </c>
      <c r="T20" s="54">
        <v>0</v>
      </c>
      <c r="U20" s="53">
        <v>4049.59</v>
      </c>
      <c r="V20" s="53">
        <v>1427.29</v>
      </c>
      <c r="W20" s="53">
        <v>1427.29</v>
      </c>
      <c r="X20" s="53">
        <v>0</v>
      </c>
      <c r="Y20" s="54">
        <v>0</v>
      </c>
    </row>
    <row r="21" spans="1:25" x14ac:dyDescent="0.2">
      <c r="A21" s="50" t="s">
        <v>124</v>
      </c>
      <c r="B21" s="51" t="s">
        <v>107</v>
      </c>
      <c r="C21" s="51"/>
      <c r="D21" s="52">
        <v>25342</v>
      </c>
      <c r="E21" s="51" t="s">
        <v>123</v>
      </c>
      <c r="F21" s="53"/>
      <c r="G21" s="53">
        <v>1271.4100000000001</v>
      </c>
      <c r="H21" s="53">
        <v>1271.4100000000001</v>
      </c>
      <c r="I21" s="53">
        <v>0</v>
      </c>
      <c r="J21" s="54"/>
      <c r="K21" s="53"/>
      <c r="L21" s="53">
        <v>1354.11</v>
      </c>
      <c r="M21" s="53">
        <v>1354.11</v>
      </c>
      <c r="N21" s="53">
        <v>0</v>
      </c>
      <c r="O21" s="54"/>
      <c r="P21" s="53"/>
      <c r="Q21" s="53">
        <v>1367.43</v>
      </c>
      <c r="R21" s="53">
        <v>1367.43</v>
      </c>
      <c r="S21" s="53">
        <v>0</v>
      </c>
      <c r="T21" s="54"/>
      <c r="U21" s="53"/>
      <c r="V21" s="53">
        <v>1385.88</v>
      </c>
      <c r="W21" s="53">
        <v>1385.88</v>
      </c>
      <c r="X21" s="53">
        <v>0</v>
      </c>
      <c r="Y21" s="54"/>
    </row>
    <row r="22" spans="1:25" x14ac:dyDescent="0.2">
      <c r="A22" s="50" t="s">
        <v>125</v>
      </c>
      <c r="B22" s="51" t="s">
        <v>109</v>
      </c>
      <c r="C22" s="51"/>
      <c r="D22" s="52">
        <v>38632</v>
      </c>
      <c r="E22" s="51" t="s">
        <v>123</v>
      </c>
      <c r="F22" s="53"/>
      <c r="G22" s="53">
        <v>575.76</v>
      </c>
      <c r="H22" s="53">
        <v>575.76</v>
      </c>
      <c r="I22" s="53">
        <v>0</v>
      </c>
      <c r="J22" s="54"/>
      <c r="K22" s="53"/>
      <c r="L22" s="53">
        <v>613.21</v>
      </c>
      <c r="M22" s="53">
        <v>613.21</v>
      </c>
      <c r="N22" s="53">
        <v>0</v>
      </c>
      <c r="O22" s="54"/>
      <c r="P22" s="53"/>
      <c r="Q22" s="53">
        <v>619.24</v>
      </c>
      <c r="R22" s="53">
        <v>619.24</v>
      </c>
      <c r="S22" s="53">
        <v>0</v>
      </c>
      <c r="T22" s="54"/>
      <c r="U22" s="53"/>
      <c r="V22" s="53">
        <v>627.59</v>
      </c>
      <c r="W22" s="53">
        <v>627.59</v>
      </c>
      <c r="X22" s="53">
        <v>0</v>
      </c>
      <c r="Y22" s="54"/>
    </row>
    <row r="23" spans="1:25" x14ac:dyDescent="0.2">
      <c r="A23" s="50" t="s">
        <v>126</v>
      </c>
      <c r="B23" s="51" t="s">
        <v>109</v>
      </c>
      <c r="C23" s="51"/>
      <c r="D23" s="52">
        <v>39092</v>
      </c>
      <c r="E23" s="51" t="s">
        <v>123</v>
      </c>
      <c r="F23" s="53"/>
      <c r="G23" s="53">
        <v>558.54</v>
      </c>
      <c r="H23" s="53">
        <v>558.54</v>
      </c>
      <c r="I23" s="53">
        <v>0</v>
      </c>
      <c r="J23" s="54"/>
      <c r="K23" s="53"/>
      <c r="L23" s="53">
        <v>594.87</v>
      </c>
      <c r="M23" s="53">
        <v>594.87</v>
      </c>
      <c r="N23" s="53">
        <v>0</v>
      </c>
      <c r="O23" s="54"/>
      <c r="P23" s="53"/>
      <c r="Q23" s="53">
        <v>600.73</v>
      </c>
      <c r="R23" s="53">
        <v>600.73</v>
      </c>
      <c r="S23" s="53">
        <v>0</v>
      </c>
      <c r="T23" s="54"/>
      <c r="U23" s="53"/>
      <c r="V23" s="53">
        <v>608.83000000000004</v>
      </c>
      <c r="W23" s="53">
        <v>608.83000000000004</v>
      </c>
      <c r="X23" s="53">
        <v>0</v>
      </c>
      <c r="Y23" s="54"/>
    </row>
    <row r="24" spans="1:25" x14ac:dyDescent="0.2">
      <c r="A24" s="50" t="s">
        <v>127</v>
      </c>
      <c r="B24" s="51" t="s">
        <v>65</v>
      </c>
      <c r="C24" s="51" t="s">
        <v>117</v>
      </c>
      <c r="D24" s="52">
        <v>21309</v>
      </c>
      <c r="E24" s="51" t="s">
        <v>96</v>
      </c>
      <c r="F24" s="53">
        <v>2706.64</v>
      </c>
      <c r="G24" s="53">
        <v>1353.32</v>
      </c>
      <c r="H24" s="53">
        <v>1353.32</v>
      </c>
      <c r="I24" s="53">
        <v>0</v>
      </c>
      <c r="J24" s="54">
        <v>0</v>
      </c>
      <c r="K24" s="53">
        <v>2882.7</v>
      </c>
      <c r="L24" s="53">
        <v>1441.35</v>
      </c>
      <c r="M24" s="53">
        <v>1441.35</v>
      </c>
      <c r="N24" s="53">
        <v>0</v>
      </c>
      <c r="O24" s="54">
        <v>0</v>
      </c>
      <c r="P24" s="53">
        <v>2911.06</v>
      </c>
      <c r="Q24" s="53">
        <v>1455.53</v>
      </c>
      <c r="R24" s="53">
        <v>1455.53</v>
      </c>
      <c r="S24" s="53">
        <v>0</v>
      </c>
      <c r="T24" s="54">
        <v>0</v>
      </c>
      <c r="U24" s="53">
        <v>2950.34</v>
      </c>
      <c r="V24" s="53">
        <v>1475.17</v>
      </c>
      <c r="W24" s="53">
        <v>1475.17</v>
      </c>
      <c r="X24" s="53">
        <v>0</v>
      </c>
      <c r="Y24" s="54">
        <v>0</v>
      </c>
    </row>
    <row r="25" spans="1:25" x14ac:dyDescent="0.2">
      <c r="A25" s="50" t="s">
        <v>128</v>
      </c>
      <c r="B25" s="51" t="s">
        <v>107</v>
      </c>
      <c r="C25" s="51"/>
      <c r="D25" s="52">
        <v>23570</v>
      </c>
      <c r="E25" s="51" t="s">
        <v>96</v>
      </c>
      <c r="F25" s="53"/>
      <c r="G25" s="53">
        <v>1353.32</v>
      </c>
      <c r="H25" s="53">
        <v>1353.32</v>
      </c>
      <c r="I25" s="53">
        <v>0</v>
      </c>
      <c r="J25" s="54"/>
      <c r="K25" s="53"/>
      <c r="L25" s="53">
        <v>1441.35</v>
      </c>
      <c r="M25" s="53">
        <v>1441.35</v>
      </c>
      <c r="N25" s="53">
        <v>0</v>
      </c>
      <c r="O25" s="54"/>
      <c r="P25" s="53"/>
      <c r="Q25" s="53">
        <v>1455.53</v>
      </c>
      <c r="R25" s="53">
        <v>1455.53</v>
      </c>
      <c r="S25" s="53">
        <v>0</v>
      </c>
      <c r="T25" s="54"/>
      <c r="U25" s="53"/>
      <c r="V25" s="53">
        <v>1475.17</v>
      </c>
      <c r="W25" s="53">
        <v>1475.17</v>
      </c>
      <c r="X25" s="53">
        <v>0</v>
      </c>
      <c r="Y25" s="54"/>
    </row>
    <row r="26" spans="1:25" x14ac:dyDescent="0.2">
      <c r="A26" s="50" t="s">
        <v>129</v>
      </c>
      <c r="B26" s="51" t="s">
        <v>65</v>
      </c>
      <c r="C26" s="51" t="s">
        <v>65</v>
      </c>
      <c r="D26" s="52">
        <v>24147</v>
      </c>
      <c r="E26" s="51" t="s">
        <v>113</v>
      </c>
      <c r="F26" s="53">
        <v>1353.32</v>
      </c>
      <c r="G26" s="53">
        <v>1353.32</v>
      </c>
      <c r="H26" s="53">
        <v>1353.32</v>
      </c>
      <c r="I26" s="53">
        <v>0</v>
      </c>
      <c r="J26" s="54">
        <v>0</v>
      </c>
      <c r="K26" s="53">
        <v>1441.35</v>
      </c>
      <c r="L26" s="53">
        <v>1441.35</v>
      </c>
      <c r="M26" s="53">
        <v>1441.35</v>
      </c>
      <c r="N26" s="53">
        <v>0</v>
      </c>
      <c r="O26" s="54">
        <v>0</v>
      </c>
      <c r="P26" s="53">
        <v>1455.53</v>
      </c>
      <c r="Q26" s="53">
        <v>1455.53</v>
      </c>
      <c r="R26" s="53">
        <v>1455.53</v>
      </c>
      <c r="S26" s="53">
        <v>0</v>
      </c>
      <c r="T26" s="54">
        <v>0</v>
      </c>
      <c r="U26" s="53">
        <v>1475.17</v>
      </c>
      <c r="V26" s="53">
        <v>1475.17</v>
      </c>
      <c r="W26" s="53">
        <v>1475.17</v>
      </c>
      <c r="X26" s="53">
        <v>0</v>
      </c>
      <c r="Y26" s="54">
        <v>0</v>
      </c>
    </row>
    <row r="27" spans="1:25" x14ac:dyDescent="0.2">
      <c r="A27" s="50" t="s">
        <v>130</v>
      </c>
      <c r="B27" s="51" t="s">
        <v>65</v>
      </c>
      <c r="C27" s="51" t="s">
        <v>65</v>
      </c>
      <c r="D27" s="52">
        <v>25210</v>
      </c>
      <c r="E27" s="51" t="s">
        <v>131</v>
      </c>
      <c r="F27" s="53">
        <v>1271.4100000000001</v>
      </c>
      <c r="G27" s="53">
        <v>1271.4100000000001</v>
      </c>
      <c r="H27" s="53">
        <v>1271.4100000000001</v>
      </c>
      <c r="I27" s="53">
        <v>0</v>
      </c>
      <c r="J27" s="54">
        <v>0</v>
      </c>
      <c r="K27" s="53">
        <v>1354.11</v>
      </c>
      <c r="L27" s="53">
        <v>1354.11</v>
      </c>
      <c r="M27" s="53">
        <v>1354.11</v>
      </c>
      <c r="N27" s="53">
        <v>0</v>
      </c>
      <c r="O27" s="54">
        <v>0</v>
      </c>
      <c r="P27" s="53">
        <v>1367.43</v>
      </c>
      <c r="Q27" s="53">
        <v>1367.43</v>
      </c>
      <c r="R27" s="53">
        <v>1367.43</v>
      </c>
      <c r="S27" s="53">
        <v>0</v>
      </c>
      <c r="T27" s="54">
        <v>0</v>
      </c>
      <c r="U27" s="53">
        <v>1385.88</v>
      </c>
      <c r="V27" s="53">
        <v>1385.88</v>
      </c>
      <c r="W27" s="53">
        <v>1385.88</v>
      </c>
      <c r="X27" s="53">
        <v>0</v>
      </c>
      <c r="Y27" s="54">
        <v>0</v>
      </c>
    </row>
    <row r="28" spans="1:25" x14ac:dyDescent="0.2">
      <c r="A28" s="50" t="s">
        <v>132</v>
      </c>
      <c r="B28" s="51" t="s">
        <v>65</v>
      </c>
      <c r="C28" s="51" t="s">
        <v>65</v>
      </c>
      <c r="D28" s="52">
        <v>35103</v>
      </c>
      <c r="E28" s="51" t="s">
        <v>113</v>
      </c>
      <c r="F28" s="53">
        <v>763.92</v>
      </c>
      <c r="G28" s="53">
        <v>763.92</v>
      </c>
      <c r="H28" s="53">
        <v>763.92</v>
      </c>
      <c r="I28" s="53">
        <v>0</v>
      </c>
      <c r="J28" s="54">
        <v>0</v>
      </c>
      <c r="K28" s="53">
        <v>813.61</v>
      </c>
      <c r="L28" s="53">
        <v>813.61</v>
      </c>
      <c r="M28" s="53">
        <v>813.61</v>
      </c>
      <c r="N28" s="53">
        <v>0</v>
      </c>
      <c r="O28" s="54">
        <v>0</v>
      </c>
      <c r="P28" s="53">
        <v>821.61</v>
      </c>
      <c r="Q28" s="53">
        <v>821.61</v>
      </c>
      <c r="R28" s="53">
        <v>821.61</v>
      </c>
      <c r="S28" s="53">
        <v>0</v>
      </c>
      <c r="T28" s="54">
        <v>0</v>
      </c>
      <c r="U28" s="53">
        <v>832.69</v>
      </c>
      <c r="V28" s="53">
        <v>832.69</v>
      </c>
      <c r="W28" s="53">
        <v>832.69</v>
      </c>
      <c r="X28" s="53">
        <v>0</v>
      </c>
      <c r="Y28" s="54">
        <v>0</v>
      </c>
    </row>
    <row r="29" spans="1:25" x14ac:dyDescent="0.2">
      <c r="A29" s="50" t="s">
        <v>133</v>
      </c>
      <c r="B29" s="51" t="s">
        <v>65</v>
      </c>
      <c r="C29" s="51" t="s">
        <v>117</v>
      </c>
      <c r="D29" s="52">
        <v>27399</v>
      </c>
      <c r="E29" s="51" t="s">
        <v>113</v>
      </c>
      <c r="F29" s="53">
        <v>1960.54</v>
      </c>
      <c r="G29" s="53">
        <v>1063.67</v>
      </c>
      <c r="H29" s="53">
        <v>1063.67</v>
      </c>
      <c r="I29" s="53">
        <v>0</v>
      </c>
      <c r="J29" s="54">
        <v>0</v>
      </c>
      <c r="K29" s="53">
        <v>2088.06</v>
      </c>
      <c r="L29" s="53">
        <v>1132.8499999999999</v>
      </c>
      <c r="M29" s="53">
        <v>1132.8499999999999</v>
      </c>
      <c r="N29" s="53">
        <v>0</v>
      </c>
      <c r="O29" s="54">
        <v>0</v>
      </c>
      <c r="P29" s="53">
        <v>2108.61</v>
      </c>
      <c r="Q29" s="53">
        <v>1144</v>
      </c>
      <c r="R29" s="53">
        <v>1144</v>
      </c>
      <c r="S29" s="53">
        <v>0</v>
      </c>
      <c r="T29" s="54">
        <v>0</v>
      </c>
      <c r="U29" s="53">
        <v>2137.0500000000002</v>
      </c>
      <c r="V29" s="53">
        <v>1159.43</v>
      </c>
      <c r="W29" s="53">
        <v>1159.43</v>
      </c>
      <c r="X29" s="53">
        <v>0</v>
      </c>
      <c r="Y29" s="54">
        <v>0</v>
      </c>
    </row>
    <row r="30" spans="1:25" x14ac:dyDescent="0.2">
      <c r="A30" s="50" t="s">
        <v>134</v>
      </c>
      <c r="B30" s="51" t="s">
        <v>107</v>
      </c>
      <c r="C30" s="51"/>
      <c r="D30" s="52">
        <v>29502</v>
      </c>
      <c r="E30" s="51" t="s">
        <v>113</v>
      </c>
      <c r="F30" s="53"/>
      <c r="G30" s="53">
        <v>896.87</v>
      </c>
      <c r="H30" s="53">
        <v>896.87</v>
      </c>
      <c r="I30" s="53">
        <v>0</v>
      </c>
      <c r="J30" s="54"/>
      <c r="K30" s="53"/>
      <c r="L30" s="53">
        <v>955.21</v>
      </c>
      <c r="M30" s="53">
        <v>955.21</v>
      </c>
      <c r="N30" s="53">
        <v>0</v>
      </c>
      <c r="O30" s="54"/>
      <c r="P30" s="53"/>
      <c r="Q30" s="53">
        <v>964.61</v>
      </c>
      <c r="R30" s="53">
        <v>964.61</v>
      </c>
      <c r="S30" s="53">
        <v>0</v>
      </c>
      <c r="T30" s="54"/>
      <c r="U30" s="53"/>
      <c r="V30" s="53">
        <v>977.62</v>
      </c>
      <c r="W30" s="53">
        <v>977.62</v>
      </c>
      <c r="X30" s="53">
        <v>0</v>
      </c>
      <c r="Y30" s="54"/>
    </row>
    <row r="31" spans="1:25" x14ac:dyDescent="0.2">
      <c r="A31" s="50" t="s">
        <v>135</v>
      </c>
      <c r="B31" s="51" t="s">
        <v>65</v>
      </c>
      <c r="C31" s="51" t="s">
        <v>104</v>
      </c>
      <c r="D31" s="52">
        <v>24592</v>
      </c>
      <c r="E31" s="51" t="s">
        <v>111</v>
      </c>
      <c r="F31" s="53">
        <v>3448.59</v>
      </c>
      <c r="G31" s="53">
        <v>1353.32</v>
      </c>
      <c r="H31" s="53">
        <v>1353.32</v>
      </c>
      <c r="I31" s="53">
        <v>0</v>
      </c>
      <c r="J31" s="54">
        <v>0</v>
      </c>
      <c r="K31" s="53">
        <v>3672.92</v>
      </c>
      <c r="L31" s="53">
        <v>1441.35</v>
      </c>
      <c r="M31" s="53">
        <v>1441.35</v>
      </c>
      <c r="N31" s="53">
        <v>0</v>
      </c>
      <c r="O31" s="54">
        <v>0</v>
      </c>
      <c r="P31" s="53">
        <v>3709.05</v>
      </c>
      <c r="Q31" s="53">
        <v>1455.53</v>
      </c>
      <c r="R31" s="53">
        <v>1455.53</v>
      </c>
      <c r="S31" s="53">
        <v>0</v>
      </c>
      <c r="T31" s="54">
        <v>0</v>
      </c>
      <c r="U31" s="53">
        <v>3759.09</v>
      </c>
      <c r="V31" s="53">
        <v>1475.17</v>
      </c>
      <c r="W31" s="53">
        <v>1475.17</v>
      </c>
      <c r="X31" s="53">
        <v>0</v>
      </c>
      <c r="Y31" s="54">
        <v>0</v>
      </c>
    </row>
    <row r="32" spans="1:25" x14ac:dyDescent="0.2">
      <c r="A32" s="50" t="s">
        <v>136</v>
      </c>
      <c r="B32" s="51" t="s">
        <v>107</v>
      </c>
      <c r="C32" s="51"/>
      <c r="D32" s="52">
        <v>22616</v>
      </c>
      <c r="E32" s="51" t="s">
        <v>111</v>
      </c>
      <c r="F32" s="53"/>
      <c r="G32" s="53">
        <v>1353.32</v>
      </c>
      <c r="H32" s="53">
        <v>1353.32</v>
      </c>
      <c r="I32" s="53">
        <v>0</v>
      </c>
      <c r="J32" s="54"/>
      <c r="K32" s="53"/>
      <c r="L32" s="53">
        <v>1441.35</v>
      </c>
      <c r="M32" s="53">
        <v>1441.35</v>
      </c>
      <c r="N32" s="53">
        <v>0</v>
      </c>
      <c r="O32" s="54"/>
      <c r="P32" s="53"/>
      <c r="Q32" s="53">
        <v>1455.53</v>
      </c>
      <c r="R32" s="53">
        <v>1455.53</v>
      </c>
      <c r="S32" s="53">
        <v>0</v>
      </c>
      <c r="T32" s="54"/>
      <c r="U32" s="53"/>
      <c r="V32" s="53">
        <v>1475.17</v>
      </c>
      <c r="W32" s="53">
        <v>1475.17</v>
      </c>
      <c r="X32" s="53">
        <v>0</v>
      </c>
      <c r="Y32" s="54"/>
    </row>
    <row r="33" spans="1:25" x14ac:dyDescent="0.2">
      <c r="A33" s="50" t="s">
        <v>137</v>
      </c>
      <c r="B33" s="51" t="s">
        <v>109</v>
      </c>
      <c r="C33" s="51"/>
      <c r="D33" s="52">
        <v>37842</v>
      </c>
      <c r="E33" s="51" t="s">
        <v>111</v>
      </c>
      <c r="F33" s="53"/>
      <c r="G33" s="53">
        <v>741.95</v>
      </c>
      <c r="H33" s="53">
        <v>741.95</v>
      </c>
      <c r="I33" s="53">
        <v>0</v>
      </c>
      <c r="J33" s="54"/>
      <c r="K33" s="53"/>
      <c r="L33" s="53">
        <v>790.22</v>
      </c>
      <c r="M33" s="53">
        <v>790.22</v>
      </c>
      <c r="N33" s="53">
        <v>0</v>
      </c>
      <c r="O33" s="54"/>
      <c r="P33" s="53"/>
      <c r="Q33" s="53">
        <v>797.99</v>
      </c>
      <c r="R33" s="53">
        <v>797.99</v>
      </c>
      <c r="S33" s="53">
        <v>0</v>
      </c>
      <c r="T33" s="54"/>
      <c r="U33" s="53"/>
      <c r="V33" s="53">
        <v>808.75</v>
      </c>
      <c r="W33" s="53">
        <v>808.75</v>
      </c>
      <c r="X33" s="53">
        <v>0</v>
      </c>
      <c r="Y33" s="54"/>
    </row>
    <row r="34" spans="1:25" x14ac:dyDescent="0.2">
      <c r="A34" s="50" t="s">
        <v>138</v>
      </c>
      <c r="B34" s="51" t="s">
        <v>65</v>
      </c>
      <c r="C34" s="51" t="s">
        <v>65</v>
      </c>
      <c r="D34" s="52">
        <v>35401</v>
      </c>
      <c r="E34" s="51" t="s">
        <v>113</v>
      </c>
      <c r="F34" s="53">
        <v>756.79</v>
      </c>
      <c r="G34" s="53">
        <v>756.79</v>
      </c>
      <c r="H34" s="53">
        <v>756.79</v>
      </c>
      <c r="I34" s="53">
        <v>0</v>
      </c>
      <c r="J34" s="54">
        <v>0</v>
      </c>
      <c r="K34" s="53">
        <v>806.02</v>
      </c>
      <c r="L34" s="53">
        <v>806.02</v>
      </c>
      <c r="M34" s="53">
        <v>806.02</v>
      </c>
      <c r="N34" s="53">
        <v>0</v>
      </c>
      <c r="O34" s="54">
        <v>0</v>
      </c>
      <c r="P34" s="53">
        <v>813.95</v>
      </c>
      <c r="Q34" s="53">
        <v>813.95</v>
      </c>
      <c r="R34" s="53">
        <v>813.95</v>
      </c>
      <c r="S34" s="53">
        <v>0</v>
      </c>
      <c r="T34" s="54">
        <v>0</v>
      </c>
      <c r="U34" s="53">
        <v>824.93</v>
      </c>
      <c r="V34" s="53">
        <v>824.93</v>
      </c>
      <c r="W34" s="53">
        <v>824.93</v>
      </c>
      <c r="X34" s="53">
        <v>0</v>
      </c>
      <c r="Y34" s="54">
        <v>0</v>
      </c>
    </row>
    <row r="35" spans="1:25" x14ac:dyDescent="0.2">
      <c r="A35" s="50" t="s">
        <v>139</v>
      </c>
      <c r="B35" s="51" t="s">
        <v>65</v>
      </c>
      <c r="C35" s="51" t="s">
        <v>65</v>
      </c>
      <c r="D35" s="52">
        <v>35453</v>
      </c>
      <c r="E35" s="51" t="s">
        <v>113</v>
      </c>
      <c r="F35" s="53">
        <v>756.79</v>
      </c>
      <c r="G35" s="53">
        <v>756.79</v>
      </c>
      <c r="H35" s="53">
        <v>756.79</v>
      </c>
      <c r="I35" s="53">
        <v>0</v>
      </c>
      <c r="J35" s="54">
        <v>0</v>
      </c>
      <c r="K35" s="53">
        <v>806.02</v>
      </c>
      <c r="L35" s="53">
        <v>806.02</v>
      </c>
      <c r="M35" s="53">
        <v>806.02</v>
      </c>
      <c r="N35" s="53">
        <v>0</v>
      </c>
      <c r="O35" s="54">
        <v>0</v>
      </c>
      <c r="P35" s="53">
        <v>813.95</v>
      </c>
      <c r="Q35" s="53">
        <v>813.95</v>
      </c>
      <c r="R35" s="53">
        <v>813.95</v>
      </c>
      <c r="S35" s="53">
        <v>0</v>
      </c>
      <c r="T35" s="54">
        <v>0</v>
      </c>
      <c r="U35" s="53">
        <v>824.93</v>
      </c>
      <c r="V35" s="53">
        <v>824.93</v>
      </c>
      <c r="W35" s="53">
        <v>824.93</v>
      </c>
      <c r="X35" s="53">
        <v>0</v>
      </c>
      <c r="Y35" s="54">
        <v>0</v>
      </c>
    </row>
    <row r="36" spans="1:25" x14ac:dyDescent="0.2">
      <c r="A36" s="50" t="s">
        <v>140</v>
      </c>
      <c r="B36" s="51" t="s">
        <v>65</v>
      </c>
      <c r="C36" s="51" t="s">
        <v>65</v>
      </c>
      <c r="D36" s="52">
        <v>34864</v>
      </c>
      <c r="E36" s="51" t="s">
        <v>118</v>
      </c>
      <c r="F36" s="53">
        <v>763.92</v>
      </c>
      <c r="G36" s="53">
        <v>763.92</v>
      </c>
      <c r="H36" s="53">
        <v>763.92</v>
      </c>
      <c r="I36" s="53">
        <v>0</v>
      </c>
      <c r="J36" s="54">
        <v>0</v>
      </c>
      <c r="K36" s="53">
        <v>813.61</v>
      </c>
      <c r="L36" s="53">
        <v>813.61</v>
      </c>
      <c r="M36" s="53">
        <v>813.61</v>
      </c>
      <c r="N36" s="53">
        <v>0</v>
      </c>
      <c r="O36" s="54">
        <v>0</v>
      </c>
      <c r="P36" s="53">
        <v>821.61</v>
      </c>
      <c r="Q36" s="53">
        <v>821.61</v>
      </c>
      <c r="R36" s="53">
        <v>821.61</v>
      </c>
      <c r="S36" s="53">
        <v>0</v>
      </c>
      <c r="T36" s="54">
        <v>0</v>
      </c>
      <c r="U36" s="53">
        <v>832.69</v>
      </c>
      <c r="V36" s="53">
        <v>832.69</v>
      </c>
      <c r="W36" s="53">
        <v>832.69</v>
      </c>
      <c r="X36" s="53">
        <v>0</v>
      </c>
      <c r="Y36" s="54">
        <v>0</v>
      </c>
    </row>
    <row r="37" spans="1:25" x14ac:dyDescent="0.2">
      <c r="A37" s="50" t="s">
        <v>141</v>
      </c>
      <c r="B37" s="51" t="s">
        <v>65</v>
      </c>
      <c r="C37" s="51" t="s">
        <v>104</v>
      </c>
      <c r="D37" s="52">
        <v>26666</v>
      </c>
      <c r="E37" s="51" t="s">
        <v>118</v>
      </c>
      <c r="F37" s="53">
        <v>3392.22</v>
      </c>
      <c r="G37" s="53">
        <v>1128.96</v>
      </c>
      <c r="H37" s="53">
        <v>1128.96</v>
      </c>
      <c r="I37" s="53">
        <v>0</v>
      </c>
      <c r="J37" s="54">
        <v>0</v>
      </c>
      <c r="K37" s="53">
        <v>3612.87</v>
      </c>
      <c r="L37" s="53">
        <v>1202.3900000000001</v>
      </c>
      <c r="M37" s="53">
        <v>1202.3900000000001</v>
      </c>
      <c r="N37" s="53">
        <v>0</v>
      </c>
      <c r="O37" s="54">
        <v>0</v>
      </c>
      <c r="P37" s="53">
        <v>3648.41</v>
      </c>
      <c r="Q37" s="53">
        <v>1214.22</v>
      </c>
      <c r="R37" s="53">
        <v>1214.22</v>
      </c>
      <c r="S37" s="53">
        <v>0</v>
      </c>
      <c r="T37" s="54">
        <v>0</v>
      </c>
      <c r="U37" s="53">
        <v>3697.62</v>
      </c>
      <c r="V37" s="53">
        <v>1230.5999999999999</v>
      </c>
      <c r="W37" s="53">
        <v>1230.5999999999999</v>
      </c>
      <c r="X37" s="53">
        <v>0</v>
      </c>
      <c r="Y37" s="54">
        <v>0</v>
      </c>
    </row>
    <row r="38" spans="1:25" x14ac:dyDescent="0.2">
      <c r="A38" s="50" t="s">
        <v>142</v>
      </c>
      <c r="B38" s="51" t="s">
        <v>107</v>
      </c>
      <c r="C38" s="51"/>
      <c r="D38" s="52">
        <v>28717</v>
      </c>
      <c r="E38" s="51" t="s">
        <v>118</v>
      </c>
      <c r="F38" s="53"/>
      <c r="G38" s="53">
        <v>945.55</v>
      </c>
      <c r="H38" s="53">
        <v>945.55</v>
      </c>
      <c r="I38" s="53">
        <v>0</v>
      </c>
      <c r="J38" s="54"/>
      <c r="K38" s="53"/>
      <c r="L38" s="53">
        <v>1007.05</v>
      </c>
      <c r="M38" s="53">
        <v>1007.05</v>
      </c>
      <c r="N38" s="53">
        <v>0</v>
      </c>
      <c r="O38" s="54"/>
      <c r="P38" s="53"/>
      <c r="Q38" s="53">
        <v>1016.96</v>
      </c>
      <c r="R38" s="53">
        <v>1016.96</v>
      </c>
      <c r="S38" s="53">
        <v>0</v>
      </c>
      <c r="T38" s="54"/>
      <c r="U38" s="53"/>
      <c r="V38" s="53">
        <v>1030.68</v>
      </c>
      <c r="W38" s="53">
        <v>1030.68</v>
      </c>
      <c r="X38" s="53">
        <v>0</v>
      </c>
      <c r="Y38" s="54"/>
    </row>
    <row r="39" spans="1:25" x14ac:dyDescent="0.2">
      <c r="A39" s="50" t="s">
        <v>143</v>
      </c>
      <c r="B39" s="51" t="s">
        <v>109</v>
      </c>
      <c r="C39" s="51"/>
      <c r="D39" s="52">
        <v>37384</v>
      </c>
      <c r="E39" s="51" t="s">
        <v>118</v>
      </c>
      <c r="F39" s="53"/>
      <c r="G39" s="53">
        <v>741.95</v>
      </c>
      <c r="H39" s="53">
        <v>741.95</v>
      </c>
      <c r="I39" s="53">
        <v>0</v>
      </c>
      <c r="J39" s="54"/>
      <c r="K39" s="53"/>
      <c r="L39" s="53">
        <v>790.22</v>
      </c>
      <c r="M39" s="53">
        <v>790.22</v>
      </c>
      <c r="N39" s="53">
        <v>0</v>
      </c>
      <c r="O39" s="54"/>
      <c r="P39" s="53"/>
      <c r="Q39" s="53">
        <v>797.99</v>
      </c>
      <c r="R39" s="53">
        <v>797.99</v>
      </c>
      <c r="S39" s="53">
        <v>0</v>
      </c>
      <c r="T39" s="54"/>
      <c r="U39" s="53"/>
      <c r="V39" s="53">
        <v>808.75</v>
      </c>
      <c r="W39" s="53">
        <v>808.75</v>
      </c>
      <c r="X39" s="53">
        <v>0</v>
      </c>
      <c r="Y39" s="54"/>
    </row>
    <row r="40" spans="1:25" x14ac:dyDescent="0.2">
      <c r="A40" s="50" t="s">
        <v>144</v>
      </c>
      <c r="B40" s="51" t="s">
        <v>109</v>
      </c>
      <c r="C40" s="51"/>
      <c r="D40" s="52">
        <v>38688</v>
      </c>
      <c r="E40" s="51" t="s">
        <v>118</v>
      </c>
      <c r="F40" s="53"/>
      <c r="G40" s="53">
        <v>575.76</v>
      </c>
      <c r="H40" s="53">
        <v>575.76</v>
      </c>
      <c r="I40" s="53">
        <v>0</v>
      </c>
      <c r="J40" s="54"/>
      <c r="K40" s="53"/>
      <c r="L40" s="53">
        <v>613.21</v>
      </c>
      <c r="M40" s="53">
        <v>613.21</v>
      </c>
      <c r="N40" s="53">
        <v>0</v>
      </c>
      <c r="O40" s="54"/>
      <c r="P40" s="53"/>
      <c r="Q40" s="53">
        <v>619.24</v>
      </c>
      <c r="R40" s="53">
        <v>619.24</v>
      </c>
      <c r="S40" s="53">
        <v>0</v>
      </c>
      <c r="T40" s="54"/>
      <c r="U40" s="53"/>
      <c r="V40" s="53">
        <v>627.59</v>
      </c>
      <c r="W40" s="53">
        <v>627.59</v>
      </c>
      <c r="X40" s="53">
        <v>0</v>
      </c>
      <c r="Y40" s="54"/>
    </row>
    <row r="41" spans="1:25" x14ac:dyDescent="0.2">
      <c r="A41" s="50" t="s">
        <v>145</v>
      </c>
      <c r="B41" s="51" t="s">
        <v>65</v>
      </c>
      <c r="C41" s="51" t="s">
        <v>65</v>
      </c>
      <c r="D41" s="52">
        <v>36146</v>
      </c>
      <c r="E41" s="51" t="s">
        <v>111</v>
      </c>
      <c r="F41" s="53">
        <v>741.95</v>
      </c>
      <c r="G41" s="53">
        <v>741.95</v>
      </c>
      <c r="H41" s="53">
        <v>741.95</v>
      </c>
      <c r="I41" s="53">
        <v>0</v>
      </c>
      <c r="J41" s="54">
        <v>0</v>
      </c>
      <c r="K41" s="53">
        <v>790.22</v>
      </c>
      <c r="L41" s="53">
        <v>790.22</v>
      </c>
      <c r="M41" s="53">
        <v>790.22</v>
      </c>
      <c r="N41" s="53">
        <v>0</v>
      </c>
      <c r="O41" s="54">
        <v>0</v>
      </c>
      <c r="P41" s="53">
        <v>797.99</v>
      </c>
      <c r="Q41" s="53">
        <v>797.99</v>
      </c>
      <c r="R41" s="53">
        <v>797.99</v>
      </c>
      <c r="S41" s="53">
        <v>0</v>
      </c>
      <c r="T41" s="54">
        <v>0</v>
      </c>
      <c r="U41" s="53">
        <v>808.75</v>
      </c>
      <c r="V41" s="53">
        <v>808.75</v>
      </c>
      <c r="W41" s="53">
        <v>808.75</v>
      </c>
      <c r="X41" s="53">
        <v>0</v>
      </c>
      <c r="Y41" s="54">
        <v>0</v>
      </c>
    </row>
    <row r="42" spans="1:25" x14ac:dyDescent="0.2">
      <c r="A42" s="50" t="s">
        <v>146</v>
      </c>
      <c r="B42" s="51" t="s">
        <v>65</v>
      </c>
      <c r="C42" s="51" t="s">
        <v>65</v>
      </c>
      <c r="D42" s="52">
        <v>35249</v>
      </c>
      <c r="E42" s="51" t="s">
        <v>147</v>
      </c>
      <c r="F42" s="53">
        <v>756.79</v>
      </c>
      <c r="G42" s="53">
        <v>756.79</v>
      </c>
      <c r="H42" s="53">
        <v>756.79</v>
      </c>
      <c r="I42" s="53">
        <v>0</v>
      </c>
      <c r="J42" s="54">
        <v>0</v>
      </c>
      <c r="K42" s="53">
        <v>806.02</v>
      </c>
      <c r="L42" s="53">
        <v>806.02</v>
      </c>
      <c r="M42" s="53">
        <v>806.02</v>
      </c>
      <c r="N42" s="53">
        <v>0</v>
      </c>
      <c r="O42" s="54">
        <v>0</v>
      </c>
      <c r="P42" s="53">
        <v>813.95</v>
      </c>
      <c r="Q42" s="53">
        <v>813.95</v>
      </c>
      <c r="R42" s="53">
        <v>813.95</v>
      </c>
      <c r="S42" s="53">
        <v>0</v>
      </c>
      <c r="T42" s="54">
        <v>0</v>
      </c>
      <c r="U42" s="53">
        <v>824.93</v>
      </c>
      <c r="V42" s="53">
        <v>824.93</v>
      </c>
      <c r="W42" s="53">
        <v>824.93</v>
      </c>
      <c r="X42" s="53">
        <v>0</v>
      </c>
      <c r="Y42" s="54">
        <v>0</v>
      </c>
    </row>
    <row r="43" spans="1:25" ht="16.149999999999999" customHeight="1" x14ac:dyDescent="0.2">
      <c r="A43" s="226" t="s">
        <v>81</v>
      </c>
      <c r="B43" s="227"/>
      <c r="C43" s="227"/>
      <c r="D43" s="227"/>
      <c r="E43" s="227"/>
      <c r="F43" s="211" t="s">
        <v>170</v>
      </c>
      <c r="G43" s="212"/>
      <c r="H43" s="212"/>
      <c r="I43" s="212"/>
      <c r="J43" s="213"/>
      <c r="K43" s="211" t="s">
        <v>173</v>
      </c>
      <c r="L43" s="212"/>
      <c r="M43" s="212"/>
      <c r="N43" s="212"/>
      <c r="O43" s="213"/>
      <c r="P43" s="211" t="s">
        <v>175</v>
      </c>
      <c r="Q43" s="212"/>
      <c r="R43" s="212"/>
      <c r="S43" s="212"/>
      <c r="T43" s="213"/>
      <c r="U43" s="211" t="s">
        <v>177</v>
      </c>
      <c r="V43" s="212"/>
      <c r="W43" s="212"/>
      <c r="X43" s="212"/>
      <c r="Y43" s="213"/>
    </row>
    <row r="44" spans="1:25" ht="13.9" customHeight="1" x14ac:dyDescent="0.2">
      <c r="A44" s="228" t="s">
        <v>82</v>
      </c>
      <c r="B44" s="229"/>
      <c r="C44" s="229"/>
      <c r="D44" s="229"/>
      <c r="E44" s="229"/>
      <c r="F44" s="214">
        <v>14612.92</v>
      </c>
      <c r="G44" s="215"/>
      <c r="H44" s="215"/>
      <c r="I44" s="215"/>
      <c r="J44" s="216"/>
      <c r="K44" s="214">
        <v>15563.46</v>
      </c>
      <c r="L44" s="215"/>
      <c r="M44" s="215"/>
      <c r="N44" s="215"/>
      <c r="O44" s="216"/>
      <c r="P44" s="214">
        <v>15716.56</v>
      </c>
      <c r="Q44" s="215"/>
      <c r="R44" s="215"/>
      <c r="S44" s="215"/>
      <c r="T44" s="216"/>
      <c r="U44" s="214">
        <v>15928.56</v>
      </c>
      <c r="V44" s="215"/>
      <c r="W44" s="215"/>
      <c r="X44" s="215"/>
      <c r="Y44" s="216"/>
    </row>
    <row r="45" spans="1:25" ht="13.9" customHeight="1" x14ac:dyDescent="0.2">
      <c r="A45" s="230" t="s">
        <v>83</v>
      </c>
      <c r="B45" s="231"/>
      <c r="C45" s="231"/>
      <c r="D45" s="231"/>
      <c r="E45" s="231"/>
      <c r="F45" s="208">
        <f>F44*12</f>
        <v>175355.04</v>
      </c>
      <c r="G45" s="209"/>
      <c r="H45" s="209"/>
      <c r="I45" s="209"/>
      <c r="J45" s="210"/>
      <c r="K45" s="208">
        <f>K44*12</f>
        <v>186761.52</v>
      </c>
      <c r="L45" s="209"/>
      <c r="M45" s="209"/>
      <c r="N45" s="209"/>
      <c r="O45" s="210"/>
      <c r="P45" s="208">
        <f>P44*12</f>
        <v>188598.72</v>
      </c>
      <c r="Q45" s="209"/>
      <c r="R45" s="209"/>
      <c r="S45" s="209"/>
      <c r="T45" s="210"/>
      <c r="U45" s="208">
        <f>U44*12</f>
        <v>191142.72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800-000000000000}"/>
    <hyperlink ref="F46" r:id="rId2" xr:uid="{00000000-0004-0000-5800-000001000000}"/>
    <hyperlink ref="K7" r:id="rId3" xr:uid="{00000000-0004-0000-5800-000002000000}"/>
    <hyperlink ref="K46" r:id="rId4" xr:uid="{00000000-0004-0000-5800-000003000000}"/>
    <hyperlink ref="P7" r:id="rId5" xr:uid="{00000000-0004-0000-5800-000004000000}"/>
    <hyperlink ref="P46" r:id="rId6" xr:uid="{00000000-0004-0000-5800-000005000000}"/>
    <hyperlink ref="U7" r:id="rId7" xr:uid="{00000000-0004-0000-5800-000006000000}"/>
    <hyperlink ref="U46" r:id="rId8" xr:uid="{00000000-0004-0000-58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8E81-C61D-4FF9-897B-CF0BF5590412}">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101</v>
      </c>
      <c r="G5" s="118"/>
      <c r="H5" s="118"/>
      <c r="I5" s="118"/>
      <c r="J5" s="120"/>
      <c r="K5" s="117" t="s">
        <v>101</v>
      </c>
      <c r="L5" s="118"/>
      <c r="M5" s="118"/>
      <c r="N5" s="118"/>
      <c r="O5" s="120"/>
      <c r="P5" s="117" t="s">
        <v>167</v>
      </c>
      <c r="Q5" s="118"/>
      <c r="R5" s="118"/>
      <c r="S5" s="118"/>
      <c r="T5" s="120"/>
      <c r="U5" s="117" t="s">
        <v>167</v>
      </c>
      <c r="V5" s="118"/>
      <c r="W5" s="118"/>
      <c r="X5" s="118"/>
      <c r="Y5" s="120"/>
    </row>
    <row r="6" spans="1:25" ht="28.5" x14ac:dyDescent="0.2">
      <c r="A6" s="247"/>
      <c r="B6" s="248"/>
      <c r="C6" s="248"/>
      <c r="D6" s="248"/>
      <c r="E6" s="248"/>
      <c r="F6" s="121" t="s">
        <v>178</v>
      </c>
      <c r="G6" s="122"/>
      <c r="H6" s="122"/>
      <c r="I6" s="122"/>
      <c r="J6" s="124"/>
      <c r="K6" s="121" t="s">
        <v>180</v>
      </c>
      <c r="L6" s="122"/>
      <c r="M6" s="122"/>
      <c r="N6" s="122"/>
      <c r="O6" s="124"/>
      <c r="P6" s="121" t="s">
        <v>182</v>
      </c>
      <c r="Q6" s="122"/>
      <c r="R6" s="122"/>
      <c r="S6" s="122"/>
      <c r="T6" s="124"/>
      <c r="U6" s="121" t="s">
        <v>184</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179</v>
      </c>
      <c r="G8" s="233"/>
      <c r="H8" s="233"/>
      <c r="I8" s="233"/>
      <c r="J8" s="234"/>
      <c r="K8" s="232" t="s">
        <v>181</v>
      </c>
      <c r="L8" s="233"/>
      <c r="M8" s="233"/>
      <c r="N8" s="233"/>
      <c r="O8" s="234"/>
      <c r="P8" s="232" t="s">
        <v>183</v>
      </c>
      <c r="Q8" s="233"/>
      <c r="R8" s="233"/>
      <c r="S8" s="233"/>
      <c r="T8" s="234"/>
      <c r="U8" s="232" t="s">
        <v>185</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3259.71</v>
      </c>
      <c r="G10" s="53">
        <v>1489.11</v>
      </c>
      <c r="H10" s="53">
        <v>1489.11</v>
      </c>
      <c r="I10" s="53">
        <v>0</v>
      </c>
      <c r="J10" s="54">
        <v>0</v>
      </c>
      <c r="K10" s="53">
        <v>3395.47</v>
      </c>
      <c r="L10" s="53">
        <v>1551.13</v>
      </c>
      <c r="M10" s="53">
        <v>1551.13</v>
      </c>
      <c r="N10" s="53">
        <v>0</v>
      </c>
      <c r="O10" s="54">
        <v>0</v>
      </c>
      <c r="P10" s="53">
        <v>3487.17</v>
      </c>
      <c r="Q10" s="53">
        <v>1593.02</v>
      </c>
      <c r="R10" s="53">
        <v>1593.02</v>
      </c>
      <c r="S10" s="53">
        <v>0</v>
      </c>
      <c r="T10" s="54">
        <v>0</v>
      </c>
      <c r="U10" s="53">
        <v>3488.29</v>
      </c>
      <c r="V10" s="53">
        <v>1593.53</v>
      </c>
      <c r="W10" s="53">
        <v>1593.53</v>
      </c>
      <c r="X10" s="53">
        <v>0</v>
      </c>
      <c r="Y10" s="54">
        <v>0</v>
      </c>
    </row>
    <row r="11" spans="1:25" x14ac:dyDescent="0.2">
      <c r="A11" s="50" t="s">
        <v>106</v>
      </c>
      <c r="B11" s="51" t="s">
        <v>107</v>
      </c>
      <c r="C11" s="51"/>
      <c r="D11" s="52">
        <v>27837</v>
      </c>
      <c r="E11" s="51" t="s">
        <v>105</v>
      </c>
      <c r="F11" s="53"/>
      <c r="G11" s="53">
        <v>1137.08</v>
      </c>
      <c r="H11" s="53">
        <v>1137.08</v>
      </c>
      <c r="I11" s="53">
        <v>0</v>
      </c>
      <c r="J11" s="54"/>
      <c r="K11" s="53"/>
      <c r="L11" s="53">
        <v>1184.43</v>
      </c>
      <c r="M11" s="53">
        <v>1184.43</v>
      </c>
      <c r="N11" s="53">
        <v>0</v>
      </c>
      <c r="O11" s="54"/>
      <c r="P11" s="53"/>
      <c r="Q11" s="53">
        <v>1216.42</v>
      </c>
      <c r="R11" s="53">
        <v>1216.42</v>
      </c>
      <c r="S11" s="53">
        <v>0</v>
      </c>
      <c r="T11" s="54"/>
      <c r="U11" s="53"/>
      <c r="V11" s="53">
        <v>1216.81</v>
      </c>
      <c r="W11" s="53">
        <v>1216.81</v>
      </c>
      <c r="X11" s="53">
        <v>0</v>
      </c>
      <c r="Y11" s="54"/>
    </row>
    <row r="12" spans="1:25" x14ac:dyDescent="0.2">
      <c r="A12" s="50" t="s">
        <v>108</v>
      </c>
      <c r="B12" s="51" t="s">
        <v>109</v>
      </c>
      <c r="C12" s="51"/>
      <c r="D12" s="52">
        <v>38648</v>
      </c>
      <c r="E12" s="51" t="s">
        <v>105</v>
      </c>
      <c r="F12" s="53"/>
      <c r="G12" s="53">
        <v>633.52</v>
      </c>
      <c r="H12" s="53">
        <v>633.52</v>
      </c>
      <c r="I12" s="53">
        <v>0</v>
      </c>
      <c r="J12" s="54"/>
      <c r="K12" s="53"/>
      <c r="L12" s="53">
        <v>659.91</v>
      </c>
      <c r="M12" s="53">
        <v>659.91</v>
      </c>
      <c r="N12" s="53">
        <v>0</v>
      </c>
      <c r="O12" s="54"/>
      <c r="P12" s="53"/>
      <c r="Q12" s="53">
        <v>677.73</v>
      </c>
      <c r="R12" s="53">
        <v>677.73</v>
      </c>
      <c r="S12" s="53">
        <v>0</v>
      </c>
      <c r="T12" s="54"/>
      <c r="U12" s="53"/>
      <c r="V12" s="53">
        <v>677.95</v>
      </c>
      <c r="W12" s="53">
        <v>677.95</v>
      </c>
      <c r="X12" s="53">
        <v>0</v>
      </c>
      <c r="Y12" s="54"/>
    </row>
    <row r="13" spans="1:25" x14ac:dyDescent="0.2">
      <c r="A13" s="50" t="s">
        <v>110</v>
      </c>
      <c r="B13" s="51" t="s">
        <v>65</v>
      </c>
      <c r="C13" s="51" t="s">
        <v>65</v>
      </c>
      <c r="D13" s="52">
        <v>36345</v>
      </c>
      <c r="E13" s="51" t="s">
        <v>111</v>
      </c>
      <c r="F13" s="53">
        <v>816.4</v>
      </c>
      <c r="G13" s="53">
        <v>816.4</v>
      </c>
      <c r="H13" s="53">
        <v>816.4</v>
      </c>
      <c r="I13" s="53">
        <v>0</v>
      </c>
      <c r="J13" s="54">
        <v>0</v>
      </c>
      <c r="K13" s="53">
        <v>850.4</v>
      </c>
      <c r="L13" s="53">
        <v>850.4</v>
      </c>
      <c r="M13" s="53">
        <v>850.4</v>
      </c>
      <c r="N13" s="53">
        <v>0</v>
      </c>
      <c r="O13" s="54">
        <v>0</v>
      </c>
      <c r="P13" s="53">
        <v>873.37</v>
      </c>
      <c r="Q13" s="53">
        <v>873.37</v>
      </c>
      <c r="R13" s="53">
        <v>873.37</v>
      </c>
      <c r="S13" s="53">
        <v>0</v>
      </c>
      <c r="T13" s="54">
        <v>0</v>
      </c>
      <c r="U13" s="53">
        <v>873.65</v>
      </c>
      <c r="V13" s="53">
        <v>873.65</v>
      </c>
      <c r="W13" s="53">
        <v>873.65</v>
      </c>
      <c r="X13" s="53">
        <v>0</v>
      </c>
      <c r="Y13" s="54">
        <v>0</v>
      </c>
    </row>
    <row r="14" spans="1:25" x14ac:dyDescent="0.2">
      <c r="A14" s="50" t="s">
        <v>112</v>
      </c>
      <c r="B14" s="51" t="s">
        <v>65</v>
      </c>
      <c r="C14" s="51" t="s">
        <v>104</v>
      </c>
      <c r="D14" s="52">
        <v>24895</v>
      </c>
      <c r="E14" s="51" t="s">
        <v>113</v>
      </c>
      <c r="F14" s="53">
        <v>3563.41</v>
      </c>
      <c r="G14" s="53">
        <v>1440.78</v>
      </c>
      <c r="H14" s="53">
        <v>1440.78</v>
      </c>
      <c r="I14" s="53">
        <v>0</v>
      </c>
      <c r="J14" s="54">
        <v>0</v>
      </c>
      <c r="K14" s="53">
        <v>3711.82</v>
      </c>
      <c r="L14" s="53">
        <v>1500.78</v>
      </c>
      <c r="M14" s="53">
        <v>1500.78</v>
      </c>
      <c r="N14" s="53">
        <v>0</v>
      </c>
      <c r="O14" s="54">
        <v>0</v>
      </c>
      <c r="P14" s="53">
        <v>3812.07</v>
      </c>
      <c r="Q14" s="53">
        <v>1541.32</v>
      </c>
      <c r="R14" s="53">
        <v>1541.32</v>
      </c>
      <c r="S14" s="53">
        <v>0</v>
      </c>
      <c r="T14" s="54">
        <v>0</v>
      </c>
      <c r="U14" s="53">
        <v>3813.29</v>
      </c>
      <c r="V14" s="53">
        <v>1541.81</v>
      </c>
      <c r="W14" s="53">
        <v>1541.81</v>
      </c>
      <c r="X14" s="53">
        <v>0</v>
      </c>
      <c r="Y14" s="54">
        <v>0</v>
      </c>
    </row>
    <row r="15" spans="1:25" x14ac:dyDescent="0.2">
      <c r="A15" s="50" t="s">
        <v>114</v>
      </c>
      <c r="B15" s="51" t="s">
        <v>107</v>
      </c>
      <c r="C15" s="51"/>
      <c r="D15" s="52">
        <v>24269</v>
      </c>
      <c r="E15" s="51" t="s">
        <v>113</v>
      </c>
      <c r="F15" s="53"/>
      <c r="G15" s="53">
        <v>1489.11</v>
      </c>
      <c r="H15" s="53">
        <v>1489.11</v>
      </c>
      <c r="I15" s="53">
        <v>0</v>
      </c>
      <c r="J15" s="54"/>
      <c r="K15" s="53"/>
      <c r="L15" s="53">
        <v>1551.13</v>
      </c>
      <c r="M15" s="53">
        <v>1551.13</v>
      </c>
      <c r="N15" s="53">
        <v>0</v>
      </c>
      <c r="O15" s="54"/>
      <c r="P15" s="53"/>
      <c r="Q15" s="53">
        <v>1593.02</v>
      </c>
      <c r="R15" s="53">
        <v>1593.02</v>
      </c>
      <c r="S15" s="53">
        <v>0</v>
      </c>
      <c r="T15" s="54"/>
      <c r="U15" s="53"/>
      <c r="V15" s="53">
        <v>1593.53</v>
      </c>
      <c r="W15" s="53">
        <v>1593.53</v>
      </c>
      <c r="X15" s="53">
        <v>0</v>
      </c>
      <c r="Y15" s="54"/>
    </row>
    <row r="16" spans="1:25" x14ac:dyDescent="0.2">
      <c r="A16" s="50" t="s">
        <v>115</v>
      </c>
      <c r="B16" s="51" t="s">
        <v>109</v>
      </c>
      <c r="C16" s="51"/>
      <c r="D16" s="52">
        <v>38614</v>
      </c>
      <c r="E16" s="51" t="s">
        <v>113</v>
      </c>
      <c r="F16" s="53"/>
      <c r="G16" s="53">
        <v>633.52</v>
      </c>
      <c r="H16" s="53">
        <v>633.52</v>
      </c>
      <c r="I16" s="53">
        <v>0</v>
      </c>
      <c r="J16" s="54"/>
      <c r="K16" s="53"/>
      <c r="L16" s="53">
        <v>659.91</v>
      </c>
      <c r="M16" s="53">
        <v>659.91</v>
      </c>
      <c r="N16" s="53">
        <v>0</v>
      </c>
      <c r="O16" s="54"/>
      <c r="P16" s="53"/>
      <c r="Q16" s="53">
        <v>677.73</v>
      </c>
      <c r="R16" s="53">
        <v>677.73</v>
      </c>
      <c r="S16" s="53">
        <v>0</v>
      </c>
      <c r="T16" s="54"/>
      <c r="U16" s="53"/>
      <c r="V16" s="53">
        <v>677.95</v>
      </c>
      <c r="W16" s="53">
        <v>677.95</v>
      </c>
      <c r="X16" s="53">
        <v>0</v>
      </c>
      <c r="Y16" s="54"/>
    </row>
    <row r="17" spans="1:25" x14ac:dyDescent="0.2">
      <c r="A17" s="50" t="s">
        <v>116</v>
      </c>
      <c r="B17" s="51" t="s">
        <v>65</v>
      </c>
      <c r="C17" s="51" t="s">
        <v>117</v>
      </c>
      <c r="D17" s="52">
        <v>18453</v>
      </c>
      <c r="E17" s="51" t="s">
        <v>118</v>
      </c>
      <c r="F17" s="53">
        <v>2978.22</v>
      </c>
      <c r="G17" s="53">
        <v>1489.11</v>
      </c>
      <c r="H17" s="53">
        <v>1489.11</v>
      </c>
      <c r="I17" s="53">
        <v>0</v>
      </c>
      <c r="J17" s="54">
        <v>0</v>
      </c>
      <c r="K17" s="53">
        <v>3102.26</v>
      </c>
      <c r="L17" s="53">
        <v>1551.13</v>
      </c>
      <c r="M17" s="53">
        <v>1551.13</v>
      </c>
      <c r="N17" s="53">
        <v>0</v>
      </c>
      <c r="O17" s="54">
        <v>0</v>
      </c>
      <c r="P17" s="53">
        <v>3186.04</v>
      </c>
      <c r="Q17" s="53">
        <v>1593.02</v>
      </c>
      <c r="R17" s="53">
        <v>1593.02</v>
      </c>
      <c r="S17" s="53">
        <v>0</v>
      </c>
      <c r="T17" s="54">
        <v>0</v>
      </c>
      <c r="U17" s="53">
        <v>3187.06</v>
      </c>
      <c r="V17" s="53">
        <v>1593.53</v>
      </c>
      <c r="W17" s="53">
        <v>1593.53</v>
      </c>
      <c r="X17" s="53">
        <v>0</v>
      </c>
      <c r="Y17" s="54">
        <v>0</v>
      </c>
    </row>
    <row r="18" spans="1:25" x14ac:dyDescent="0.2">
      <c r="A18" s="50" t="s">
        <v>119</v>
      </c>
      <c r="B18" s="51" t="s">
        <v>107</v>
      </c>
      <c r="C18" s="51"/>
      <c r="D18" s="52">
        <v>19761</v>
      </c>
      <c r="E18" s="51" t="s">
        <v>118</v>
      </c>
      <c r="F18" s="53"/>
      <c r="G18" s="53">
        <v>1489.11</v>
      </c>
      <c r="H18" s="53">
        <v>1489.11</v>
      </c>
      <c r="I18" s="53">
        <v>0</v>
      </c>
      <c r="J18" s="54"/>
      <c r="K18" s="53"/>
      <c r="L18" s="53">
        <v>1551.13</v>
      </c>
      <c r="M18" s="53">
        <v>1551.13</v>
      </c>
      <c r="N18" s="53">
        <v>0</v>
      </c>
      <c r="O18" s="54"/>
      <c r="P18" s="53"/>
      <c r="Q18" s="53">
        <v>1593.02</v>
      </c>
      <c r="R18" s="53">
        <v>1593.02</v>
      </c>
      <c r="S18" s="53">
        <v>0</v>
      </c>
      <c r="T18" s="54"/>
      <c r="U18" s="53"/>
      <c r="V18" s="53">
        <v>1593.53</v>
      </c>
      <c r="W18" s="53">
        <v>1593.53</v>
      </c>
      <c r="X18" s="53">
        <v>0</v>
      </c>
      <c r="Y18" s="54"/>
    </row>
    <row r="19" spans="1:25" x14ac:dyDescent="0.2">
      <c r="A19" s="50" t="s">
        <v>120</v>
      </c>
      <c r="B19" s="51" t="s">
        <v>65</v>
      </c>
      <c r="C19" s="51" t="s">
        <v>65</v>
      </c>
      <c r="D19" s="52">
        <v>35733</v>
      </c>
      <c r="E19" s="51" t="s">
        <v>121</v>
      </c>
      <c r="F19" s="53">
        <v>816.4</v>
      </c>
      <c r="G19" s="53">
        <v>816.4</v>
      </c>
      <c r="H19" s="53">
        <v>816.4</v>
      </c>
      <c r="I19" s="53">
        <v>0</v>
      </c>
      <c r="J19" s="54">
        <v>0</v>
      </c>
      <c r="K19" s="53">
        <v>850.4</v>
      </c>
      <c r="L19" s="53">
        <v>850.4</v>
      </c>
      <c r="M19" s="53">
        <v>850.4</v>
      </c>
      <c r="N19" s="53">
        <v>0</v>
      </c>
      <c r="O19" s="54">
        <v>0</v>
      </c>
      <c r="P19" s="53">
        <v>873.37</v>
      </c>
      <c r="Q19" s="53">
        <v>873.37</v>
      </c>
      <c r="R19" s="53">
        <v>873.37</v>
      </c>
      <c r="S19" s="53">
        <v>0</v>
      </c>
      <c r="T19" s="54">
        <v>0</v>
      </c>
      <c r="U19" s="53">
        <v>873.65</v>
      </c>
      <c r="V19" s="53">
        <v>873.65</v>
      </c>
      <c r="W19" s="53">
        <v>873.65</v>
      </c>
      <c r="X19" s="53">
        <v>0</v>
      </c>
      <c r="Y19" s="54">
        <v>0</v>
      </c>
    </row>
    <row r="20" spans="1:25" x14ac:dyDescent="0.2">
      <c r="A20" s="50" t="s">
        <v>122</v>
      </c>
      <c r="B20" s="51" t="s">
        <v>65</v>
      </c>
      <c r="C20" s="51" t="s">
        <v>104</v>
      </c>
      <c r="D20" s="52">
        <v>24958</v>
      </c>
      <c r="E20" s="51" t="s">
        <v>123</v>
      </c>
      <c r="F20" s="53">
        <v>4087.86</v>
      </c>
      <c r="G20" s="53">
        <v>1440.78</v>
      </c>
      <c r="H20" s="53">
        <v>1440.78</v>
      </c>
      <c r="I20" s="53">
        <v>0</v>
      </c>
      <c r="J20" s="54">
        <v>0</v>
      </c>
      <c r="K20" s="53">
        <v>4258.1099999999997</v>
      </c>
      <c r="L20" s="53">
        <v>1500.78</v>
      </c>
      <c r="M20" s="53">
        <v>1500.78</v>
      </c>
      <c r="N20" s="53">
        <v>0</v>
      </c>
      <c r="O20" s="54">
        <v>0</v>
      </c>
      <c r="P20" s="53">
        <v>4373.12</v>
      </c>
      <c r="Q20" s="53">
        <v>1541.32</v>
      </c>
      <c r="R20" s="53">
        <v>1541.32</v>
      </c>
      <c r="S20" s="53">
        <v>0</v>
      </c>
      <c r="T20" s="54">
        <v>0</v>
      </c>
      <c r="U20" s="53">
        <v>4374.5200000000004</v>
      </c>
      <c r="V20" s="53">
        <v>1541.81</v>
      </c>
      <c r="W20" s="53">
        <v>1541.81</v>
      </c>
      <c r="X20" s="53">
        <v>0</v>
      </c>
      <c r="Y20" s="54">
        <v>0</v>
      </c>
    </row>
    <row r="21" spans="1:25" x14ac:dyDescent="0.2">
      <c r="A21" s="50" t="s">
        <v>124</v>
      </c>
      <c r="B21" s="51" t="s">
        <v>107</v>
      </c>
      <c r="C21" s="51"/>
      <c r="D21" s="52">
        <v>25342</v>
      </c>
      <c r="E21" s="51" t="s">
        <v>123</v>
      </c>
      <c r="F21" s="53"/>
      <c r="G21" s="53">
        <v>1398.98</v>
      </c>
      <c r="H21" s="53">
        <v>1398.98</v>
      </c>
      <c r="I21" s="53">
        <v>0</v>
      </c>
      <c r="J21" s="54"/>
      <c r="K21" s="53"/>
      <c r="L21" s="53">
        <v>1457.24</v>
      </c>
      <c r="M21" s="53">
        <v>1457.24</v>
      </c>
      <c r="N21" s="53">
        <v>0</v>
      </c>
      <c r="O21" s="54"/>
      <c r="P21" s="53"/>
      <c r="Q21" s="53">
        <v>1496.6</v>
      </c>
      <c r="R21" s="53">
        <v>1496.6</v>
      </c>
      <c r="S21" s="53">
        <v>0</v>
      </c>
      <c r="T21" s="54"/>
      <c r="U21" s="53"/>
      <c r="V21" s="53">
        <v>1497.08</v>
      </c>
      <c r="W21" s="53">
        <v>1497.08</v>
      </c>
      <c r="X21" s="53">
        <v>0</v>
      </c>
      <c r="Y21" s="54"/>
    </row>
    <row r="22" spans="1:25" x14ac:dyDescent="0.2">
      <c r="A22" s="50" t="s">
        <v>125</v>
      </c>
      <c r="B22" s="51" t="s">
        <v>109</v>
      </c>
      <c r="C22" s="51"/>
      <c r="D22" s="52">
        <v>38632</v>
      </c>
      <c r="E22" s="51" t="s">
        <v>123</v>
      </c>
      <c r="F22" s="53"/>
      <c r="G22" s="53">
        <v>633.52</v>
      </c>
      <c r="H22" s="53">
        <v>633.52</v>
      </c>
      <c r="I22" s="53">
        <v>0</v>
      </c>
      <c r="J22" s="54"/>
      <c r="K22" s="53"/>
      <c r="L22" s="53">
        <v>659.91</v>
      </c>
      <c r="M22" s="53">
        <v>659.91</v>
      </c>
      <c r="N22" s="53">
        <v>0</v>
      </c>
      <c r="O22" s="54"/>
      <c r="P22" s="53"/>
      <c r="Q22" s="53">
        <v>677.73</v>
      </c>
      <c r="R22" s="53">
        <v>677.73</v>
      </c>
      <c r="S22" s="53">
        <v>0</v>
      </c>
      <c r="T22" s="54"/>
      <c r="U22" s="53"/>
      <c r="V22" s="53">
        <v>677.95</v>
      </c>
      <c r="W22" s="53">
        <v>677.95</v>
      </c>
      <c r="X22" s="53">
        <v>0</v>
      </c>
      <c r="Y22" s="54"/>
    </row>
    <row r="23" spans="1:25" x14ac:dyDescent="0.2">
      <c r="A23" s="50" t="s">
        <v>126</v>
      </c>
      <c r="B23" s="51" t="s">
        <v>109</v>
      </c>
      <c r="C23" s="51"/>
      <c r="D23" s="52">
        <v>39092</v>
      </c>
      <c r="E23" s="51" t="s">
        <v>123</v>
      </c>
      <c r="F23" s="53"/>
      <c r="G23" s="53">
        <v>614.58000000000004</v>
      </c>
      <c r="H23" s="53">
        <v>614.58000000000004</v>
      </c>
      <c r="I23" s="53">
        <v>0</v>
      </c>
      <c r="J23" s="54"/>
      <c r="K23" s="53"/>
      <c r="L23" s="53">
        <v>640.17999999999995</v>
      </c>
      <c r="M23" s="53">
        <v>640.17999999999995</v>
      </c>
      <c r="N23" s="53">
        <v>0</v>
      </c>
      <c r="O23" s="54"/>
      <c r="P23" s="53"/>
      <c r="Q23" s="53">
        <v>657.47</v>
      </c>
      <c r="R23" s="53">
        <v>657.47</v>
      </c>
      <c r="S23" s="53">
        <v>0</v>
      </c>
      <c r="T23" s="54"/>
      <c r="U23" s="53"/>
      <c r="V23" s="53">
        <v>657.68</v>
      </c>
      <c r="W23" s="53">
        <v>657.68</v>
      </c>
      <c r="X23" s="53">
        <v>0</v>
      </c>
      <c r="Y23" s="54"/>
    </row>
    <row r="24" spans="1:25" x14ac:dyDescent="0.2">
      <c r="A24" s="50" t="s">
        <v>127</v>
      </c>
      <c r="B24" s="51" t="s">
        <v>65</v>
      </c>
      <c r="C24" s="51" t="s">
        <v>117</v>
      </c>
      <c r="D24" s="52">
        <v>21309</v>
      </c>
      <c r="E24" s="51" t="s">
        <v>96</v>
      </c>
      <c r="F24" s="53">
        <v>2978.22</v>
      </c>
      <c r="G24" s="53">
        <v>1489.11</v>
      </c>
      <c r="H24" s="53">
        <v>1489.11</v>
      </c>
      <c r="I24" s="53">
        <v>0</v>
      </c>
      <c r="J24" s="54">
        <v>0</v>
      </c>
      <c r="K24" s="53">
        <v>3102.26</v>
      </c>
      <c r="L24" s="53">
        <v>1551.13</v>
      </c>
      <c r="M24" s="53">
        <v>1551.13</v>
      </c>
      <c r="N24" s="53">
        <v>0</v>
      </c>
      <c r="O24" s="54">
        <v>0</v>
      </c>
      <c r="P24" s="53">
        <v>3186.04</v>
      </c>
      <c r="Q24" s="53">
        <v>1593.02</v>
      </c>
      <c r="R24" s="53">
        <v>1593.02</v>
      </c>
      <c r="S24" s="53">
        <v>0</v>
      </c>
      <c r="T24" s="54">
        <v>0</v>
      </c>
      <c r="U24" s="53">
        <v>3187.06</v>
      </c>
      <c r="V24" s="53">
        <v>1593.53</v>
      </c>
      <c r="W24" s="53">
        <v>1593.53</v>
      </c>
      <c r="X24" s="53">
        <v>0</v>
      </c>
      <c r="Y24" s="54">
        <v>0</v>
      </c>
    </row>
    <row r="25" spans="1:25" x14ac:dyDescent="0.2">
      <c r="A25" s="50" t="s">
        <v>128</v>
      </c>
      <c r="B25" s="51" t="s">
        <v>107</v>
      </c>
      <c r="C25" s="51"/>
      <c r="D25" s="52">
        <v>23570</v>
      </c>
      <c r="E25" s="51" t="s">
        <v>96</v>
      </c>
      <c r="F25" s="53"/>
      <c r="G25" s="53">
        <v>1489.11</v>
      </c>
      <c r="H25" s="53">
        <v>1489.11</v>
      </c>
      <c r="I25" s="53">
        <v>0</v>
      </c>
      <c r="J25" s="54"/>
      <c r="K25" s="53"/>
      <c r="L25" s="53">
        <v>1551.13</v>
      </c>
      <c r="M25" s="53">
        <v>1551.13</v>
      </c>
      <c r="N25" s="53">
        <v>0</v>
      </c>
      <c r="O25" s="54"/>
      <c r="P25" s="53"/>
      <c r="Q25" s="53">
        <v>1593.02</v>
      </c>
      <c r="R25" s="53">
        <v>1593.02</v>
      </c>
      <c r="S25" s="53">
        <v>0</v>
      </c>
      <c r="T25" s="54"/>
      <c r="U25" s="53"/>
      <c r="V25" s="53">
        <v>1593.53</v>
      </c>
      <c r="W25" s="53">
        <v>1593.53</v>
      </c>
      <c r="X25" s="53">
        <v>0</v>
      </c>
      <c r="Y25" s="54"/>
    </row>
    <row r="26" spans="1:25" x14ac:dyDescent="0.2">
      <c r="A26" s="50" t="s">
        <v>129</v>
      </c>
      <c r="B26" s="51" t="s">
        <v>65</v>
      </c>
      <c r="C26" s="51" t="s">
        <v>65</v>
      </c>
      <c r="D26" s="52">
        <v>24147</v>
      </c>
      <c r="E26" s="51" t="s">
        <v>113</v>
      </c>
      <c r="F26" s="53">
        <v>1489.11</v>
      </c>
      <c r="G26" s="53">
        <v>1489.11</v>
      </c>
      <c r="H26" s="53">
        <v>1489.11</v>
      </c>
      <c r="I26" s="53">
        <v>0</v>
      </c>
      <c r="J26" s="54">
        <v>0</v>
      </c>
      <c r="K26" s="53">
        <v>1551.13</v>
      </c>
      <c r="L26" s="53">
        <v>1551.13</v>
      </c>
      <c r="M26" s="53">
        <v>1551.13</v>
      </c>
      <c r="N26" s="53">
        <v>0</v>
      </c>
      <c r="O26" s="54">
        <v>0</v>
      </c>
      <c r="P26" s="53">
        <v>1593.02</v>
      </c>
      <c r="Q26" s="53">
        <v>1593.02</v>
      </c>
      <c r="R26" s="53">
        <v>1593.02</v>
      </c>
      <c r="S26" s="53">
        <v>0</v>
      </c>
      <c r="T26" s="54">
        <v>0</v>
      </c>
      <c r="U26" s="53">
        <v>1593.53</v>
      </c>
      <c r="V26" s="53">
        <v>1593.53</v>
      </c>
      <c r="W26" s="53">
        <v>1593.53</v>
      </c>
      <c r="X26" s="53">
        <v>0</v>
      </c>
      <c r="Y26" s="54">
        <v>0</v>
      </c>
    </row>
    <row r="27" spans="1:25" x14ac:dyDescent="0.2">
      <c r="A27" s="50" t="s">
        <v>130</v>
      </c>
      <c r="B27" s="51" t="s">
        <v>65</v>
      </c>
      <c r="C27" s="51" t="s">
        <v>65</v>
      </c>
      <c r="D27" s="52">
        <v>25210</v>
      </c>
      <c r="E27" s="51" t="s">
        <v>131</v>
      </c>
      <c r="F27" s="53">
        <v>1398.98</v>
      </c>
      <c r="G27" s="53">
        <v>1398.98</v>
      </c>
      <c r="H27" s="53">
        <v>1398.98</v>
      </c>
      <c r="I27" s="53">
        <v>0</v>
      </c>
      <c r="J27" s="54">
        <v>0</v>
      </c>
      <c r="K27" s="53">
        <v>1457.24</v>
      </c>
      <c r="L27" s="53">
        <v>1457.24</v>
      </c>
      <c r="M27" s="53">
        <v>1457.24</v>
      </c>
      <c r="N27" s="53">
        <v>0</v>
      </c>
      <c r="O27" s="54">
        <v>0</v>
      </c>
      <c r="P27" s="53">
        <v>1496.6</v>
      </c>
      <c r="Q27" s="53">
        <v>1496.6</v>
      </c>
      <c r="R27" s="53">
        <v>1496.6</v>
      </c>
      <c r="S27" s="53">
        <v>0</v>
      </c>
      <c r="T27" s="54">
        <v>0</v>
      </c>
      <c r="U27" s="53">
        <v>1497.08</v>
      </c>
      <c r="V27" s="53">
        <v>1497.08</v>
      </c>
      <c r="W27" s="53">
        <v>1497.08</v>
      </c>
      <c r="X27" s="53">
        <v>0</v>
      </c>
      <c r="Y27" s="54">
        <v>0</v>
      </c>
    </row>
    <row r="28" spans="1:25" x14ac:dyDescent="0.2">
      <c r="A28" s="50" t="s">
        <v>132</v>
      </c>
      <c r="B28" s="51" t="s">
        <v>65</v>
      </c>
      <c r="C28" s="51" t="s">
        <v>65</v>
      </c>
      <c r="D28" s="52">
        <v>35103</v>
      </c>
      <c r="E28" s="51" t="s">
        <v>113</v>
      </c>
      <c r="F28" s="53">
        <v>840.56</v>
      </c>
      <c r="G28" s="53">
        <v>840.56</v>
      </c>
      <c r="H28" s="53">
        <v>840.56</v>
      </c>
      <c r="I28" s="53">
        <v>0</v>
      </c>
      <c r="J28" s="54">
        <v>0</v>
      </c>
      <c r="K28" s="53">
        <v>875.57</v>
      </c>
      <c r="L28" s="53">
        <v>875.57</v>
      </c>
      <c r="M28" s="53">
        <v>875.57</v>
      </c>
      <c r="N28" s="53">
        <v>0</v>
      </c>
      <c r="O28" s="54">
        <v>0</v>
      </c>
      <c r="P28" s="53">
        <v>899.22</v>
      </c>
      <c r="Q28" s="53">
        <v>899.22</v>
      </c>
      <c r="R28" s="53">
        <v>899.22</v>
      </c>
      <c r="S28" s="53">
        <v>0</v>
      </c>
      <c r="T28" s="54">
        <v>0</v>
      </c>
      <c r="U28" s="53">
        <v>899.51</v>
      </c>
      <c r="V28" s="53">
        <v>899.51</v>
      </c>
      <c r="W28" s="53">
        <v>899.51</v>
      </c>
      <c r="X28" s="53">
        <v>0</v>
      </c>
      <c r="Y28" s="54">
        <v>0</v>
      </c>
    </row>
    <row r="29" spans="1:25" x14ac:dyDescent="0.2">
      <c r="A29" s="50" t="s">
        <v>133</v>
      </c>
      <c r="B29" s="51" t="s">
        <v>65</v>
      </c>
      <c r="C29" s="51" t="s">
        <v>117</v>
      </c>
      <c r="D29" s="52">
        <v>27399</v>
      </c>
      <c r="E29" s="51" t="s">
        <v>113</v>
      </c>
      <c r="F29" s="53">
        <v>2157.25</v>
      </c>
      <c r="G29" s="53">
        <v>1170.3900000000001</v>
      </c>
      <c r="H29" s="53">
        <v>1170.3900000000001</v>
      </c>
      <c r="I29" s="53">
        <v>0</v>
      </c>
      <c r="J29" s="54">
        <v>0</v>
      </c>
      <c r="K29" s="53">
        <v>2247.09</v>
      </c>
      <c r="L29" s="53">
        <v>1219.1300000000001</v>
      </c>
      <c r="M29" s="53">
        <v>1219.1300000000001</v>
      </c>
      <c r="N29" s="53">
        <v>0</v>
      </c>
      <c r="O29" s="54">
        <v>0</v>
      </c>
      <c r="P29" s="53">
        <v>2307.79</v>
      </c>
      <c r="Q29" s="53">
        <v>1252.06</v>
      </c>
      <c r="R29" s="53">
        <v>1252.06</v>
      </c>
      <c r="S29" s="53">
        <v>0</v>
      </c>
      <c r="T29" s="54">
        <v>0</v>
      </c>
      <c r="U29" s="53">
        <v>2308.52</v>
      </c>
      <c r="V29" s="53">
        <v>1252.46</v>
      </c>
      <c r="W29" s="53">
        <v>1252.46</v>
      </c>
      <c r="X29" s="53">
        <v>0</v>
      </c>
      <c r="Y29" s="54">
        <v>0</v>
      </c>
    </row>
    <row r="30" spans="1:25" x14ac:dyDescent="0.2">
      <c r="A30" s="50" t="s">
        <v>134</v>
      </c>
      <c r="B30" s="51" t="s">
        <v>107</v>
      </c>
      <c r="C30" s="51"/>
      <c r="D30" s="52">
        <v>29502</v>
      </c>
      <c r="E30" s="51" t="s">
        <v>113</v>
      </c>
      <c r="F30" s="53"/>
      <c r="G30" s="53">
        <v>986.86</v>
      </c>
      <c r="H30" s="53">
        <v>986.86</v>
      </c>
      <c r="I30" s="53">
        <v>0</v>
      </c>
      <c r="J30" s="54"/>
      <c r="K30" s="53"/>
      <c r="L30" s="53">
        <v>1027.96</v>
      </c>
      <c r="M30" s="53">
        <v>1027.96</v>
      </c>
      <c r="N30" s="53">
        <v>0</v>
      </c>
      <c r="O30" s="54"/>
      <c r="P30" s="53"/>
      <c r="Q30" s="53">
        <v>1055.73</v>
      </c>
      <c r="R30" s="53">
        <v>1055.73</v>
      </c>
      <c r="S30" s="53">
        <v>0</v>
      </c>
      <c r="T30" s="54"/>
      <c r="U30" s="53"/>
      <c r="V30" s="53">
        <v>1056.06</v>
      </c>
      <c r="W30" s="53">
        <v>1056.06</v>
      </c>
      <c r="X30" s="53">
        <v>0</v>
      </c>
      <c r="Y30" s="54"/>
    </row>
    <row r="31" spans="1:25" x14ac:dyDescent="0.2">
      <c r="A31" s="50" t="s">
        <v>135</v>
      </c>
      <c r="B31" s="51" t="s">
        <v>65</v>
      </c>
      <c r="C31" s="51" t="s">
        <v>104</v>
      </c>
      <c r="D31" s="52">
        <v>24592</v>
      </c>
      <c r="E31" s="51" t="s">
        <v>111</v>
      </c>
      <c r="F31" s="53">
        <v>3794.62</v>
      </c>
      <c r="G31" s="53">
        <v>1489.11</v>
      </c>
      <c r="H31" s="53">
        <v>1489.11</v>
      </c>
      <c r="I31" s="53">
        <v>0</v>
      </c>
      <c r="J31" s="54">
        <v>0</v>
      </c>
      <c r="K31" s="53">
        <v>3952.66</v>
      </c>
      <c r="L31" s="53">
        <v>1551.13</v>
      </c>
      <c r="M31" s="53">
        <v>1551.13</v>
      </c>
      <c r="N31" s="53">
        <v>0</v>
      </c>
      <c r="O31" s="54">
        <v>0</v>
      </c>
      <c r="P31" s="53">
        <v>4059.41</v>
      </c>
      <c r="Q31" s="53">
        <v>1593.02</v>
      </c>
      <c r="R31" s="53">
        <v>1593.02</v>
      </c>
      <c r="S31" s="53">
        <v>0</v>
      </c>
      <c r="T31" s="54">
        <v>0</v>
      </c>
      <c r="U31" s="53">
        <v>4060.71</v>
      </c>
      <c r="V31" s="53">
        <v>1593.53</v>
      </c>
      <c r="W31" s="53">
        <v>1593.53</v>
      </c>
      <c r="X31" s="53">
        <v>0</v>
      </c>
      <c r="Y31" s="54">
        <v>0</v>
      </c>
    </row>
    <row r="32" spans="1:25" x14ac:dyDescent="0.2">
      <c r="A32" s="50" t="s">
        <v>136</v>
      </c>
      <c r="B32" s="51" t="s">
        <v>107</v>
      </c>
      <c r="C32" s="51"/>
      <c r="D32" s="52">
        <v>22616</v>
      </c>
      <c r="E32" s="51" t="s">
        <v>111</v>
      </c>
      <c r="F32" s="53"/>
      <c r="G32" s="53">
        <v>1489.11</v>
      </c>
      <c r="H32" s="53">
        <v>1489.11</v>
      </c>
      <c r="I32" s="53">
        <v>0</v>
      </c>
      <c r="J32" s="54"/>
      <c r="K32" s="53"/>
      <c r="L32" s="53">
        <v>1551.13</v>
      </c>
      <c r="M32" s="53">
        <v>1551.13</v>
      </c>
      <c r="N32" s="53">
        <v>0</v>
      </c>
      <c r="O32" s="54"/>
      <c r="P32" s="53"/>
      <c r="Q32" s="53">
        <v>1593.02</v>
      </c>
      <c r="R32" s="53">
        <v>1593.02</v>
      </c>
      <c r="S32" s="53">
        <v>0</v>
      </c>
      <c r="T32" s="54"/>
      <c r="U32" s="53"/>
      <c r="V32" s="53">
        <v>1593.53</v>
      </c>
      <c r="W32" s="53">
        <v>1593.53</v>
      </c>
      <c r="X32" s="53">
        <v>0</v>
      </c>
      <c r="Y32" s="54"/>
    </row>
    <row r="33" spans="1:25" x14ac:dyDescent="0.2">
      <c r="A33" s="50" t="s">
        <v>137</v>
      </c>
      <c r="B33" s="51" t="s">
        <v>109</v>
      </c>
      <c r="C33" s="51"/>
      <c r="D33" s="52">
        <v>37842</v>
      </c>
      <c r="E33" s="51" t="s">
        <v>111</v>
      </c>
      <c r="F33" s="53"/>
      <c r="G33" s="53">
        <v>816.4</v>
      </c>
      <c r="H33" s="53">
        <v>816.4</v>
      </c>
      <c r="I33" s="53">
        <v>0</v>
      </c>
      <c r="J33" s="54"/>
      <c r="K33" s="53"/>
      <c r="L33" s="53">
        <v>850.4</v>
      </c>
      <c r="M33" s="53">
        <v>850.4</v>
      </c>
      <c r="N33" s="53">
        <v>0</v>
      </c>
      <c r="O33" s="54"/>
      <c r="P33" s="53"/>
      <c r="Q33" s="53">
        <v>873.37</v>
      </c>
      <c r="R33" s="53">
        <v>873.37</v>
      </c>
      <c r="S33" s="53">
        <v>0</v>
      </c>
      <c r="T33" s="54"/>
      <c r="U33" s="53"/>
      <c r="V33" s="53">
        <v>873.65</v>
      </c>
      <c r="W33" s="53">
        <v>873.65</v>
      </c>
      <c r="X33" s="53">
        <v>0</v>
      </c>
      <c r="Y33" s="54"/>
    </row>
    <row r="34" spans="1:25" x14ac:dyDescent="0.2">
      <c r="A34" s="50" t="s">
        <v>138</v>
      </c>
      <c r="B34" s="51" t="s">
        <v>65</v>
      </c>
      <c r="C34" s="51" t="s">
        <v>65</v>
      </c>
      <c r="D34" s="52">
        <v>35401</v>
      </c>
      <c r="E34" s="51" t="s">
        <v>113</v>
      </c>
      <c r="F34" s="53">
        <v>832.72</v>
      </c>
      <c r="G34" s="53">
        <v>832.72</v>
      </c>
      <c r="H34" s="53">
        <v>832.72</v>
      </c>
      <c r="I34" s="53">
        <v>0</v>
      </c>
      <c r="J34" s="54">
        <v>0</v>
      </c>
      <c r="K34" s="53">
        <v>867.41</v>
      </c>
      <c r="L34" s="53">
        <v>867.41</v>
      </c>
      <c r="M34" s="53">
        <v>867.41</v>
      </c>
      <c r="N34" s="53">
        <v>0</v>
      </c>
      <c r="O34" s="54">
        <v>0</v>
      </c>
      <c r="P34" s="53">
        <v>890.83</v>
      </c>
      <c r="Q34" s="53">
        <v>890.83</v>
      </c>
      <c r="R34" s="53">
        <v>890.83</v>
      </c>
      <c r="S34" s="53">
        <v>0</v>
      </c>
      <c r="T34" s="54">
        <v>0</v>
      </c>
      <c r="U34" s="53">
        <v>891.12</v>
      </c>
      <c r="V34" s="53">
        <v>891.12</v>
      </c>
      <c r="W34" s="53">
        <v>891.12</v>
      </c>
      <c r="X34" s="53">
        <v>0</v>
      </c>
      <c r="Y34" s="54">
        <v>0</v>
      </c>
    </row>
    <row r="35" spans="1:25" x14ac:dyDescent="0.2">
      <c r="A35" s="50" t="s">
        <v>139</v>
      </c>
      <c r="B35" s="51" t="s">
        <v>65</v>
      </c>
      <c r="C35" s="51" t="s">
        <v>65</v>
      </c>
      <c r="D35" s="52">
        <v>35453</v>
      </c>
      <c r="E35" s="51" t="s">
        <v>113</v>
      </c>
      <c r="F35" s="53">
        <v>832.72</v>
      </c>
      <c r="G35" s="53">
        <v>832.72</v>
      </c>
      <c r="H35" s="53">
        <v>832.72</v>
      </c>
      <c r="I35" s="53">
        <v>0</v>
      </c>
      <c r="J35" s="54">
        <v>0</v>
      </c>
      <c r="K35" s="53">
        <v>867.41</v>
      </c>
      <c r="L35" s="53">
        <v>867.41</v>
      </c>
      <c r="M35" s="53">
        <v>867.41</v>
      </c>
      <c r="N35" s="53">
        <v>0</v>
      </c>
      <c r="O35" s="54">
        <v>0</v>
      </c>
      <c r="P35" s="53">
        <v>890.83</v>
      </c>
      <c r="Q35" s="53">
        <v>890.83</v>
      </c>
      <c r="R35" s="53">
        <v>890.83</v>
      </c>
      <c r="S35" s="53">
        <v>0</v>
      </c>
      <c r="T35" s="54">
        <v>0</v>
      </c>
      <c r="U35" s="53">
        <v>891.12</v>
      </c>
      <c r="V35" s="53">
        <v>891.12</v>
      </c>
      <c r="W35" s="53">
        <v>891.12</v>
      </c>
      <c r="X35" s="53">
        <v>0</v>
      </c>
      <c r="Y35" s="54">
        <v>0</v>
      </c>
    </row>
    <row r="36" spans="1:25" x14ac:dyDescent="0.2">
      <c r="A36" s="50" t="s">
        <v>140</v>
      </c>
      <c r="B36" s="51" t="s">
        <v>65</v>
      </c>
      <c r="C36" s="51" t="s">
        <v>65</v>
      </c>
      <c r="D36" s="52">
        <v>34864</v>
      </c>
      <c r="E36" s="51" t="s">
        <v>118</v>
      </c>
      <c r="F36" s="53">
        <v>840.56</v>
      </c>
      <c r="G36" s="53">
        <v>840.56</v>
      </c>
      <c r="H36" s="53">
        <v>840.56</v>
      </c>
      <c r="I36" s="53">
        <v>0</v>
      </c>
      <c r="J36" s="54">
        <v>0</v>
      </c>
      <c r="K36" s="53">
        <v>875.57</v>
      </c>
      <c r="L36" s="53">
        <v>875.57</v>
      </c>
      <c r="M36" s="53">
        <v>875.57</v>
      </c>
      <c r="N36" s="53">
        <v>0</v>
      </c>
      <c r="O36" s="54">
        <v>0</v>
      </c>
      <c r="P36" s="53">
        <v>899.22</v>
      </c>
      <c r="Q36" s="53">
        <v>899.22</v>
      </c>
      <c r="R36" s="53">
        <v>899.22</v>
      </c>
      <c r="S36" s="53">
        <v>0</v>
      </c>
      <c r="T36" s="54">
        <v>0</v>
      </c>
      <c r="U36" s="53">
        <v>899.51</v>
      </c>
      <c r="V36" s="53">
        <v>899.51</v>
      </c>
      <c r="W36" s="53">
        <v>899.51</v>
      </c>
      <c r="X36" s="53">
        <v>0</v>
      </c>
      <c r="Y36" s="54">
        <v>0</v>
      </c>
    </row>
    <row r="37" spans="1:25" x14ac:dyDescent="0.2">
      <c r="A37" s="50" t="s">
        <v>141</v>
      </c>
      <c r="B37" s="51" t="s">
        <v>65</v>
      </c>
      <c r="C37" s="51" t="s">
        <v>104</v>
      </c>
      <c r="D37" s="52">
        <v>26666</v>
      </c>
      <c r="E37" s="51" t="s">
        <v>118</v>
      </c>
      <c r="F37" s="53">
        <v>3732.57</v>
      </c>
      <c r="G37" s="53">
        <v>1242.23</v>
      </c>
      <c r="H37" s="53">
        <v>1242.23</v>
      </c>
      <c r="I37" s="53">
        <v>0</v>
      </c>
      <c r="J37" s="54">
        <v>0</v>
      </c>
      <c r="K37" s="53">
        <v>3888.03</v>
      </c>
      <c r="L37" s="53">
        <v>1293.97</v>
      </c>
      <c r="M37" s="53">
        <v>1293.97</v>
      </c>
      <c r="N37" s="53">
        <v>0</v>
      </c>
      <c r="O37" s="54">
        <v>0</v>
      </c>
      <c r="P37" s="53">
        <v>3993.03</v>
      </c>
      <c r="Q37" s="53">
        <v>1328.91</v>
      </c>
      <c r="R37" s="53">
        <v>1328.91</v>
      </c>
      <c r="S37" s="53">
        <v>0</v>
      </c>
      <c r="T37" s="54">
        <v>0</v>
      </c>
      <c r="U37" s="53">
        <v>3994.31</v>
      </c>
      <c r="V37" s="53">
        <v>1329.34</v>
      </c>
      <c r="W37" s="53">
        <v>1329.34</v>
      </c>
      <c r="X37" s="53">
        <v>0</v>
      </c>
      <c r="Y37" s="54">
        <v>0</v>
      </c>
    </row>
    <row r="38" spans="1:25" x14ac:dyDescent="0.2">
      <c r="A38" s="50" t="s">
        <v>142</v>
      </c>
      <c r="B38" s="51" t="s">
        <v>107</v>
      </c>
      <c r="C38" s="51"/>
      <c r="D38" s="52">
        <v>28717</v>
      </c>
      <c r="E38" s="51" t="s">
        <v>118</v>
      </c>
      <c r="F38" s="53"/>
      <c r="G38" s="53">
        <v>1040.42</v>
      </c>
      <c r="H38" s="53">
        <v>1040.42</v>
      </c>
      <c r="I38" s="53">
        <v>0</v>
      </c>
      <c r="J38" s="54"/>
      <c r="K38" s="53"/>
      <c r="L38" s="53">
        <v>1083.75</v>
      </c>
      <c r="M38" s="53">
        <v>1083.75</v>
      </c>
      <c r="N38" s="53">
        <v>0</v>
      </c>
      <c r="O38" s="54"/>
      <c r="P38" s="53"/>
      <c r="Q38" s="53">
        <v>1113.02</v>
      </c>
      <c r="R38" s="53">
        <v>1113.02</v>
      </c>
      <c r="S38" s="53">
        <v>0</v>
      </c>
      <c r="T38" s="54"/>
      <c r="U38" s="53"/>
      <c r="V38" s="53">
        <v>1113.3699999999999</v>
      </c>
      <c r="W38" s="53">
        <v>1113.3699999999999</v>
      </c>
      <c r="X38" s="53">
        <v>0</v>
      </c>
      <c r="Y38" s="54"/>
    </row>
    <row r="39" spans="1:25" x14ac:dyDescent="0.2">
      <c r="A39" s="50" t="s">
        <v>143</v>
      </c>
      <c r="B39" s="51" t="s">
        <v>109</v>
      </c>
      <c r="C39" s="51"/>
      <c r="D39" s="52">
        <v>37384</v>
      </c>
      <c r="E39" s="51" t="s">
        <v>118</v>
      </c>
      <c r="F39" s="53"/>
      <c r="G39" s="53">
        <v>816.4</v>
      </c>
      <c r="H39" s="53">
        <v>816.4</v>
      </c>
      <c r="I39" s="53">
        <v>0</v>
      </c>
      <c r="J39" s="54"/>
      <c r="K39" s="53"/>
      <c r="L39" s="53">
        <v>850.4</v>
      </c>
      <c r="M39" s="53">
        <v>850.4</v>
      </c>
      <c r="N39" s="53">
        <v>0</v>
      </c>
      <c r="O39" s="54"/>
      <c r="P39" s="53"/>
      <c r="Q39" s="53">
        <v>873.37</v>
      </c>
      <c r="R39" s="53">
        <v>873.37</v>
      </c>
      <c r="S39" s="53">
        <v>0</v>
      </c>
      <c r="T39" s="54"/>
      <c r="U39" s="53"/>
      <c r="V39" s="53">
        <v>873.65</v>
      </c>
      <c r="W39" s="53">
        <v>873.65</v>
      </c>
      <c r="X39" s="53">
        <v>0</v>
      </c>
      <c r="Y39" s="54"/>
    </row>
    <row r="40" spans="1:25" x14ac:dyDescent="0.2">
      <c r="A40" s="50" t="s">
        <v>144</v>
      </c>
      <c r="B40" s="51" t="s">
        <v>109</v>
      </c>
      <c r="C40" s="51"/>
      <c r="D40" s="52">
        <v>38688</v>
      </c>
      <c r="E40" s="51" t="s">
        <v>118</v>
      </c>
      <c r="F40" s="53"/>
      <c r="G40" s="53">
        <v>633.52</v>
      </c>
      <c r="H40" s="53">
        <v>633.52</v>
      </c>
      <c r="I40" s="53">
        <v>0</v>
      </c>
      <c r="J40" s="54"/>
      <c r="K40" s="53"/>
      <c r="L40" s="53">
        <v>659.91</v>
      </c>
      <c r="M40" s="53">
        <v>659.91</v>
      </c>
      <c r="N40" s="53">
        <v>0</v>
      </c>
      <c r="O40" s="54"/>
      <c r="P40" s="53"/>
      <c r="Q40" s="53">
        <v>677.73</v>
      </c>
      <c r="R40" s="53">
        <v>677.73</v>
      </c>
      <c r="S40" s="53">
        <v>0</v>
      </c>
      <c r="T40" s="54"/>
      <c r="U40" s="53"/>
      <c r="V40" s="53">
        <v>677.95</v>
      </c>
      <c r="W40" s="53">
        <v>677.95</v>
      </c>
      <c r="X40" s="53">
        <v>0</v>
      </c>
      <c r="Y40" s="54"/>
    </row>
    <row r="41" spans="1:25" x14ac:dyDescent="0.2">
      <c r="A41" s="50" t="s">
        <v>145</v>
      </c>
      <c r="B41" s="51" t="s">
        <v>65</v>
      </c>
      <c r="C41" s="51" t="s">
        <v>65</v>
      </c>
      <c r="D41" s="52">
        <v>36146</v>
      </c>
      <c r="E41" s="51" t="s">
        <v>111</v>
      </c>
      <c r="F41" s="53">
        <v>816.4</v>
      </c>
      <c r="G41" s="53">
        <v>816.4</v>
      </c>
      <c r="H41" s="53">
        <v>816.4</v>
      </c>
      <c r="I41" s="53">
        <v>0</v>
      </c>
      <c r="J41" s="54">
        <v>0</v>
      </c>
      <c r="K41" s="53">
        <v>850.4</v>
      </c>
      <c r="L41" s="53">
        <v>850.4</v>
      </c>
      <c r="M41" s="53">
        <v>850.4</v>
      </c>
      <c r="N41" s="53">
        <v>0</v>
      </c>
      <c r="O41" s="54">
        <v>0</v>
      </c>
      <c r="P41" s="53">
        <v>873.37</v>
      </c>
      <c r="Q41" s="53">
        <v>873.37</v>
      </c>
      <c r="R41" s="53">
        <v>873.37</v>
      </c>
      <c r="S41" s="53">
        <v>0</v>
      </c>
      <c r="T41" s="54">
        <v>0</v>
      </c>
      <c r="U41" s="53">
        <v>873.65</v>
      </c>
      <c r="V41" s="53">
        <v>873.65</v>
      </c>
      <c r="W41" s="53">
        <v>873.65</v>
      </c>
      <c r="X41" s="53">
        <v>0</v>
      </c>
      <c r="Y41" s="54">
        <v>0</v>
      </c>
    </row>
    <row r="42" spans="1:25" x14ac:dyDescent="0.2">
      <c r="A42" s="50" t="s">
        <v>146</v>
      </c>
      <c r="B42" s="51" t="s">
        <v>65</v>
      </c>
      <c r="C42" s="51" t="s">
        <v>65</v>
      </c>
      <c r="D42" s="52">
        <v>35249</v>
      </c>
      <c r="E42" s="51" t="s">
        <v>147</v>
      </c>
      <c r="F42" s="53">
        <v>832.72</v>
      </c>
      <c r="G42" s="53">
        <v>832.72</v>
      </c>
      <c r="H42" s="53">
        <v>832.72</v>
      </c>
      <c r="I42" s="53">
        <v>0</v>
      </c>
      <c r="J42" s="54">
        <v>0</v>
      </c>
      <c r="K42" s="53">
        <v>867.41</v>
      </c>
      <c r="L42" s="53">
        <v>867.41</v>
      </c>
      <c r="M42" s="53">
        <v>867.41</v>
      </c>
      <c r="N42" s="53">
        <v>0</v>
      </c>
      <c r="O42" s="54">
        <v>0</v>
      </c>
      <c r="P42" s="53">
        <v>890.83</v>
      </c>
      <c r="Q42" s="53">
        <v>890.83</v>
      </c>
      <c r="R42" s="53">
        <v>890.83</v>
      </c>
      <c r="S42" s="53">
        <v>0</v>
      </c>
      <c r="T42" s="54">
        <v>0</v>
      </c>
      <c r="U42" s="53">
        <v>891.12</v>
      </c>
      <c r="V42" s="53">
        <v>891.12</v>
      </c>
      <c r="W42" s="53">
        <v>891.12</v>
      </c>
      <c r="X42" s="53">
        <v>0</v>
      </c>
      <c r="Y42" s="54">
        <v>0</v>
      </c>
    </row>
    <row r="43" spans="1:25" ht="16.149999999999999" customHeight="1" x14ac:dyDescent="0.2">
      <c r="A43" s="226" t="s">
        <v>81</v>
      </c>
      <c r="B43" s="227"/>
      <c r="C43" s="227"/>
      <c r="D43" s="227"/>
      <c r="E43" s="227"/>
      <c r="F43" s="211" t="s">
        <v>179</v>
      </c>
      <c r="G43" s="212"/>
      <c r="H43" s="212"/>
      <c r="I43" s="212"/>
      <c r="J43" s="213"/>
      <c r="K43" s="211" t="s">
        <v>181</v>
      </c>
      <c r="L43" s="212"/>
      <c r="M43" s="212"/>
      <c r="N43" s="212"/>
      <c r="O43" s="213"/>
      <c r="P43" s="211" t="s">
        <v>183</v>
      </c>
      <c r="Q43" s="212"/>
      <c r="R43" s="212"/>
      <c r="S43" s="212"/>
      <c r="T43" s="213"/>
      <c r="U43" s="211" t="s">
        <v>185</v>
      </c>
      <c r="V43" s="212"/>
      <c r="W43" s="212"/>
      <c r="X43" s="212"/>
      <c r="Y43" s="213"/>
    </row>
    <row r="44" spans="1:25" ht="13.9" customHeight="1" x14ac:dyDescent="0.2">
      <c r="A44" s="228" t="s">
        <v>82</v>
      </c>
      <c r="B44" s="229"/>
      <c r="C44" s="229"/>
      <c r="D44" s="229"/>
      <c r="E44" s="229"/>
      <c r="F44" s="214">
        <v>16079.1</v>
      </c>
      <c r="G44" s="215"/>
      <c r="H44" s="215"/>
      <c r="I44" s="215"/>
      <c r="J44" s="216"/>
      <c r="K44" s="214">
        <v>16748.79</v>
      </c>
      <c r="L44" s="215"/>
      <c r="M44" s="215"/>
      <c r="N44" s="215"/>
      <c r="O44" s="216"/>
      <c r="P44" s="214">
        <v>17201.13</v>
      </c>
      <c r="Q44" s="215"/>
      <c r="R44" s="215"/>
      <c r="S44" s="215"/>
      <c r="T44" s="216"/>
      <c r="U44" s="214">
        <v>17206.650000000001</v>
      </c>
      <c r="V44" s="215"/>
      <c r="W44" s="215"/>
      <c r="X44" s="215"/>
      <c r="Y44" s="216"/>
    </row>
    <row r="45" spans="1:25" ht="13.9" customHeight="1" x14ac:dyDescent="0.2">
      <c r="A45" s="230" t="s">
        <v>83</v>
      </c>
      <c r="B45" s="231"/>
      <c r="C45" s="231"/>
      <c r="D45" s="231"/>
      <c r="E45" s="231"/>
      <c r="F45" s="208">
        <f>F44*12</f>
        <v>192949.2</v>
      </c>
      <c r="G45" s="209"/>
      <c r="H45" s="209"/>
      <c r="I45" s="209"/>
      <c r="J45" s="210"/>
      <c r="K45" s="208">
        <f>K44*12</f>
        <v>200985.48</v>
      </c>
      <c r="L45" s="209"/>
      <c r="M45" s="209"/>
      <c r="N45" s="209"/>
      <c r="O45" s="210"/>
      <c r="P45" s="208">
        <f>P44*12</f>
        <v>206413.56</v>
      </c>
      <c r="Q45" s="209"/>
      <c r="R45" s="209"/>
      <c r="S45" s="209"/>
      <c r="T45" s="210"/>
      <c r="U45" s="208">
        <f>U44*12</f>
        <v>206479.80000000002</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900-000000000000}"/>
    <hyperlink ref="F46" r:id="rId2" xr:uid="{00000000-0004-0000-5900-000001000000}"/>
    <hyperlink ref="K7" r:id="rId3" xr:uid="{00000000-0004-0000-5900-000002000000}"/>
    <hyperlink ref="K46" r:id="rId4" xr:uid="{00000000-0004-0000-5900-000003000000}"/>
    <hyperlink ref="P7" r:id="rId5" xr:uid="{00000000-0004-0000-5900-000004000000}"/>
    <hyperlink ref="P46" r:id="rId6" xr:uid="{00000000-0004-0000-5900-000005000000}"/>
    <hyperlink ref="U7" r:id="rId7" xr:uid="{00000000-0004-0000-5900-000006000000}"/>
    <hyperlink ref="U46" r:id="rId8" xr:uid="{00000000-0004-0000-59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C6DC-AF56-457B-9F60-91E7250B0607}">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101</v>
      </c>
      <c r="L5" s="118"/>
      <c r="M5" s="118"/>
      <c r="N5" s="118"/>
      <c r="O5" s="120"/>
      <c r="P5" s="117" t="s">
        <v>101</v>
      </c>
      <c r="Q5" s="118"/>
      <c r="R5" s="118"/>
      <c r="S5" s="118"/>
      <c r="T5" s="120"/>
      <c r="U5" s="117" t="s">
        <v>101</v>
      </c>
      <c r="V5" s="118"/>
      <c r="W5" s="118"/>
      <c r="X5" s="118"/>
      <c r="Y5" s="120"/>
    </row>
    <row r="6" spans="1:25" ht="28.5" x14ac:dyDescent="0.2">
      <c r="A6" s="247"/>
      <c r="B6" s="248"/>
      <c r="C6" s="248"/>
      <c r="D6" s="248"/>
      <c r="E6" s="248"/>
      <c r="F6" s="121" t="s">
        <v>186</v>
      </c>
      <c r="G6" s="122"/>
      <c r="H6" s="122"/>
      <c r="I6" s="122"/>
      <c r="J6" s="124"/>
      <c r="K6" s="121" t="s">
        <v>188</v>
      </c>
      <c r="L6" s="122"/>
      <c r="M6" s="122"/>
      <c r="N6" s="122"/>
      <c r="O6" s="124"/>
      <c r="P6" s="121" t="s">
        <v>190</v>
      </c>
      <c r="Q6" s="122"/>
      <c r="R6" s="122"/>
      <c r="S6" s="122"/>
      <c r="T6" s="124"/>
      <c r="U6" s="121" t="s">
        <v>192</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187</v>
      </c>
      <c r="G8" s="233"/>
      <c r="H8" s="233"/>
      <c r="I8" s="233"/>
      <c r="J8" s="234"/>
      <c r="K8" s="232" t="s">
        <v>189</v>
      </c>
      <c r="L8" s="233"/>
      <c r="M8" s="233"/>
      <c r="N8" s="233"/>
      <c r="O8" s="234"/>
      <c r="P8" s="232" t="s">
        <v>191</v>
      </c>
      <c r="Q8" s="233"/>
      <c r="R8" s="233"/>
      <c r="S8" s="233"/>
      <c r="T8" s="234"/>
      <c r="U8" s="232" t="s">
        <v>193</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3509.64</v>
      </c>
      <c r="G10" s="53">
        <v>1603.28</v>
      </c>
      <c r="H10" s="53">
        <v>1603.28</v>
      </c>
      <c r="I10" s="53">
        <v>0</v>
      </c>
      <c r="J10" s="54">
        <v>0</v>
      </c>
      <c r="K10" s="53">
        <v>3518.44</v>
      </c>
      <c r="L10" s="53">
        <v>1607.3</v>
      </c>
      <c r="M10" s="53">
        <v>1607.3</v>
      </c>
      <c r="N10" s="53">
        <v>0</v>
      </c>
      <c r="O10" s="54">
        <v>0</v>
      </c>
      <c r="P10" s="53">
        <v>3699.77</v>
      </c>
      <c r="Q10" s="53">
        <v>1690.14</v>
      </c>
      <c r="R10" s="53">
        <v>1690.14</v>
      </c>
      <c r="S10" s="53">
        <v>0</v>
      </c>
      <c r="T10" s="54">
        <v>0</v>
      </c>
      <c r="U10" s="53">
        <v>3726.02</v>
      </c>
      <c r="V10" s="53">
        <v>1702.13</v>
      </c>
      <c r="W10" s="53">
        <v>1702.13</v>
      </c>
      <c r="X10" s="53">
        <v>0</v>
      </c>
      <c r="Y10" s="54">
        <v>0</v>
      </c>
    </row>
    <row r="11" spans="1:25" x14ac:dyDescent="0.2">
      <c r="A11" s="50" t="s">
        <v>106</v>
      </c>
      <c r="B11" s="51" t="s">
        <v>107</v>
      </c>
      <c r="C11" s="51"/>
      <c r="D11" s="52">
        <v>27837</v>
      </c>
      <c r="E11" s="51" t="s">
        <v>105</v>
      </c>
      <c r="F11" s="53"/>
      <c r="G11" s="53">
        <v>1224.26</v>
      </c>
      <c r="H11" s="53">
        <v>1224.26</v>
      </c>
      <c r="I11" s="53">
        <v>0</v>
      </c>
      <c r="J11" s="54"/>
      <c r="K11" s="53"/>
      <c r="L11" s="53">
        <v>1227.33</v>
      </c>
      <c r="M11" s="53">
        <v>1227.33</v>
      </c>
      <c r="N11" s="53">
        <v>0</v>
      </c>
      <c r="O11" s="54"/>
      <c r="P11" s="53"/>
      <c r="Q11" s="53">
        <v>1290.58</v>
      </c>
      <c r="R11" s="53">
        <v>1290.58</v>
      </c>
      <c r="S11" s="53">
        <v>0</v>
      </c>
      <c r="T11" s="54"/>
      <c r="U11" s="53"/>
      <c r="V11" s="53">
        <v>1299.74</v>
      </c>
      <c r="W11" s="53">
        <v>1299.74</v>
      </c>
      <c r="X11" s="53">
        <v>0</v>
      </c>
      <c r="Y11" s="54"/>
    </row>
    <row r="12" spans="1:25" x14ac:dyDescent="0.2">
      <c r="A12" s="50" t="s">
        <v>108</v>
      </c>
      <c r="B12" s="51" t="s">
        <v>109</v>
      </c>
      <c r="C12" s="51"/>
      <c r="D12" s="52">
        <v>38648</v>
      </c>
      <c r="E12" s="51" t="s">
        <v>105</v>
      </c>
      <c r="F12" s="53"/>
      <c r="G12" s="53">
        <v>682.1</v>
      </c>
      <c r="H12" s="53">
        <v>682.1</v>
      </c>
      <c r="I12" s="53">
        <v>0</v>
      </c>
      <c r="J12" s="54"/>
      <c r="K12" s="53"/>
      <c r="L12" s="53">
        <v>683.81</v>
      </c>
      <c r="M12" s="53">
        <v>683.81</v>
      </c>
      <c r="N12" s="53">
        <v>0</v>
      </c>
      <c r="O12" s="54"/>
      <c r="P12" s="53"/>
      <c r="Q12" s="53">
        <v>719.05</v>
      </c>
      <c r="R12" s="53">
        <v>719.05</v>
      </c>
      <c r="S12" s="53">
        <v>0</v>
      </c>
      <c r="T12" s="54"/>
      <c r="U12" s="53"/>
      <c r="V12" s="53">
        <v>724.15</v>
      </c>
      <c r="W12" s="53">
        <v>724.15</v>
      </c>
      <c r="X12" s="53">
        <v>0</v>
      </c>
      <c r="Y12" s="54"/>
    </row>
    <row r="13" spans="1:25" x14ac:dyDescent="0.2">
      <c r="A13" s="50" t="s">
        <v>110</v>
      </c>
      <c r="B13" s="51" t="s">
        <v>65</v>
      </c>
      <c r="C13" s="51" t="s">
        <v>65</v>
      </c>
      <c r="D13" s="52">
        <v>36345</v>
      </c>
      <c r="E13" s="51" t="s">
        <v>111</v>
      </c>
      <c r="F13" s="53">
        <v>878.99</v>
      </c>
      <c r="G13" s="53">
        <v>878.99</v>
      </c>
      <c r="H13" s="53">
        <v>878.99</v>
      </c>
      <c r="I13" s="53">
        <v>0</v>
      </c>
      <c r="J13" s="54">
        <v>0</v>
      </c>
      <c r="K13" s="53">
        <v>881.19</v>
      </c>
      <c r="L13" s="53">
        <v>881.19</v>
      </c>
      <c r="M13" s="53">
        <v>881.19</v>
      </c>
      <c r="N13" s="53">
        <v>0</v>
      </c>
      <c r="O13" s="54">
        <v>0</v>
      </c>
      <c r="P13" s="53">
        <v>926.61</v>
      </c>
      <c r="Q13" s="53">
        <v>926.61</v>
      </c>
      <c r="R13" s="53">
        <v>926.61</v>
      </c>
      <c r="S13" s="53">
        <v>0</v>
      </c>
      <c r="T13" s="54">
        <v>0</v>
      </c>
      <c r="U13" s="53">
        <v>933.18</v>
      </c>
      <c r="V13" s="53">
        <v>933.18</v>
      </c>
      <c r="W13" s="53">
        <v>933.18</v>
      </c>
      <c r="X13" s="53">
        <v>0</v>
      </c>
      <c r="Y13" s="54">
        <v>0</v>
      </c>
    </row>
    <row r="14" spans="1:25" x14ac:dyDescent="0.2">
      <c r="A14" s="50" t="s">
        <v>112</v>
      </c>
      <c r="B14" s="51" t="s">
        <v>65</v>
      </c>
      <c r="C14" s="51" t="s">
        <v>104</v>
      </c>
      <c r="D14" s="52">
        <v>24895</v>
      </c>
      <c r="E14" s="51" t="s">
        <v>113</v>
      </c>
      <c r="F14" s="53">
        <v>3836.63</v>
      </c>
      <c r="G14" s="53">
        <v>1551.25</v>
      </c>
      <c r="H14" s="53">
        <v>1551.25</v>
      </c>
      <c r="I14" s="53">
        <v>0</v>
      </c>
      <c r="J14" s="54">
        <v>0</v>
      </c>
      <c r="K14" s="53">
        <v>3846.24</v>
      </c>
      <c r="L14" s="53">
        <v>1555.13</v>
      </c>
      <c r="M14" s="53">
        <v>1555.13</v>
      </c>
      <c r="N14" s="53">
        <v>0</v>
      </c>
      <c r="O14" s="54">
        <v>0</v>
      </c>
      <c r="P14" s="53">
        <v>4044.47</v>
      </c>
      <c r="Q14" s="53">
        <v>1635.28</v>
      </c>
      <c r="R14" s="53">
        <v>1635.28</v>
      </c>
      <c r="S14" s="53">
        <v>0</v>
      </c>
      <c r="T14" s="54">
        <v>0</v>
      </c>
      <c r="U14" s="53">
        <v>4073.16</v>
      </c>
      <c r="V14" s="53">
        <v>1646.88</v>
      </c>
      <c r="W14" s="53">
        <v>1646.88</v>
      </c>
      <c r="X14" s="53">
        <v>0</v>
      </c>
      <c r="Y14" s="54">
        <v>0</v>
      </c>
    </row>
    <row r="15" spans="1:25" x14ac:dyDescent="0.2">
      <c r="A15" s="50" t="s">
        <v>114</v>
      </c>
      <c r="B15" s="51" t="s">
        <v>107</v>
      </c>
      <c r="C15" s="51"/>
      <c r="D15" s="52">
        <v>24269</v>
      </c>
      <c r="E15" s="51" t="s">
        <v>113</v>
      </c>
      <c r="F15" s="53"/>
      <c r="G15" s="53">
        <v>1603.28</v>
      </c>
      <c r="H15" s="53">
        <v>1603.28</v>
      </c>
      <c r="I15" s="53">
        <v>0</v>
      </c>
      <c r="J15" s="54"/>
      <c r="K15" s="53"/>
      <c r="L15" s="53">
        <v>1607.3</v>
      </c>
      <c r="M15" s="53">
        <v>1607.3</v>
      </c>
      <c r="N15" s="53">
        <v>0</v>
      </c>
      <c r="O15" s="54"/>
      <c r="P15" s="53"/>
      <c r="Q15" s="53">
        <v>1690.14</v>
      </c>
      <c r="R15" s="53">
        <v>1690.14</v>
      </c>
      <c r="S15" s="53">
        <v>0</v>
      </c>
      <c r="T15" s="54"/>
      <c r="U15" s="53"/>
      <c r="V15" s="53">
        <v>1702.13</v>
      </c>
      <c r="W15" s="53">
        <v>1702.13</v>
      </c>
      <c r="X15" s="53">
        <v>0</v>
      </c>
      <c r="Y15" s="54"/>
    </row>
    <row r="16" spans="1:25" x14ac:dyDescent="0.2">
      <c r="A16" s="50" t="s">
        <v>115</v>
      </c>
      <c r="B16" s="51" t="s">
        <v>109</v>
      </c>
      <c r="C16" s="51"/>
      <c r="D16" s="52">
        <v>38614</v>
      </c>
      <c r="E16" s="51" t="s">
        <v>113</v>
      </c>
      <c r="F16" s="53"/>
      <c r="G16" s="53">
        <v>682.1</v>
      </c>
      <c r="H16" s="53">
        <v>682.1</v>
      </c>
      <c r="I16" s="53">
        <v>0</v>
      </c>
      <c r="J16" s="54"/>
      <c r="K16" s="53"/>
      <c r="L16" s="53">
        <v>683.81</v>
      </c>
      <c r="M16" s="53">
        <v>683.81</v>
      </c>
      <c r="N16" s="53">
        <v>0</v>
      </c>
      <c r="O16" s="54"/>
      <c r="P16" s="53"/>
      <c r="Q16" s="53">
        <v>719.05</v>
      </c>
      <c r="R16" s="53">
        <v>719.05</v>
      </c>
      <c r="S16" s="53">
        <v>0</v>
      </c>
      <c r="T16" s="54"/>
      <c r="U16" s="53"/>
      <c r="V16" s="53">
        <v>724.15</v>
      </c>
      <c r="W16" s="53">
        <v>724.15</v>
      </c>
      <c r="X16" s="53">
        <v>0</v>
      </c>
      <c r="Y16" s="54"/>
    </row>
    <row r="17" spans="1:25" x14ac:dyDescent="0.2">
      <c r="A17" s="50" t="s">
        <v>116</v>
      </c>
      <c r="B17" s="51" t="s">
        <v>65</v>
      </c>
      <c r="C17" s="51" t="s">
        <v>117</v>
      </c>
      <c r="D17" s="52">
        <v>18453</v>
      </c>
      <c r="E17" s="51" t="s">
        <v>118</v>
      </c>
      <c r="F17" s="53">
        <v>3206.56</v>
      </c>
      <c r="G17" s="53">
        <v>1603.28</v>
      </c>
      <c r="H17" s="53">
        <v>1603.28</v>
      </c>
      <c r="I17" s="53">
        <v>0</v>
      </c>
      <c r="J17" s="54">
        <v>0</v>
      </c>
      <c r="K17" s="53">
        <v>3214.6</v>
      </c>
      <c r="L17" s="53">
        <v>1607.3</v>
      </c>
      <c r="M17" s="53">
        <v>1607.3</v>
      </c>
      <c r="N17" s="53">
        <v>0</v>
      </c>
      <c r="O17" s="54">
        <v>0</v>
      </c>
      <c r="P17" s="53">
        <v>3380.28</v>
      </c>
      <c r="Q17" s="53">
        <v>1690.14</v>
      </c>
      <c r="R17" s="53">
        <v>1690.14</v>
      </c>
      <c r="S17" s="53">
        <v>0</v>
      </c>
      <c r="T17" s="54">
        <v>0</v>
      </c>
      <c r="U17" s="53">
        <v>3404.26</v>
      </c>
      <c r="V17" s="53">
        <v>1702.13</v>
      </c>
      <c r="W17" s="53">
        <v>1702.13</v>
      </c>
      <c r="X17" s="53">
        <v>0</v>
      </c>
      <c r="Y17" s="54">
        <v>0</v>
      </c>
    </row>
    <row r="18" spans="1:25" x14ac:dyDescent="0.2">
      <c r="A18" s="50" t="s">
        <v>119</v>
      </c>
      <c r="B18" s="51" t="s">
        <v>107</v>
      </c>
      <c r="C18" s="51"/>
      <c r="D18" s="52">
        <v>19761</v>
      </c>
      <c r="E18" s="51" t="s">
        <v>118</v>
      </c>
      <c r="F18" s="53"/>
      <c r="G18" s="53">
        <v>1603.28</v>
      </c>
      <c r="H18" s="53">
        <v>1603.28</v>
      </c>
      <c r="I18" s="53">
        <v>0</v>
      </c>
      <c r="J18" s="54"/>
      <c r="K18" s="53"/>
      <c r="L18" s="53">
        <v>1607.3</v>
      </c>
      <c r="M18" s="53">
        <v>1607.3</v>
      </c>
      <c r="N18" s="53">
        <v>0</v>
      </c>
      <c r="O18" s="54"/>
      <c r="P18" s="53"/>
      <c r="Q18" s="53">
        <v>1690.14</v>
      </c>
      <c r="R18" s="53">
        <v>1690.14</v>
      </c>
      <c r="S18" s="53">
        <v>0</v>
      </c>
      <c r="T18" s="54"/>
      <c r="U18" s="53"/>
      <c r="V18" s="53">
        <v>1702.13</v>
      </c>
      <c r="W18" s="53">
        <v>1702.13</v>
      </c>
      <c r="X18" s="53">
        <v>0</v>
      </c>
      <c r="Y18" s="54"/>
    </row>
    <row r="19" spans="1:25" x14ac:dyDescent="0.2">
      <c r="A19" s="50" t="s">
        <v>120</v>
      </c>
      <c r="B19" s="51" t="s">
        <v>65</v>
      </c>
      <c r="C19" s="51" t="s">
        <v>65</v>
      </c>
      <c r="D19" s="52">
        <v>35733</v>
      </c>
      <c r="E19" s="51" t="s">
        <v>121</v>
      </c>
      <c r="F19" s="53">
        <v>878.99</v>
      </c>
      <c r="G19" s="53">
        <v>878.99</v>
      </c>
      <c r="H19" s="53">
        <v>878.99</v>
      </c>
      <c r="I19" s="53">
        <v>0</v>
      </c>
      <c r="J19" s="54">
        <v>0</v>
      </c>
      <c r="K19" s="53">
        <v>881.19</v>
      </c>
      <c r="L19" s="53">
        <v>881.19</v>
      </c>
      <c r="M19" s="53">
        <v>881.19</v>
      </c>
      <c r="N19" s="53">
        <v>0</v>
      </c>
      <c r="O19" s="54">
        <v>0</v>
      </c>
      <c r="P19" s="53">
        <v>926.61</v>
      </c>
      <c r="Q19" s="53">
        <v>926.61</v>
      </c>
      <c r="R19" s="53">
        <v>926.61</v>
      </c>
      <c r="S19" s="53">
        <v>0</v>
      </c>
      <c r="T19" s="54">
        <v>0</v>
      </c>
      <c r="U19" s="53">
        <v>933.18</v>
      </c>
      <c r="V19" s="53">
        <v>933.18</v>
      </c>
      <c r="W19" s="53">
        <v>933.18</v>
      </c>
      <c r="X19" s="53">
        <v>0</v>
      </c>
      <c r="Y19" s="54">
        <v>0</v>
      </c>
    </row>
    <row r="20" spans="1:25" x14ac:dyDescent="0.2">
      <c r="A20" s="50" t="s">
        <v>122</v>
      </c>
      <c r="B20" s="51" t="s">
        <v>65</v>
      </c>
      <c r="C20" s="51" t="s">
        <v>104</v>
      </c>
      <c r="D20" s="52">
        <v>24958</v>
      </c>
      <c r="E20" s="51" t="s">
        <v>123</v>
      </c>
      <c r="F20" s="53">
        <v>4401.3</v>
      </c>
      <c r="G20" s="53">
        <v>1551.25</v>
      </c>
      <c r="H20" s="53">
        <v>1551.25</v>
      </c>
      <c r="I20" s="53">
        <v>0</v>
      </c>
      <c r="J20" s="54">
        <v>0</v>
      </c>
      <c r="K20" s="53">
        <v>4412.3100000000004</v>
      </c>
      <c r="L20" s="53">
        <v>1555.13</v>
      </c>
      <c r="M20" s="53">
        <v>1555.13</v>
      </c>
      <c r="N20" s="53">
        <v>0</v>
      </c>
      <c r="O20" s="54">
        <v>0</v>
      </c>
      <c r="P20" s="53">
        <v>4639.72</v>
      </c>
      <c r="Q20" s="53">
        <v>1635.28</v>
      </c>
      <c r="R20" s="53">
        <v>1635.28</v>
      </c>
      <c r="S20" s="53">
        <v>0</v>
      </c>
      <c r="T20" s="54">
        <v>0</v>
      </c>
      <c r="U20" s="53">
        <v>4672.63</v>
      </c>
      <c r="V20" s="53">
        <v>1646.88</v>
      </c>
      <c r="W20" s="53">
        <v>1646.88</v>
      </c>
      <c r="X20" s="53">
        <v>0</v>
      </c>
      <c r="Y20" s="54">
        <v>0</v>
      </c>
    </row>
    <row r="21" spans="1:25" x14ac:dyDescent="0.2">
      <c r="A21" s="50" t="s">
        <v>124</v>
      </c>
      <c r="B21" s="51" t="s">
        <v>107</v>
      </c>
      <c r="C21" s="51"/>
      <c r="D21" s="52">
        <v>25342</v>
      </c>
      <c r="E21" s="51" t="s">
        <v>123</v>
      </c>
      <c r="F21" s="53"/>
      <c r="G21" s="53">
        <v>1506.24</v>
      </c>
      <c r="H21" s="53">
        <v>1506.24</v>
      </c>
      <c r="I21" s="53">
        <v>0</v>
      </c>
      <c r="J21" s="54"/>
      <c r="K21" s="53"/>
      <c r="L21" s="53">
        <v>1510.01</v>
      </c>
      <c r="M21" s="53">
        <v>1510.01</v>
      </c>
      <c r="N21" s="53">
        <v>0</v>
      </c>
      <c r="O21" s="54"/>
      <c r="P21" s="53"/>
      <c r="Q21" s="53">
        <v>1587.84</v>
      </c>
      <c r="R21" s="53">
        <v>1587.84</v>
      </c>
      <c r="S21" s="53">
        <v>0</v>
      </c>
      <c r="T21" s="54"/>
      <c r="U21" s="53"/>
      <c r="V21" s="53">
        <v>1599.1</v>
      </c>
      <c r="W21" s="53">
        <v>1599.1</v>
      </c>
      <c r="X21" s="53">
        <v>0</v>
      </c>
      <c r="Y21" s="54"/>
    </row>
    <row r="22" spans="1:25" x14ac:dyDescent="0.2">
      <c r="A22" s="50" t="s">
        <v>125</v>
      </c>
      <c r="B22" s="51" t="s">
        <v>109</v>
      </c>
      <c r="C22" s="51"/>
      <c r="D22" s="52">
        <v>38632</v>
      </c>
      <c r="E22" s="51" t="s">
        <v>123</v>
      </c>
      <c r="F22" s="53"/>
      <c r="G22" s="53">
        <v>682.1</v>
      </c>
      <c r="H22" s="53">
        <v>682.1</v>
      </c>
      <c r="I22" s="53">
        <v>0</v>
      </c>
      <c r="J22" s="54"/>
      <c r="K22" s="53"/>
      <c r="L22" s="53">
        <v>683.81</v>
      </c>
      <c r="M22" s="53">
        <v>683.81</v>
      </c>
      <c r="N22" s="53">
        <v>0</v>
      </c>
      <c r="O22" s="54"/>
      <c r="P22" s="53"/>
      <c r="Q22" s="53">
        <v>719.05</v>
      </c>
      <c r="R22" s="53">
        <v>719.05</v>
      </c>
      <c r="S22" s="53">
        <v>0</v>
      </c>
      <c r="T22" s="54"/>
      <c r="U22" s="53"/>
      <c r="V22" s="53">
        <v>724.15</v>
      </c>
      <c r="W22" s="53">
        <v>724.15</v>
      </c>
      <c r="X22" s="53">
        <v>0</v>
      </c>
      <c r="Y22" s="54"/>
    </row>
    <row r="23" spans="1:25" x14ac:dyDescent="0.2">
      <c r="A23" s="50" t="s">
        <v>126</v>
      </c>
      <c r="B23" s="51" t="s">
        <v>109</v>
      </c>
      <c r="C23" s="51"/>
      <c r="D23" s="52">
        <v>39092</v>
      </c>
      <c r="E23" s="51" t="s">
        <v>123</v>
      </c>
      <c r="F23" s="53"/>
      <c r="G23" s="53">
        <v>661.71</v>
      </c>
      <c r="H23" s="53">
        <v>661.71</v>
      </c>
      <c r="I23" s="53">
        <v>0</v>
      </c>
      <c r="J23" s="54"/>
      <c r="K23" s="53"/>
      <c r="L23" s="53">
        <v>663.36</v>
      </c>
      <c r="M23" s="53">
        <v>663.36</v>
      </c>
      <c r="N23" s="53">
        <v>0</v>
      </c>
      <c r="O23" s="54"/>
      <c r="P23" s="53"/>
      <c r="Q23" s="53">
        <v>697.55</v>
      </c>
      <c r="R23" s="53">
        <v>697.55</v>
      </c>
      <c r="S23" s="53">
        <v>0</v>
      </c>
      <c r="T23" s="54"/>
      <c r="U23" s="53"/>
      <c r="V23" s="53">
        <v>702.5</v>
      </c>
      <c r="W23" s="53">
        <v>702.5</v>
      </c>
      <c r="X23" s="53">
        <v>0</v>
      </c>
      <c r="Y23" s="54"/>
    </row>
    <row r="24" spans="1:25" x14ac:dyDescent="0.2">
      <c r="A24" s="50" t="s">
        <v>127</v>
      </c>
      <c r="B24" s="51" t="s">
        <v>65</v>
      </c>
      <c r="C24" s="51" t="s">
        <v>117</v>
      </c>
      <c r="D24" s="52">
        <v>21309</v>
      </c>
      <c r="E24" s="51" t="s">
        <v>96</v>
      </c>
      <c r="F24" s="53">
        <v>3206.56</v>
      </c>
      <c r="G24" s="53">
        <v>1603.28</v>
      </c>
      <c r="H24" s="53">
        <v>1603.28</v>
      </c>
      <c r="I24" s="53">
        <v>0</v>
      </c>
      <c r="J24" s="54">
        <v>0</v>
      </c>
      <c r="K24" s="53">
        <v>3214.6</v>
      </c>
      <c r="L24" s="53">
        <v>1607.3</v>
      </c>
      <c r="M24" s="53">
        <v>1607.3</v>
      </c>
      <c r="N24" s="53">
        <v>0</v>
      </c>
      <c r="O24" s="54">
        <v>0</v>
      </c>
      <c r="P24" s="53">
        <v>3380.28</v>
      </c>
      <c r="Q24" s="53">
        <v>1690.14</v>
      </c>
      <c r="R24" s="53">
        <v>1690.14</v>
      </c>
      <c r="S24" s="53">
        <v>0</v>
      </c>
      <c r="T24" s="54">
        <v>0</v>
      </c>
      <c r="U24" s="53">
        <v>3404.26</v>
      </c>
      <c r="V24" s="53">
        <v>1702.13</v>
      </c>
      <c r="W24" s="53">
        <v>1702.13</v>
      </c>
      <c r="X24" s="53">
        <v>0</v>
      </c>
      <c r="Y24" s="54">
        <v>0</v>
      </c>
    </row>
    <row r="25" spans="1:25" x14ac:dyDescent="0.2">
      <c r="A25" s="50" t="s">
        <v>128</v>
      </c>
      <c r="B25" s="51" t="s">
        <v>107</v>
      </c>
      <c r="C25" s="51"/>
      <c r="D25" s="52">
        <v>23570</v>
      </c>
      <c r="E25" s="51" t="s">
        <v>96</v>
      </c>
      <c r="F25" s="53"/>
      <c r="G25" s="53">
        <v>1603.28</v>
      </c>
      <c r="H25" s="53">
        <v>1603.28</v>
      </c>
      <c r="I25" s="53">
        <v>0</v>
      </c>
      <c r="J25" s="54"/>
      <c r="K25" s="53"/>
      <c r="L25" s="53">
        <v>1607.3</v>
      </c>
      <c r="M25" s="53">
        <v>1607.3</v>
      </c>
      <c r="N25" s="53">
        <v>0</v>
      </c>
      <c r="O25" s="54"/>
      <c r="P25" s="53"/>
      <c r="Q25" s="53">
        <v>1690.14</v>
      </c>
      <c r="R25" s="53">
        <v>1690.14</v>
      </c>
      <c r="S25" s="53">
        <v>0</v>
      </c>
      <c r="T25" s="54"/>
      <c r="U25" s="53"/>
      <c r="V25" s="53">
        <v>1702.13</v>
      </c>
      <c r="W25" s="53">
        <v>1702.13</v>
      </c>
      <c r="X25" s="53">
        <v>0</v>
      </c>
      <c r="Y25" s="54"/>
    </row>
    <row r="26" spans="1:25" x14ac:dyDescent="0.2">
      <c r="A26" s="50" t="s">
        <v>129</v>
      </c>
      <c r="B26" s="51" t="s">
        <v>65</v>
      </c>
      <c r="C26" s="51" t="s">
        <v>65</v>
      </c>
      <c r="D26" s="52">
        <v>24147</v>
      </c>
      <c r="E26" s="51" t="s">
        <v>113</v>
      </c>
      <c r="F26" s="53">
        <v>1603.28</v>
      </c>
      <c r="G26" s="53">
        <v>1603.28</v>
      </c>
      <c r="H26" s="53">
        <v>1603.28</v>
      </c>
      <c r="I26" s="53">
        <v>0</v>
      </c>
      <c r="J26" s="54">
        <v>0</v>
      </c>
      <c r="K26" s="53">
        <v>1607.3</v>
      </c>
      <c r="L26" s="53">
        <v>1607.3</v>
      </c>
      <c r="M26" s="53">
        <v>1607.3</v>
      </c>
      <c r="N26" s="53">
        <v>0</v>
      </c>
      <c r="O26" s="54">
        <v>0</v>
      </c>
      <c r="P26" s="53">
        <v>1690.14</v>
      </c>
      <c r="Q26" s="53">
        <v>1690.14</v>
      </c>
      <c r="R26" s="53">
        <v>1690.14</v>
      </c>
      <c r="S26" s="53">
        <v>0</v>
      </c>
      <c r="T26" s="54">
        <v>0</v>
      </c>
      <c r="U26" s="53">
        <v>1702.13</v>
      </c>
      <c r="V26" s="53">
        <v>1702.13</v>
      </c>
      <c r="W26" s="53">
        <v>1702.13</v>
      </c>
      <c r="X26" s="53">
        <v>0</v>
      </c>
      <c r="Y26" s="54">
        <v>0</v>
      </c>
    </row>
    <row r="27" spans="1:25" x14ac:dyDescent="0.2">
      <c r="A27" s="50" t="s">
        <v>130</v>
      </c>
      <c r="B27" s="51" t="s">
        <v>65</v>
      </c>
      <c r="C27" s="51" t="s">
        <v>65</v>
      </c>
      <c r="D27" s="52">
        <v>25210</v>
      </c>
      <c r="E27" s="51" t="s">
        <v>131</v>
      </c>
      <c r="F27" s="53">
        <v>1506.24</v>
      </c>
      <c r="G27" s="53">
        <v>1506.24</v>
      </c>
      <c r="H27" s="53">
        <v>1506.24</v>
      </c>
      <c r="I27" s="53">
        <v>0</v>
      </c>
      <c r="J27" s="54">
        <v>0</v>
      </c>
      <c r="K27" s="53">
        <v>1510.01</v>
      </c>
      <c r="L27" s="53">
        <v>1510.01</v>
      </c>
      <c r="M27" s="53">
        <v>1510.01</v>
      </c>
      <c r="N27" s="53">
        <v>0</v>
      </c>
      <c r="O27" s="54">
        <v>0</v>
      </c>
      <c r="P27" s="53">
        <v>1587.84</v>
      </c>
      <c r="Q27" s="53">
        <v>1587.84</v>
      </c>
      <c r="R27" s="53">
        <v>1587.84</v>
      </c>
      <c r="S27" s="53">
        <v>0</v>
      </c>
      <c r="T27" s="54">
        <v>0</v>
      </c>
      <c r="U27" s="53">
        <v>1599.1</v>
      </c>
      <c r="V27" s="53">
        <v>1599.1</v>
      </c>
      <c r="W27" s="53">
        <v>1599.1</v>
      </c>
      <c r="X27" s="53">
        <v>0</v>
      </c>
      <c r="Y27" s="54">
        <v>0</v>
      </c>
    </row>
    <row r="28" spans="1:25" x14ac:dyDescent="0.2">
      <c r="A28" s="50" t="s">
        <v>132</v>
      </c>
      <c r="B28" s="51" t="s">
        <v>65</v>
      </c>
      <c r="C28" s="51" t="s">
        <v>65</v>
      </c>
      <c r="D28" s="52">
        <v>35103</v>
      </c>
      <c r="E28" s="51" t="s">
        <v>113</v>
      </c>
      <c r="F28" s="53">
        <v>905.01</v>
      </c>
      <c r="G28" s="53">
        <v>905.01</v>
      </c>
      <c r="H28" s="53">
        <v>905.01</v>
      </c>
      <c r="I28" s="53">
        <v>0</v>
      </c>
      <c r="J28" s="54">
        <v>0</v>
      </c>
      <c r="K28" s="53">
        <v>907.28</v>
      </c>
      <c r="L28" s="53">
        <v>907.28</v>
      </c>
      <c r="M28" s="53">
        <v>907.28</v>
      </c>
      <c r="N28" s="53">
        <v>0</v>
      </c>
      <c r="O28" s="54">
        <v>0</v>
      </c>
      <c r="P28" s="53">
        <v>954.04</v>
      </c>
      <c r="Q28" s="53">
        <v>954.04</v>
      </c>
      <c r="R28" s="53">
        <v>954.04</v>
      </c>
      <c r="S28" s="53">
        <v>0</v>
      </c>
      <c r="T28" s="54">
        <v>0</v>
      </c>
      <c r="U28" s="53">
        <v>960.81</v>
      </c>
      <c r="V28" s="53">
        <v>960.81</v>
      </c>
      <c r="W28" s="53">
        <v>960.81</v>
      </c>
      <c r="X28" s="53">
        <v>0</v>
      </c>
      <c r="Y28" s="54">
        <v>0</v>
      </c>
    </row>
    <row r="29" spans="1:25" x14ac:dyDescent="0.2">
      <c r="A29" s="50" t="s">
        <v>133</v>
      </c>
      <c r="B29" s="51" t="s">
        <v>65</v>
      </c>
      <c r="C29" s="51" t="s">
        <v>117</v>
      </c>
      <c r="D29" s="52">
        <v>27399</v>
      </c>
      <c r="E29" s="51" t="s">
        <v>113</v>
      </c>
      <c r="F29" s="53">
        <v>2322.65</v>
      </c>
      <c r="G29" s="53">
        <v>1260.1199999999999</v>
      </c>
      <c r="H29" s="53">
        <v>1260.1199999999999</v>
      </c>
      <c r="I29" s="53">
        <v>0</v>
      </c>
      <c r="J29" s="54">
        <v>0</v>
      </c>
      <c r="K29" s="53">
        <v>2328.4699999999998</v>
      </c>
      <c r="L29" s="53">
        <v>1263.28</v>
      </c>
      <c r="M29" s="53">
        <v>1263.28</v>
      </c>
      <c r="N29" s="53">
        <v>0</v>
      </c>
      <c r="O29" s="54">
        <v>0</v>
      </c>
      <c r="P29" s="53">
        <v>2448.48</v>
      </c>
      <c r="Q29" s="53">
        <v>1328.39</v>
      </c>
      <c r="R29" s="53">
        <v>1328.39</v>
      </c>
      <c r="S29" s="53">
        <v>0</v>
      </c>
      <c r="T29" s="54">
        <v>0</v>
      </c>
      <c r="U29" s="53">
        <v>2465.84</v>
      </c>
      <c r="V29" s="53">
        <v>1337.81</v>
      </c>
      <c r="W29" s="53">
        <v>1337.81</v>
      </c>
      <c r="X29" s="53">
        <v>0</v>
      </c>
      <c r="Y29" s="54">
        <v>0</v>
      </c>
    </row>
    <row r="30" spans="1:25" x14ac:dyDescent="0.2">
      <c r="A30" s="50" t="s">
        <v>134</v>
      </c>
      <c r="B30" s="51" t="s">
        <v>107</v>
      </c>
      <c r="C30" s="51"/>
      <c r="D30" s="52">
        <v>29502</v>
      </c>
      <c r="E30" s="51" t="s">
        <v>113</v>
      </c>
      <c r="F30" s="53"/>
      <c r="G30" s="53">
        <v>1062.53</v>
      </c>
      <c r="H30" s="53">
        <v>1062.53</v>
      </c>
      <c r="I30" s="53">
        <v>0</v>
      </c>
      <c r="J30" s="54"/>
      <c r="K30" s="53"/>
      <c r="L30" s="53">
        <v>1065.19</v>
      </c>
      <c r="M30" s="53">
        <v>1065.19</v>
      </c>
      <c r="N30" s="53">
        <v>0</v>
      </c>
      <c r="O30" s="54"/>
      <c r="P30" s="53"/>
      <c r="Q30" s="53">
        <v>1120.0899999999999</v>
      </c>
      <c r="R30" s="53">
        <v>1120.0899999999999</v>
      </c>
      <c r="S30" s="53">
        <v>0</v>
      </c>
      <c r="T30" s="54"/>
      <c r="U30" s="53"/>
      <c r="V30" s="53">
        <v>1128.03</v>
      </c>
      <c r="W30" s="53">
        <v>1128.03</v>
      </c>
      <c r="X30" s="53">
        <v>0</v>
      </c>
      <c r="Y30" s="54"/>
    </row>
    <row r="31" spans="1:25" x14ac:dyDescent="0.2">
      <c r="A31" s="50" t="s">
        <v>135</v>
      </c>
      <c r="B31" s="51" t="s">
        <v>65</v>
      </c>
      <c r="C31" s="51" t="s">
        <v>104</v>
      </c>
      <c r="D31" s="52">
        <v>24592</v>
      </c>
      <c r="E31" s="51" t="s">
        <v>111</v>
      </c>
      <c r="F31" s="53">
        <v>4085.55</v>
      </c>
      <c r="G31" s="53">
        <v>1603.28</v>
      </c>
      <c r="H31" s="53">
        <v>1603.28</v>
      </c>
      <c r="I31" s="53">
        <v>0</v>
      </c>
      <c r="J31" s="54">
        <v>0</v>
      </c>
      <c r="K31" s="53">
        <v>4095.79</v>
      </c>
      <c r="L31" s="53">
        <v>1607.3</v>
      </c>
      <c r="M31" s="53">
        <v>1607.3</v>
      </c>
      <c r="N31" s="53">
        <v>0</v>
      </c>
      <c r="O31" s="54">
        <v>0</v>
      </c>
      <c r="P31" s="53">
        <v>4306.8900000000003</v>
      </c>
      <c r="Q31" s="53">
        <v>1690.14</v>
      </c>
      <c r="R31" s="53">
        <v>1690.14</v>
      </c>
      <c r="S31" s="53">
        <v>0</v>
      </c>
      <c r="T31" s="54">
        <v>0</v>
      </c>
      <c r="U31" s="53">
        <v>4337.4399999999996</v>
      </c>
      <c r="V31" s="53">
        <v>1702.13</v>
      </c>
      <c r="W31" s="53">
        <v>1702.13</v>
      </c>
      <c r="X31" s="53">
        <v>0</v>
      </c>
      <c r="Y31" s="54">
        <v>0</v>
      </c>
    </row>
    <row r="32" spans="1:25" x14ac:dyDescent="0.2">
      <c r="A32" s="50" t="s">
        <v>136</v>
      </c>
      <c r="B32" s="51" t="s">
        <v>107</v>
      </c>
      <c r="C32" s="51"/>
      <c r="D32" s="52">
        <v>22616</v>
      </c>
      <c r="E32" s="51" t="s">
        <v>111</v>
      </c>
      <c r="F32" s="53"/>
      <c r="G32" s="53">
        <v>1603.28</v>
      </c>
      <c r="H32" s="53">
        <v>1603.28</v>
      </c>
      <c r="I32" s="53">
        <v>0</v>
      </c>
      <c r="J32" s="54"/>
      <c r="K32" s="53"/>
      <c r="L32" s="53">
        <v>1607.3</v>
      </c>
      <c r="M32" s="53">
        <v>1607.3</v>
      </c>
      <c r="N32" s="53">
        <v>0</v>
      </c>
      <c r="O32" s="54"/>
      <c r="P32" s="53"/>
      <c r="Q32" s="53">
        <v>1690.14</v>
      </c>
      <c r="R32" s="53">
        <v>1690.14</v>
      </c>
      <c r="S32" s="53">
        <v>0</v>
      </c>
      <c r="T32" s="54"/>
      <c r="U32" s="53"/>
      <c r="V32" s="53">
        <v>1702.13</v>
      </c>
      <c r="W32" s="53">
        <v>1702.13</v>
      </c>
      <c r="X32" s="53">
        <v>0</v>
      </c>
      <c r="Y32" s="54"/>
    </row>
    <row r="33" spans="1:25" x14ac:dyDescent="0.2">
      <c r="A33" s="50" t="s">
        <v>137</v>
      </c>
      <c r="B33" s="51" t="s">
        <v>109</v>
      </c>
      <c r="C33" s="51"/>
      <c r="D33" s="52">
        <v>37842</v>
      </c>
      <c r="E33" s="51" t="s">
        <v>111</v>
      </c>
      <c r="F33" s="53"/>
      <c r="G33" s="53">
        <v>878.99</v>
      </c>
      <c r="H33" s="53">
        <v>878.99</v>
      </c>
      <c r="I33" s="53">
        <v>0</v>
      </c>
      <c r="J33" s="54"/>
      <c r="K33" s="53"/>
      <c r="L33" s="53">
        <v>881.19</v>
      </c>
      <c r="M33" s="53">
        <v>881.19</v>
      </c>
      <c r="N33" s="53">
        <v>0</v>
      </c>
      <c r="O33" s="54"/>
      <c r="P33" s="53"/>
      <c r="Q33" s="53">
        <v>926.61</v>
      </c>
      <c r="R33" s="53">
        <v>926.61</v>
      </c>
      <c r="S33" s="53">
        <v>0</v>
      </c>
      <c r="T33" s="54"/>
      <c r="U33" s="53"/>
      <c r="V33" s="53">
        <v>933.18</v>
      </c>
      <c r="W33" s="53">
        <v>933.18</v>
      </c>
      <c r="X33" s="53">
        <v>0</v>
      </c>
      <c r="Y33" s="54"/>
    </row>
    <row r="34" spans="1:25" x14ac:dyDescent="0.2">
      <c r="A34" s="50" t="s">
        <v>138</v>
      </c>
      <c r="B34" s="51" t="s">
        <v>65</v>
      </c>
      <c r="C34" s="51" t="s">
        <v>65</v>
      </c>
      <c r="D34" s="52">
        <v>35401</v>
      </c>
      <c r="E34" s="51" t="s">
        <v>113</v>
      </c>
      <c r="F34" s="53">
        <v>896.57</v>
      </c>
      <c r="G34" s="53">
        <v>896.57</v>
      </c>
      <c r="H34" s="53">
        <v>896.57</v>
      </c>
      <c r="I34" s="53">
        <v>0</v>
      </c>
      <c r="J34" s="54">
        <v>0</v>
      </c>
      <c r="K34" s="53">
        <v>898.82</v>
      </c>
      <c r="L34" s="53">
        <v>898.82</v>
      </c>
      <c r="M34" s="53">
        <v>898.82</v>
      </c>
      <c r="N34" s="53">
        <v>0</v>
      </c>
      <c r="O34" s="54">
        <v>0</v>
      </c>
      <c r="P34" s="53">
        <v>945.14</v>
      </c>
      <c r="Q34" s="53">
        <v>945.14</v>
      </c>
      <c r="R34" s="53">
        <v>945.14</v>
      </c>
      <c r="S34" s="53">
        <v>0</v>
      </c>
      <c r="T34" s="54">
        <v>0</v>
      </c>
      <c r="U34" s="53">
        <v>951.85</v>
      </c>
      <c r="V34" s="53">
        <v>951.85</v>
      </c>
      <c r="W34" s="53">
        <v>951.85</v>
      </c>
      <c r="X34" s="53">
        <v>0</v>
      </c>
      <c r="Y34" s="54">
        <v>0</v>
      </c>
    </row>
    <row r="35" spans="1:25" x14ac:dyDescent="0.2">
      <c r="A35" s="50" t="s">
        <v>139</v>
      </c>
      <c r="B35" s="51" t="s">
        <v>65</v>
      </c>
      <c r="C35" s="51" t="s">
        <v>65</v>
      </c>
      <c r="D35" s="52">
        <v>35453</v>
      </c>
      <c r="E35" s="51" t="s">
        <v>113</v>
      </c>
      <c r="F35" s="53">
        <v>896.57</v>
      </c>
      <c r="G35" s="53">
        <v>896.57</v>
      </c>
      <c r="H35" s="53">
        <v>896.57</v>
      </c>
      <c r="I35" s="53">
        <v>0</v>
      </c>
      <c r="J35" s="54">
        <v>0</v>
      </c>
      <c r="K35" s="53">
        <v>898.82</v>
      </c>
      <c r="L35" s="53">
        <v>898.82</v>
      </c>
      <c r="M35" s="53">
        <v>898.82</v>
      </c>
      <c r="N35" s="53">
        <v>0</v>
      </c>
      <c r="O35" s="54">
        <v>0</v>
      </c>
      <c r="P35" s="53">
        <v>945.14</v>
      </c>
      <c r="Q35" s="53">
        <v>945.14</v>
      </c>
      <c r="R35" s="53">
        <v>945.14</v>
      </c>
      <c r="S35" s="53">
        <v>0</v>
      </c>
      <c r="T35" s="54">
        <v>0</v>
      </c>
      <c r="U35" s="53">
        <v>951.85</v>
      </c>
      <c r="V35" s="53">
        <v>951.85</v>
      </c>
      <c r="W35" s="53">
        <v>951.85</v>
      </c>
      <c r="X35" s="53">
        <v>0</v>
      </c>
      <c r="Y35" s="54">
        <v>0</v>
      </c>
    </row>
    <row r="36" spans="1:25" x14ac:dyDescent="0.2">
      <c r="A36" s="50" t="s">
        <v>140</v>
      </c>
      <c r="B36" s="51" t="s">
        <v>65</v>
      </c>
      <c r="C36" s="51" t="s">
        <v>65</v>
      </c>
      <c r="D36" s="52">
        <v>34864</v>
      </c>
      <c r="E36" s="51" t="s">
        <v>118</v>
      </c>
      <c r="F36" s="53">
        <v>905.01</v>
      </c>
      <c r="G36" s="53">
        <v>905.01</v>
      </c>
      <c r="H36" s="53">
        <v>905.01</v>
      </c>
      <c r="I36" s="53">
        <v>0</v>
      </c>
      <c r="J36" s="54">
        <v>0</v>
      </c>
      <c r="K36" s="53">
        <v>907.28</v>
      </c>
      <c r="L36" s="53">
        <v>907.28</v>
      </c>
      <c r="M36" s="53">
        <v>907.28</v>
      </c>
      <c r="N36" s="53">
        <v>0</v>
      </c>
      <c r="O36" s="54">
        <v>0</v>
      </c>
      <c r="P36" s="53">
        <v>954.04</v>
      </c>
      <c r="Q36" s="53">
        <v>954.04</v>
      </c>
      <c r="R36" s="53">
        <v>954.04</v>
      </c>
      <c r="S36" s="53">
        <v>0</v>
      </c>
      <c r="T36" s="54">
        <v>0</v>
      </c>
      <c r="U36" s="53">
        <v>960.81</v>
      </c>
      <c r="V36" s="53">
        <v>960.81</v>
      </c>
      <c r="W36" s="53">
        <v>960.81</v>
      </c>
      <c r="X36" s="53">
        <v>0</v>
      </c>
      <c r="Y36" s="54">
        <v>0</v>
      </c>
    </row>
    <row r="37" spans="1:25" x14ac:dyDescent="0.2">
      <c r="A37" s="50" t="s">
        <v>141</v>
      </c>
      <c r="B37" s="51" t="s">
        <v>65</v>
      </c>
      <c r="C37" s="51" t="s">
        <v>104</v>
      </c>
      <c r="D37" s="52">
        <v>26666</v>
      </c>
      <c r="E37" s="51" t="s">
        <v>118</v>
      </c>
      <c r="F37" s="53">
        <v>4018.76</v>
      </c>
      <c r="G37" s="53">
        <v>1337.48</v>
      </c>
      <c r="H37" s="53">
        <v>1337.48</v>
      </c>
      <c r="I37" s="53">
        <v>0</v>
      </c>
      <c r="J37" s="54">
        <v>0</v>
      </c>
      <c r="K37" s="53">
        <v>4028.82</v>
      </c>
      <c r="L37" s="53">
        <v>1340.83</v>
      </c>
      <c r="M37" s="53">
        <v>1340.83</v>
      </c>
      <c r="N37" s="53">
        <v>0</v>
      </c>
      <c r="O37" s="54">
        <v>0</v>
      </c>
      <c r="P37" s="53">
        <v>4236.46</v>
      </c>
      <c r="Q37" s="53">
        <v>1409.93</v>
      </c>
      <c r="R37" s="53">
        <v>1409.93</v>
      </c>
      <c r="S37" s="53">
        <v>0</v>
      </c>
      <c r="T37" s="54">
        <v>0</v>
      </c>
      <c r="U37" s="53">
        <v>4266.51</v>
      </c>
      <c r="V37" s="53">
        <v>1419.93</v>
      </c>
      <c r="W37" s="53">
        <v>1419.93</v>
      </c>
      <c r="X37" s="53">
        <v>0</v>
      </c>
      <c r="Y37" s="54">
        <v>0</v>
      </c>
    </row>
    <row r="38" spans="1:25" x14ac:dyDescent="0.2">
      <c r="A38" s="50" t="s">
        <v>142</v>
      </c>
      <c r="B38" s="51" t="s">
        <v>107</v>
      </c>
      <c r="C38" s="51"/>
      <c r="D38" s="52">
        <v>28717</v>
      </c>
      <c r="E38" s="51" t="s">
        <v>118</v>
      </c>
      <c r="F38" s="53"/>
      <c r="G38" s="53">
        <v>1120.19</v>
      </c>
      <c r="H38" s="53">
        <v>1120.19</v>
      </c>
      <c r="I38" s="53">
        <v>0</v>
      </c>
      <c r="J38" s="54"/>
      <c r="K38" s="53"/>
      <c r="L38" s="53">
        <v>1122.99</v>
      </c>
      <c r="M38" s="53">
        <v>1122.99</v>
      </c>
      <c r="N38" s="53">
        <v>0</v>
      </c>
      <c r="O38" s="54"/>
      <c r="P38" s="53"/>
      <c r="Q38" s="53">
        <v>1180.8699999999999</v>
      </c>
      <c r="R38" s="53">
        <v>1180.8699999999999</v>
      </c>
      <c r="S38" s="53">
        <v>0</v>
      </c>
      <c r="T38" s="54"/>
      <c r="U38" s="53"/>
      <c r="V38" s="53">
        <v>1189.25</v>
      </c>
      <c r="W38" s="53">
        <v>1189.25</v>
      </c>
      <c r="X38" s="53">
        <v>0</v>
      </c>
      <c r="Y38" s="54"/>
    </row>
    <row r="39" spans="1:25" x14ac:dyDescent="0.2">
      <c r="A39" s="50" t="s">
        <v>143</v>
      </c>
      <c r="B39" s="51" t="s">
        <v>109</v>
      </c>
      <c r="C39" s="51"/>
      <c r="D39" s="52">
        <v>37384</v>
      </c>
      <c r="E39" s="51" t="s">
        <v>118</v>
      </c>
      <c r="F39" s="53"/>
      <c r="G39" s="53">
        <v>878.99</v>
      </c>
      <c r="H39" s="53">
        <v>878.99</v>
      </c>
      <c r="I39" s="53">
        <v>0</v>
      </c>
      <c r="J39" s="54"/>
      <c r="K39" s="53"/>
      <c r="L39" s="53">
        <v>881.19</v>
      </c>
      <c r="M39" s="53">
        <v>881.19</v>
      </c>
      <c r="N39" s="53">
        <v>0</v>
      </c>
      <c r="O39" s="54"/>
      <c r="P39" s="53"/>
      <c r="Q39" s="53">
        <v>926.61</v>
      </c>
      <c r="R39" s="53">
        <v>926.61</v>
      </c>
      <c r="S39" s="53">
        <v>0</v>
      </c>
      <c r="T39" s="54"/>
      <c r="U39" s="53"/>
      <c r="V39" s="53">
        <v>933.18</v>
      </c>
      <c r="W39" s="53">
        <v>933.18</v>
      </c>
      <c r="X39" s="53">
        <v>0</v>
      </c>
      <c r="Y39" s="54"/>
    </row>
    <row r="40" spans="1:25" x14ac:dyDescent="0.2">
      <c r="A40" s="50" t="s">
        <v>144</v>
      </c>
      <c r="B40" s="51" t="s">
        <v>109</v>
      </c>
      <c r="C40" s="51"/>
      <c r="D40" s="52">
        <v>38688</v>
      </c>
      <c r="E40" s="51" t="s">
        <v>118</v>
      </c>
      <c r="F40" s="53"/>
      <c r="G40" s="53">
        <v>682.1</v>
      </c>
      <c r="H40" s="53">
        <v>682.1</v>
      </c>
      <c r="I40" s="53">
        <v>0</v>
      </c>
      <c r="J40" s="54"/>
      <c r="K40" s="53"/>
      <c r="L40" s="53">
        <v>683.81</v>
      </c>
      <c r="M40" s="53">
        <v>683.81</v>
      </c>
      <c r="N40" s="53">
        <v>0</v>
      </c>
      <c r="O40" s="54"/>
      <c r="P40" s="53"/>
      <c r="Q40" s="53">
        <v>719.05</v>
      </c>
      <c r="R40" s="53">
        <v>719.05</v>
      </c>
      <c r="S40" s="53">
        <v>0</v>
      </c>
      <c r="T40" s="54"/>
      <c r="U40" s="53"/>
      <c r="V40" s="53">
        <v>724.15</v>
      </c>
      <c r="W40" s="53">
        <v>724.15</v>
      </c>
      <c r="X40" s="53">
        <v>0</v>
      </c>
      <c r="Y40" s="54"/>
    </row>
    <row r="41" spans="1:25" x14ac:dyDescent="0.2">
      <c r="A41" s="50" t="s">
        <v>145</v>
      </c>
      <c r="B41" s="51" t="s">
        <v>65</v>
      </c>
      <c r="C41" s="51" t="s">
        <v>65</v>
      </c>
      <c r="D41" s="52">
        <v>36146</v>
      </c>
      <c r="E41" s="51" t="s">
        <v>111</v>
      </c>
      <c r="F41" s="53">
        <v>878.99</v>
      </c>
      <c r="G41" s="53">
        <v>878.99</v>
      </c>
      <c r="H41" s="53">
        <v>878.99</v>
      </c>
      <c r="I41" s="53">
        <v>0</v>
      </c>
      <c r="J41" s="54">
        <v>0</v>
      </c>
      <c r="K41" s="53">
        <v>881.19</v>
      </c>
      <c r="L41" s="53">
        <v>881.19</v>
      </c>
      <c r="M41" s="53">
        <v>881.19</v>
      </c>
      <c r="N41" s="53">
        <v>0</v>
      </c>
      <c r="O41" s="54">
        <v>0</v>
      </c>
      <c r="P41" s="53">
        <v>926.61</v>
      </c>
      <c r="Q41" s="53">
        <v>926.61</v>
      </c>
      <c r="R41" s="53">
        <v>926.61</v>
      </c>
      <c r="S41" s="53">
        <v>0</v>
      </c>
      <c r="T41" s="54">
        <v>0</v>
      </c>
      <c r="U41" s="53">
        <v>933.18</v>
      </c>
      <c r="V41" s="53">
        <v>933.18</v>
      </c>
      <c r="W41" s="53">
        <v>933.18</v>
      </c>
      <c r="X41" s="53">
        <v>0</v>
      </c>
      <c r="Y41" s="54">
        <v>0</v>
      </c>
    </row>
    <row r="42" spans="1:25" x14ac:dyDescent="0.2">
      <c r="A42" s="50" t="s">
        <v>146</v>
      </c>
      <c r="B42" s="51" t="s">
        <v>65</v>
      </c>
      <c r="C42" s="51" t="s">
        <v>65</v>
      </c>
      <c r="D42" s="52">
        <v>35249</v>
      </c>
      <c r="E42" s="51" t="s">
        <v>147</v>
      </c>
      <c r="F42" s="53">
        <v>896.57</v>
      </c>
      <c r="G42" s="53">
        <v>896.57</v>
      </c>
      <c r="H42" s="53">
        <v>896.57</v>
      </c>
      <c r="I42" s="53">
        <v>0</v>
      </c>
      <c r="J42" s="54">
        <v>0</v>
      </c>
      <c r="K42" s="53">
        <v>898.82</v>
      </c>
      <c r="L42" s="53">
        <v>898.82</v>
      </c>
      <c r="M42" s="53">
        <v>898.82</v>
      </c>
      <c r="N42" s="53">
        <v>0</v>
      </c>
      <c r="O42" s="54">
        <v>0</v>
      </c>
      <c r="P42" s="53">
        <v>945.14</v>
      </c>
      <c r="Q42" s="53">
        <v>945.14</v>
      </c>
      <c r="R42" s="53">
        <v>945.14</v>
      </c>
      <c r="S42" s="53">
        <v>0</v>
      </c>
      <c r="T42" s="54">
        <v>0</v>
      </c>
      <c r="U42" s="53">
        <v>951.85</v>
      </c>
      <c r="V42" s="53">
        <v>951.85</v>
      </c>
      <c r="W42" s="53">
        <v>951.85</v>
      </c>
      <c r="X42" s="53">
        <v>0</v>
      </c>
      <c r="Y42" s="54">
        <v>0</v>
      </c>
    </row>
    <row r="43" spans="1:25" ht="16.149999999999999" customHeight="1" x14ac:dyDescent="0.2">
      <c r="A43" s="226" t="s">
        <v>81</v>
      </c>
      <c r="B43" s="227"/>
      <c r="C43" s="227"/>
      <c r="D43" s="227"/>
      <c r="E43" s="227"/>
      <c r="F43" s="211" t="s">
        <v>187</v>
      </c>
      <c r="G43" s="212"/>
      <c r="H43" s="212"/>
      <c r="I43" s="212"/>
      <c r="J43" s="213"/>
      <c r="K43" s="211" t="s">
        <v>189</v>
      </c>
      <c r="L43" s="212"/>
      <c r="M43" s="212"/>
      <c r="N43" s="212"/>
      <c r="O43" s="213"/>
      <c r="P43" s="211" t="s">
        <v>191</v>
      </c>
      <c r="Q43" s="212"/>
      <c r="R43" s="212"/>
      <c r="S43" s="212"/>
      <c r="T43" s="213"/>
      <c r="U43" s="211" t="s">
        <v>193</v>
      </c>
      <c r="V43" s="212"/>
      <c r="W43" s="212"/>
      <c r="X43" s="212"/>
      <c r="Y43" s="213"/>
    </row>
    <row r="44" spans="1:25" ht="13.9" customHeight="1" x14ac:dyDescent="0.2">
      <c r="A44" s="228" t="s">
        <v>82</v>
      </c>
      <c r="B44" s="229"/>
      <c r="C44" s="229"/>
      <c r="D44" s="229"/>
      <c r="E44" s="229"/>
      <c r="F44" s="214">
        <v>17311.919999999998</v>
      </c>
      <c r="G44" s="215"/>
      <c r="H44" s="215"/>
      <c r="I44" s="215"/>
      <c r="J44" s="216"/>
      <c r="K44" s="214">
        <v>17355.3</v>
      </c>
      <c r="L44" s="215"/>
      <c r="M44" s="215"/>
      <c r="N44" s="215"/>
      <c r="O44" s="216"/>
      <c r="P44" s="214">
        <v>18249.78</v>
      </c>
      <c r="Q44" s="215"/>
      <c r="R44" s="215"/>
      <c r="S44" s="215"/>
      <c r="T44" s="216"/>
      <c r="U44" s="214">
        <v>18379.240000000002</v>
      </c>
      <c r="V44" s="215"/>
      <c r="W44" s="215"/>
      <c r="X44" s="215"/>
      <c r="Y44" s="216"/>
    </row>
    <row r="45" spans="1:25" ht="13.9" customHeight="1" x14ac:dyDescent="0.2">
      <c r="A45" s="230" t="s">
        <v>83</v>
      </c>
      <c r="B45" s="231"/>
      <c r="C45" s="231"/>
      <c r="D45" s="231"/>
      <c r="E45" s="231"/>
      <c r="F45" s="208">
        <f>F44*12</f>
        <v>207743.03999999998</v>
      </c>
      <c r="G45" s="209"/>
      <c r="H45" s="209"/>
      <c r="I45" s="209"/>
      <c r="J45" s="210"/>
      <c r="K45" s="208">
        <f>K44*12</f>
        <v>208263.59999999998</v>
      </c>
      <c r="L45" s="209"/>
      <c r="M45" s="209"/>
      <c r="N45" s="209"/>
      <c r="O45" s="210"/>
      <c r="P45" s="208">
        <f>P44*12</f>
        <v>218997.36</v>
      </c>
      <c r="Q45" s="209"/>
      <c r="R45" s="209"/>
      <c r="S45" s="209"/>
      <c r="T45" s="210"/>
      <c r="U45" s="208">
        <f>U44*12</f>
        <v>220550.88</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A00-000000000000}"/>
    <hyperlink ref="F46" r:id="rId2" xr:uid="{00000000-0004-0000-5A00-000001000000}"/>
    <hyperlink ref="K7" r:id="rId3" xr:uid="{00000000-0004-0000-5A00-000002000000}"/>
    <hyperlink ref="K46" r:id="rId4" xr:uid="{00000000-0004-0000-5A00-000003000000}"/>
    <hyperlink ref="P7" r:id="rId5" xr:uid="{00000000-0004-0000-5A00-000004000000}"/>
    <hyperlink ref="P46" r:id="rId6" xr:uid="{00000000-0004-0000-5A00-000005000000}"/>
    <hyperlink ref="U7" r:id="rId7" xr:uid="{00000000-0004-0000-5A00-000006000000}"/>
    <hyperlink ref="U46" r:id="rId8" xr:uid="{00000000-0004-0000-5A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96C5B-68FE-410D-93BE-D346685F6D30}">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172</v>
      </c>
      <c r="G5" s="118"/>
      <c r="H5" s="118"/>
      <c r="I5" s="118"/>
      <c r="J5" s="120"/>
      <c r="K5" s="117" t="s">
        <v>167</v>
      </c>
      <c r="L5" s="118"/>
      <c r="M5" s="118"/>
      <c r="N5" s="118"/>
      <c r="O5" s="120"/>
      <c r="P5" s="117" t="s">
        <v>101</v>
      </c>
      <c r="Q5" s="118"/>
      <c r="R5" s="118"/>
      <c r="S5" s="118"/>
      <c r="T5" s="120"/>
      <c r="U5" s="117" t="s">
        <v>172</v>
      </c>
      <c r="V5" s="118"/>
      <c r="W5" s="118"/>
      <c r="X5" s="118"/>
      <c r="Y5" s="120"/>
    </row>
    <row r="6" spans="1:25" x14ac:dyDescent="0.2">
      <c r="A6" s="247"/>
      <c r="B6" s="248"/>
      <c r="C6" s="248"/>
      <c r="D6" s="248"/>
      <c r="E6" s="248"/>
      <c r="F6" s="121" t="s">
        <v>194</v>
      </c>
      <c r="G6" s="122"/>
      <c r="H6" s="122"/>
      <c r="I6" s="122"/>
      <c r="J6" s="124"/>
      <c r="K6" s="121" t="s">
        <v>196</v>
      </c>
      <c r="L6" s="122"/>
      <c r="M6" s="122"/>
      <c r="N6" s="122"/>
      <c r="O6" s="124"/>
      <c r="P6" s="121" t="s">
        <v>198</v>
      </c>
      <c r="Q6" s="122"/>
      <c r="R6" s="122"/>
      <c r="S6" s="122"/>
      <c r="T6" s="124"/>
      <c r="U6" s="121" t="s">
        <v>200</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195</v>
      </c>
      <c r="G8" s="233"/>
      <c r="H8" s="233"/>
      <c r="I8" s="233"/>
      <c r="J8" s="234"/>
      <c r="K8" s="232" t="s">
        <v>197</v>
      </c>
      <c r="L8" s="233"/>
      <c r="M8" s="233"/>
      <c r="N8" s="233"/>
      <c r="O8" s="234"/>
      <c r="P8" s="232" t="s">
        <v>199</v>
      </c>
      <c r="Q8" s="233"/>
      <c r="R8" s="233"/>
      <c r="S8" s="233"/>
      <c r="T8" s="234"/>
      <c r="U8" s="232" t="s">
        <v>201</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3797.58</v>
      </c>
      <c r="G10" s="53">
        <v>1734.82</v>
      </c>
      <c r="H10" s="53">
        <v>1734.82</v>
      </c>
      <c r="I10" s="53">
        <v>0</v>
      </c>
      <c r="J10" s="54">
        <v>0</v>
      </c>
      <c r="K10" s="53">
        <v>3874.92</v>
      </c>
      <c r="L10" s="53">
        <v>1770.15</v>
      </c>
      <c r="M10" s="53">
        <v>1770.15</v>
      </c>
      <c r="N10" s="53">
        <v>0</v>
      </c>
      <c r="O10" s="54">
        <v>0</v>
      </c>
      <c r="P10" s="53">
        <v>3939.11</v>
      </c>
      <c r="Q10" s="53">
        <v>1799.47</v>
      </c>
      <c r="R10" s="53">
        <v>1799.47</v>
      </c>
      <c r="S10" s="53">
        <v>0</v>
      </c>
      <c r="T10" s="54">
        <v>0</v>
      </c>
      <c r="U10" s="53">
        <v>4080.67</v>
      </c>
      <c r="V10" s="53">
        <v>1864.14</v>
      </c>
      <c r="W10" s="53">
        <v>1864.14</v>
      </c>
      <c r="X10" s="53">
        <v>0</v>
      </c>
      <c r="Y10" s="54">
        <v>0</v>
      </c>
    </row>
    <row r="11" spans="1:25" x14ac:dyDescent="0.2">
      <c r="A11" s="50" t="s">
        <v>106</v>
      </c>
      <c r="B11" s="51" t="s">
        <v>107</v>
      </c>
      <c r="C11" s="51"/>
      <c r="D11" s="52">
        <v>27837</v>
      </c>
      <c r="E11" s="51" t="s">
        <v>105</v>
      </c>
      <c r="F11" s="53"/>
      <c r="G11" s="53">
        <v>1324.7</v>
      </c>
      <c r="H11" s="53">
        <v>1324.7</v>
      </c>
      <c r="I11" s="53">
        <v>0</v>
      </c>
      <c r="J11" s="54"/>
      <c r="K11" s="53"/>
      <c r="L11" s="53">
        <v>1351.68</v>
      </c>
      <c r="M11" s="53">
        <v>1351.68</v>
      </c>
      <c r="N11" s="53">
        <v>0</v>
      </c>
      <c r="O11" s="54"/>
      <c r="P11" s="53"/>
      <c r="Q11" s="53">
        <v>1374.07</v>
      </c>
      <c r="R11" s="53">
        <v>1374.07</v>
      </c>
      <c r="S11" s="53">
        <v>0</v>
      </c>
      <c r="T11" s="54"/>
      <c r="U11" s="53"/>
      <c r="V11" s="53">
        <v>1423.45</v>
      </c>
      <c r="W11" s="53">
        <v>1423.45</v>
      </c>
      <c r="X11" s="53">
        <v>0</v>
      </c>
      <c r="Y11" s="54"/>
    </row>
    <row r="12" spans="1:25" x14ac:dyDescent="0.2">
      <c r="A12" s="50" t="s">
        <v>108</v>
      </c>
      <c r="B12" s="51" t="s">
        <v>109</v>
      </c>
      <c r="C12" s="51"/>
      <c r="D12" s="52">
        <v>38648</v>
      </c>
      <c r="E12" s="51" t="s">
        <v>105</v>
      </c>
      <c r="F12" s="53"/>
      <c r="G12" s="53">
        <v>738.06</v>
      </c>
      <c r="H12" s="53">
        <v>738.06</v>
      </c>
      <c r="I12" s="53">
        <v>0</v>
      </c>
      <c r="J12" s="54"/>
      <c r="K12" s="53"/>
      <c r="L12" s="53">
        <v>753.09</v>
      </c>
      <c r="M12" s="53">
        <v>753.09</v>
      </c>
      <c r="N12" s="53">
        <v>0</v>
      </c>
      <c r="O12" s="54"/>
      <c r="P12" s="53"/>
      <c r="Q12" s="53">
        <v>765.57</v>
      </c>
      <c r="R12" s="53">
        <v>765.57</v>
      </c>
      <c r="S12" s="53">
        <v>0</v>
      </c>
      <c r="T12" s="54"/>
      <c r="U12" s="53"/>
      <c r="V12" s="53">
        <v>793.08</v>
      </c>
      <c r="W12" s="53">
        <v>793.08</v>
      </c>
      <c r="X12" s="53">
        <v>0</v>
      </c>
      <c r="Y12" s="54"/>
    </row>
    <row r="13" spans="1:25" x14ac:dyDescent="0.2">
      <c r="A13" s="50" t="s">
        <v>110</v>
      </c>
      <c r="B13" s="51" t="s">
        <v>65</v>
      </c>
      <c r="C13" s="51" t="s">
        <v>65</v>
      </c>
      <c r="D13" s="52">
        <v>36345</v>
      </c>
      <c r="E13" s="51" t="s">
        <v>111</v>
      </c>
      <c r="F13" s="53">
        <v>951.11</v>
      </c>
      <c r="G13" s="53">
        <v>951.11</v>
      </c>
      <c r="H13" s="53">
        <v>951.11</v>
      </c>
      <c r="I13" s="53">
        <v>0</v>
      </c>
      <c r="J13" s="54">
        <v>0</v>
      </c>
      <c r="K13" s="53">
        <v>970.48</v>
      </c>
      <c r="L13" s="53">
        <v>970.48</v>
      </c>
      <c r="M13" s="53">
        <v>970.48</v>
      </c>
      <c r="N13" s="53">
        <v>0</v>
      </c>
      <c r="O13" s="54">
        <v>0</v>
      </c>
      <c r="P13" s="53">
        <v>986.55</v>
      </c>
      <c r="Q13" s="53">
        <v>986.55</v>
      </c>
      <c r="R13" s="53">
        <v>986.55</v>
      </c>
      <c r="S13" s="53">
        <v>0</v>
      </c>
      <c r="T13" s="54">
        <v>0</v>
      </c>
      <c r="U13" s="53">
        <v>1022.01</v>
      </c>
      <c r="V13" s="53">
        <v>1022.01</v>
      </c>
      <c r="W13" s="53">
        <v>1022.01</v>
      </c>
      <c r="X13" s="53">
        <v>0</v>
      </c>
      <c r="Y13" s="54">
        <v>0</v>
      </c>
    </row>
    <row r="14" spans="1:25" x14ac:dyDescent="0.2">
      <c r="A14" s="50" t="s">
        <v>112</v>
      </c>
      <c r="B14" s="51" t="s">
        <v>65</v>
      </c>
      <c r="C14" s="51" t="s">
        <v>104</v>
      </c>
      <c r="D14" s="52">
        <v>24895</v>
      </c>
      <c r="E14" s="51" t="s">
        <v>113</v>
      </c>
      <c r="F14" s="53">
        <v>4151.3900000000003</v>
      </c>
      <c r="G14" s="53">
        <v>1678.51</v>
      </c>
      <c r="H14" s="53">
        <v>1678.51</v>
      </c>
      <c r="I14" s="53">
        <v>0</v>
      </c>
      <c r="J14" s="54">
        <v>0</v>
      </c>
      <c r="K14" s="53">
        <v>4235.9399999999996</v>
      </c>
      <c r="L14" s="53">
        <v>1712.7</v>
      </c>
      <c r="M14" s="53">
        <v>1712.7</v>
      </c>
      <c r="N14" s="53">
        <v>0</v>
      </c>
      <c r="O14" s="54">
        <v>0</v>
      </c>
      <c r="P14" s="53">
        <v>4306.1099999999997</v>
      </c>
      <c r="Q14" s="53">
        <v>1741.07</v>
      </c>
      <c r="R14" s="53">
        <v>1741.07</v>
      </c>
      <c r="S14" s="53">
        <v>0</v>
      </c>
      <c r="T14" s="54">
        <v>0</v>
      </c>
      <c r="U14" s="53">
        <v>4460.8599999999997</v>
      </c>
      <c r="V14" s="53">
        <v>1803.64</v>
      </c>
      <c r="W14" s="53">
        <v>1803.64</v>
      </c>
      <c r="X14" s="53">
        <v>0</v>
      </c>
      <c r="Y14" s="54">
        <v>0</v>
      </c>
    </row>
    <row r="15" spans="1:25" x14ac:dyDescent="0.2">
      <c r="A15" s="50" t="s">
        <v>114</v>
      </c>
      <c r="B15" s="51" t="s">
        <v>107</v>
      </c>
      <c r="C15" s="51"/>
      <c r="D15" s="52">
        <v>24269</v>
      </c>
      <c r="E15" s="51" t="s">
        <v>113</v>
      </c>
      <c r="F15" s="53"/>
      <c r="G15" s="53">
        <v>1734.82</v>
      </c>
      <c r="H15" s="53">
        <v>1734.82</v>
      </c>
      <c r="I15" s="53">
        <v>0</v>
      </c>
      <c r="J15" s="54"/>
      <c r="K15" s="53"/>
      <c r="L15" s="53">
        <v>1770.15</v>
      </c>
      <c r="M15" s="53">
        <v>1770.15</v>
      </c>
      <c r="N15" s="53">
        <v>0</v>
      </c>
      <c r="O15" s="54"/>
      <c r="P15" s="53"/>
      <c r="Q15" s="53">
        <v>1799.47</v>
      </c>
      <c r="R15" s="53">
        <v>1799.47</v>
      </c>
      <c r="S15" s="53">
        <v>0</v>
      </c>
      <c r="T15" s="54"/>
      <c r="U15" s="53"/>
      <c r="V15" s="53">
        <v>1864.14</v>
      </c>
      <c r="W15" s="53">
        <v>1864.14</v>
      </c>
      <c r="X15" s="53">
        <v>0</v>
      </c>
      <c r="Y15" s="54"/>
    </row>
    <row r="16" spans="1:25" x14ac:dyDescent="0.2">
      <c r="A16" s="50" t="s">
        <v>115</v>
      </c>
      <c r="B16" s="51" t="s">
        <v>109</v>
      </c>
      <c r="C16" s="51"/>
      <c r="D16" s="52">
        <v>38614</v>
      </c>
      <c r="E16" s="51" t="s">
        <v>113</v>
      </c>
      <c r="F16" s="53"/>
      <c r="G16" s="53">
        <v>738.06</v>
      </c>
      <c r="H16" s="53">
        <v>738.06</v>
      </c>
      <c r="I16" s="53">
        <v>0</v>
      </c>
      <c r="J16" s="54"/>
      <c r="K16" s="53"/>
      <c r="L16" s="53">
        <v>753.09</v>
      </c>
      <c r="M16" s="53">
        <v>753.09</v>
      </c>
      <c r="N16" s="53">
        <v>0</v>
      </c>
      <c r="O16" s="54"/>
      <c r="P16" s="53"/>
      <c r="Q16" s="53">
        <v>765.57</v>
      </c>
      <c r="R16" s="53">
        <v>765.57</v>
      </c>
      <c r="S16" s="53">
        <v>0</v>
      </c>
      <c r="T16" s="54"/>
      <c r="U16" s="53"/>
      <c r="V16" s="53">
        <v>793.08</v>
      </c>
      <c r="W16" s="53">
        <v>793.08</v>
      </c>
      <c r="X16" s="53">
        <v>0</v>
      </c>
      <c r="Y16" s="54"/>
    </row>
    <row r="17" spans="1:25" x14ac:dyDescent="0.2">
      <c r="A17" s="50" t="s">
        <v>116</v>
      </c>
      <c r="B17" s="51" t="s">
        <v>65</v>
      </c>
      <c r="C17" s="51" t="s">
        <v>117</v>
      </c>
      <c r="D17" s="52">
        <v>18453</v>
      </c>
      <c r="E17" s="51" t="s">
        <v>118</v>
      </c>
      <c r="F17" s="53">
        <v>3469.64</v>
      </c>
      <c r="G17" s="53">
        <v>1734.82</v>
      </c>
      <c r="H17" s="53">
        <v>1734.82</v>
      </c>
      <c r="I17" s="53">
        <v>0</v>
      </c>
      <c r="J17" s="54">
        <v>0</v>
      </c>
      <c r="K17" s="53">
        <v>3540.3</v>
      </c>
      <c r="L17" s="53">
        <v>1770.15</v>
      </c>
      <c r="M17" s="53">
        <v>1770.15</v>
      </c>
      <c r="N17" s="53">
        <v>0</v>
      </c>
      <c r="O17" s="54">
        <v>0</v>
      </c>
      <c r="P17" s="53">
        <v>3598.94</v>
      </c>
      <c r="Q17" s="53">
        <v>1799.47</v>
      </c>
      <c r="R17" s="53">
        <v>1799.47</v>
      </c>
      <c r="S17" s="53">
        <v>0</v>
      </c>
      <c r="T17" s="54">
        <v>0</v>
      </c>
      <c r="U17" s="53">
        <v>3728.28</v>
      </c>
      <c r="V17" s="53">
        <v>1864.14</v>
      </c>
      <c r="W17" s="53">
        <v>1864.14</v>
      </c>
      <c r="X17" s="53">
        <v>0</v>
      </c>
      <c r="Y17" s="54">
        <v>0</v>
      </c>
    </row>
    <row r="18" spans="1:25" x14ac:dyDescent="0.2">
      <c r="A18" s="50" t="s">
        <v>119</v>
      </c>
      <c r="B18" s="51" t="s">
        <v>107</v>
      </c>
      <c r="C18" s="51"/>
      <c r="D18" s="52">
        <v>19761</v>
      </c>
      <c r="E18" s="51" t="s">
        <v>118</v>
      </c>
      <c r="F18" s="53"/>
      <c r="G18" s="53">
        <v>1734.82</v>
      </c>
      <c r="H18" s="53">
        <v>1734.82</v>
      </c>
      <c r="I18" s="53">
        <v>0</v>
      </c>
      <c r="J18" s="54"/>
      <c r="K18" s="53"/>
      <c r="L18" s="53">
        <v>1770.15</v>
      </c>
      <c r="M18" s="53">
        <v>1770.15</v>
      </c>
      <c r="N18" s="53">
        <v>0</v>
      </c>
      <c r="O18" s="54"/>
      <c r="P18" s="53"/>
      <c r="Q18" s="53">
        <v>1799.47</v>
      </c>
      <c r="R18" s="53">
        <v>1799.47</v>
      </c>
      <c r="S18" s="53">
        <v>0</v>
      </c>
      <c r="T18" s="54"/>
      <c r="U18" s="53"/>
      <c r="V18" s="53">
        <v>1864.14</v>
      </c>
      <c r="W18" s="53">
        <v>1864.14</v>
      </c>
      <c r="X18" s="53">
        <v>0</v>
      </c>
      <c r="Y18" s="54"/>
    </row>
    <row r="19" spans="1:25" x14ac:dyDescent="0.2">
      <c r="A19" s="50" t="s">
        <v>120</v>
      </c>
      <c r="B19" s="51" t="s">
        <v>65</v>
      </c>
      <c r="C19" s="51" t="s">
        <v>65</v>
      </c>
      <c r="D19" s="52">
        <v>35733</v>
      </c>
      <c r="E19" s="51" t="s">
        <v>121</v>
      </c>
      <c r="F19" s="53">
        <v>951.11</v>
      </c>
      <c r="G19" s="53">
        <v>951.11</v>
      </c>
      <c r="H19" s="53">
        <v>951.11</v>
      </c>
      <c r="I19" s="53">
        <v>0</v>
      </c>
      <c r="J19" s="54">
        <v>0</v>
      </c>
      <c r="K19" s="53">
        <v>970.48</v>
      </c>
      <c r="L19" s="53">
        <v>970.48</v>
      </c>
      <c r="M19" s="53">
        <v>970.48</v>
      </c>
      <c r="N19" s="53">
        <v>0</v>
      </c>
      <c r="O19" s="54">
        <v>0</v>
      </c>
      <c r="P19" s="53">
        <v>986.55</v>
      </c>
      <c r="Q19" s="53">
        <v>986.55</v>
      </c>
      <c r="R19" s="53">
        <v>986.55</v>
      </c>
      <c r="S19" s="53">
        <v>0</v>
      </c>
      <c r="T19" s="54">
        <v>0</v>
      </c>
      <c r="U19" s="53">
        <v>1022.01</v>
      </c>
      <c r="V19" s="53">
        <v>1022.01</v>
      </c>
      <c r="W19" s="53">
        <v>1022.01</v>
      </c>
      <c r="X19" s="53">
        <v>0</v>
      </c>
      <c r="Y19" s="54">
        <v>0</v>
      </c>
    </row>
    <row r="20" spans="1:25" x14ac:dyDescent="0.2">
      <c r="A20" s="50" t="s">
        <v>122</v>
      </c>
      <c r="B20" s="51" t="s">
        <v>65</v>
      </c>
      <c r="C20" s="51" t="s">
        <v>104</v>
      </c>
      <c r="D20" s="52">
        <v>24958</v>
      </c>
      <c r="E20" s="51" t="s">
        <v>123</v>
      </c>
      <c r="F20" s="53">
        <v>4762.38</v>
      </c>
      <c r="G20" s="53">
        <v>1678.51</v>
      </c>
      <c r="H20" s="53">
        <v>1678.51</v>
      </c>
      <c r="I20" s="53">
        <v>0</v>
      </c>
      <c r="J20" s="54">
        <v>0</v>
      </c>
      <c r="K20" s="53">
        <v>4859.37</v>
      </c>
      <c r="L20" s="53">
        <v>1712.7</v>
      </c>
      <c r="M20" s="53">
        <v>1712.7</v>
      </c>
      <c r="N20" s="53">
        <v>0</v>
      </c>
      <c r="O20" s="54">
        <v>0</v>
      </c>
      <c r="P20" s="53">
        <v>4939.88</v>
      </c>
      <c r="Q20" s="53">
        <v>1741.07</v>
      </c>
      <c r="R20" s="53">
        <v>1741.07</v>
      </c>
      <c r="S20" s="53">
        <v>0</v>
      </c>
      <c r="T20" s="54">
        <v>0</v>
      </c>
      <c r="U20" s="53">
        <v>5117.3999999999996</v>
      </c>
      <c r="V20" s="53">
        <v>1803.64</v>
      </c>
      <c r="W20" s="53">
        <v>1803.64</v>
      </c>
      <c r="X20" s="53">
        <v>0</v>
      </c>
      <c r="Y20" s="54">
        <v>0</v>
      </c>
    </row>
    <row r="21" spans="1:25" x14ac:dyDescent="0.2">
      <c r="A21" s="50" t="s">
        <v>124</v>
      </c>
      <c r="B21" s="51" t="s">
        <v>107</v>
      </c>
      <c r="C21" s="51"/>
      <c r="D21" s="52">
        <v>25342</v>
      </c>
      <c r="E21" s="51" t="s">
        <v>123</v>
      </c>
      <c r="F21" s="53"/>
      <c r="G21" s="53">
        <v>1629.82</v>
      </c>
      <c r="H21" s="53">
        <v>1629.82</v>
      </c>
      <c r="I21" s="53">
        <v>0</v>
      </c>
      <c r="J21" s="54"/>
      <c r="K21" s="53"/>
      <c r="L21" s="53">
        <v>1663.01</v>
      </c>
      <c r="M21" s="53">
        <v>1663.01</v>
      </c>
      <c r="N21" s="53">
        <v>0</v>
      </c>
      <c r="O21" s="54"/>
      <c r="P21" s="53"/>
      <c r="Q21" s="53">
        <v>1690.56</v>
      </c>
      <c r="R21" s="53">
        <v>1690.56</v>
      </c>
      <c r="S21" s="53">
        <v>0</v>
      </c>
      <c r="T21" s="54"/>
      <c r="U21" s="53"/>
      <c r="V21" s="53">
        <v>1751.31</v>
      </c>
      <c r="W21" s="53">
        <v>1751.31</v>
      </c>
      <c r="X21" s="53">
        <v>0</v>
      </c>
      <c r="Y21" s="54"/>
    </row>
    <row r="22" spans="1:25" x14ac:dyDescent="0.2">
      <c r="A22" s="50" t="s">
        <v>125</v>
      </c>
      <c r="B22" s="51" t="s">
        <v>109</v>
      </c>
      <c r="C22" s="51"/>
      <c r="D22" s="52">
        <v>38632</v>
      </c>
      <c r="E22" s="51" t="s">
        <v>123</v>
      </c>
      <c r="F22" s="53"/>
      <c r="G22" s="53">
        <v>738.06</v>
      </c>
      <c r="H22" s="53">
        <v>738.06</v>
      </c>
      <c r="I22" s="53">
        <v>0</v>
      </c>
      <c r="J22" s="54"/>
      <c r="K22" s="53"/>
      <c r="L22" s="53">
        <v>753.09</v>
      </c>
      <c r="M22" s="53">
        <v>753.09</v>
      </c>
      <c r="N22" s="53">
        <v>0</v>
      </c>
      <c r="O22" s="54"/>
      <c r="P22" s="53"/>
      <c r="Q22" s="53">
        <v>765.57</v>
      </c>
      <c r="R22" s="53">
        <v>765.57</v>
      </c>
      <c r="S22" s="53">
        <v>0</v>
      </c>
      <c r="T22" s="54"/>
      <c r="U22" s="53"/>
      <c r="V22" s="53">
        <v>793.08</v>
      </c>
      <c r="W22" s="53">
        <v>793.08</v>
      </c>
      <c r="X22" s="53">
        <v>0</v>
      </c>
      <c r="Y22" s="54"/>
    </row>
    <row r="23" spans="1:25" x14ac:dyDescent="0.2">
      <c r="A23" s="50" t="s">
        <v>126</v>
      </c>
      <c r="B23" s="51" t="s">
        <v>109</v>
      </c>
      <c r="C23" s="51"/>
      <c r="D23" s="52">
        <v>39092</v>
      </c>
      <c r="E23" s="51" t="s">
        <v>123</v>
      </c>
      <c r="F23" s="53"/>
      <c r="G23" s="53">
        <v>715.99</v>
      </c>
      <c r="H23" s="53">
        <v>715.99</v>
      </c>
      <c r="I23" s="53">
        <v>0</v>
      </c>
      <c r="J23" s="54"/>
      <c r="K23" s="53"/>
      <c r="L23" s="53">
        <v>730.57</v>
      </c>
      <c r="M23" s="53">
        <v>730.57</v>
      </c>
      <c r="N23" s="53">
        <v>0</v>
      </c>
      <c r="O23" s="54"/>
      <c r="P23" s="53"/>
      <c r="Q23" s="53">
        <v>742.68</v>
      </c>
      <c r="R23" s="53">
        <v>742.68</v>
      </c>
      <c r="S23" s="53">
        <v>0</v>
      </c>
      <c r="T23" s="54"/>
      <c r="U23" s="53"/>
      <c r="V23" s="53">
        <v>769.37</v>
      </c>
      <c r="W23" s="53">
        <v>769.37</v>
      </c>
      <c r="X23" s="53">
        <v>0</v>
      </c>
      <c r="Y23" s="54"/>
    </row>
    <row r="24" spans="1:25" x14ac:dyDescent="0.2">
      <c r="A24" s="50" t="s">
        <v>127</v>
      </c>
      <c r="B24" s="51" t="s">
        <v>65</v>
      </c>
      <c r="C24" s="51" t="s">
        <v>117</v>
      </c>
      <c r="D24" s="52">
        <v>21309</v>
      </c>
      <c r="E24" s="51" t="s">
        <v>96</v>
      </c>
      <c r="F24" s="53">
        <v>3469.64</v>
      </c>
      <c r="G24" s="53">
        <v>1734.82</v>
      </c>
      <c r="H24" s="53">
        <v>1734.82</v>
      </c>
      <c r="I24" s="53">
        <v>0</v>
      </c>
      <c r="J24" s="54">
        <v>0</v>
      </c>
      <c r="K24" s="53">
        <v>3540.3</v>
      </c>
      <c r="L24" s="53">
        <v>1770.15</v>
      </c>
      <c r="M24" s="53">
        <v>1770.15</v>
      </c>
      <c r="N24" s="53">
        <v>0</v>
      </c>
      <c r="O24" s="54">
        <v>0</v>
      </c>
      <c r="P24" s="53">
        <v>3598.94</v>
      </c>
      <c r="Q24" s="53">
        <v>1799.47</v>
      </c>
      <c r="R24" s="53">
        <v>1799.47</v>
      </c>
      <c r="S24" s="53">
        <v>0</v>
      </c>
      <c r="T24" s="54">
        <v>0</v>
      </c>
      <c r="U24" s="53">
        <v>3728.28</v>
      </c>
      <c r="V24" s="53">
        <v>1864.14</v>
      </c>
      <c r="W24" s="53">
        <v>1864.14</v>
      </c>
      <c r="X24" s="53">
        <v>0</v>
      </c>
      <c r="Y24" s="54">
        <v>0</v>
      </c>
    </row>
    <row r="25" spans="1:25" x14ac:dyDescent="0.2">
      <c r="A25" s="50" t="s">
        <v>128</v>
      </c>
      <c r="B25" s="51" t="s">
        <v>107</v>
      </c>
      <c r="C25" s="51"/>
      <c r="D25" s="52">
        <v>23570</v>
      </c>
      <c r="E25" s="51" t="s">
        <v>96</v>
      </c>
      <c r="F25" s="53"/>
      <c r="G25" s="53">
        <v>1734.82</v>
      </c>
      <c r="H25" s="53">
        <v>1734.82</v>
      </c>
      <c r="I25" s="53">
        <v>0</v>
      </c>
      <c r="J25" s="54"/>
      <c r="K25" s="53"/>
      <c r="L25" s="53">
        <v>1770.15</v>
      </c>
      <c r="M25" s="53">
        <v>1770.15</v>
      </c>
      <c r="N25" s="53">
        <v>0</v>
      </c>
      <c r="O25" s="54"/>
      <c r="P25" s="53"/>
      <c r="Q25" s="53">
        <v>1799.47</v>
      </c>
      <c r="R25" s="53">
        <v>1799.47</v>
      </c>
      <c r="S25" s="53">
        <v>0</v>
      </c>
      <c r="T25" s="54"/>
      <c r="U25" s="53"/>
      <c r="V25" s="53">
        <v>1864.14</v>
      </c>
      <c r="W25" s="53">
        <v>1864.14</v>
      </c>
      <c r="X25" s="53">
        <v>0</v>
      </c>
      <c r="Y25" s="54"/>
    </row>
    <row r="26" spans="1:25" x14ac:dyDescent="0.2">
      <c r="A26" s="50" t="s">
        <v>129</v>
      </c>
      <c r="B26" s="51" t="s">
        <v>65</v>
      </c>
      <c r="C26" s="51" t="s">
        <v>65</v>
      </c>
      <c r="D26" s="52">
        <v>24147</v>
      </c>
      <c r="E26" s="51" t="s">
        <v>113</v>
      </c>
      <c r="F26" s="53">
        <v>1734.82</v>
      </c>
      <c r="G26" s="53">
        <v>1734.82</v>
      </c>
      <c r="H26" s="53">
        <v>1734.82</v>
      </c>
      <c r="I26" s="53">
        <v>0</v>
      </c>
      <c r="J26" s="54">
        <v>0</v>
      </c>
      <c r="K26" s="53">
        <v>1770.15</v>
      </c>
      <c r="L26" s="53">
        <v>1770.15</v>
      </c>
      <c r="M26" s="53">
        <v>1770.15</v>
      </c>
      <c r="N26" s="53">
        <v>0</v>
      </c>
      <c r="O26" s="54">
        <v>0</v>
      </c>
      <c r="P26" s="53">
        <v>1799.47</v>
      </c>
      <c r="Q26" s="53">
        <v>1799.47</v>
      </c>
      <c r="R26" s="53">
        <v>1799.47</v>
      </c>
      <c r="S26" s="53">
        <v>0</v>
      </c>
      <c r="T26" s="54">
        <v>0</v>
      </c>
      <c r="U26" s="53">
        <v>1864.14</v>
      </c>
      <c r="V26" s="53">
        <v>1864.14</v>
      </c>
      <c r="W26" s="53">
        <v>1864.14</v>
      </c>
      <c r="X26" s="53">
        <v>0</v>
      </c>
      <c r="Y26" s="54">
        <v>0</v>
      </c>
    </row>
    <row r="27" spans="1:25" x14ac:dyDescent="0.2">
      <c r="A27" s="50" t="s">
        <v>130</v>
      </c>
      <c r="B27" s="51" t="s">
        <v>65</v>
      </c>
      <c r="C27" s="51" t="s">
        <v>65</v>
      </c>
      <c r="D27" s="52">
        <v>25210</v>
      </c>
      <c r="E27" s="51" t="s">
        <v>131</v>
      </c>
      <c r="F27" s="53">
        <v>1629.82</v>
      </c>
      <c r="G27" s="53">
        <v>1629.82</v>
      </c>
      <c r="H27" s="53">
        <v>1629.82</v>
      </c>
      <c r="I27" s="53">
        <v>0</v>
      </c>
      <c r="J27" s="54">
        <v>0</v>
      </c>
      <c r="K27" s="53">
        <v>1663.01</v>
      </c>
      <c r="L27" s="53">
        <v>1663.01</v>
      </c>
      <c r="M27" s="53">
        <v>1663.01</v>
      </c>
      <c r="N27" s="53">
        <v>0</v>
      </c>
      <c r="O27" s="54">
        <v>0</v>
      </c>
      <c r="P27" s="53">
        <v>1690.56</v>
      </c>
      <c r="Q27" s="53">
        <v>1690.56</v>
      </c>
      <c r="R27" s="53">
        <v>1690.56</v>
      </c>
      <c r="S27" s="53">
        <v>0</v>
      </c>
      <c r="T27" s="54">
        <v>0</v>
      </c>
      <c r="U27" s="53">
        <v>1751.31</v>
      </c>
      <c r="V27" s="53">
        <v>1751.31</v>
      </c>
      <c r="W27" s="53">
        <v>1751.31</v>
      </c>
      <c r="X27" s="53">
        <v>0</v>
      </c>
      <c r="Y27" s="54">
        <v>0</v>
      </c>
    </row>
    <row r="28" spans="1:25" x14ac:dyDescent="0.2">
      <c r="A28" s="50" t="s">
        <v>132</v>
      </c>
      <c r="B28" s="51" t="s">
        <v>65</v>
      </c>
      <c r="C28" s="51" t="s">
        <v>65</v>
      </c>
      <c r="D28" s="52">
        <v>35103</v>
      </c>
      <c r="E28" s="51" t="s">
        <v>113</v>
      </c>
      <c r="F28" s="53">
        <v>979.26</v>
      </c>
      <c r="G28" s="53">
        <v>979.26</v>
      </c>
      <c r="H28" s="53">
        <v>979.26</v>
      </c>
      <c r="I28" s="53">
        <v>0</v>
      </c>
      <c r="J28" s="54">
        <v>0</v>
      </c>
      <c r="K28" s="53">
        <v>999.2</v>
      </c>
      <c r="L28" s="53">
        <v>999.2</v>
      </c>
      <c r="M28" s="53">
        <v>999.2</v>
      </c>
      <c r="N28" s="53">
        <v>0</v>
      </c>
      <c r="O28" s="54">
        <v>0</v>
      </c>
      <c r="P28" s="53">
        <v>1015.76</v>
      </c>
      <c r="Q28" s="53">
        <v>1015.76</v>
      </c>
      <c r="R28" s="53">
        <v>1015.76</v>
      </c>
      <c r="S28" s="53">
        <v>0</v>
      </c>
      <c r="T28" s="54">
        <v>0</v>
      </c>
      <c r="U28" s="53">
        <v>1052.26</v>
      </c>
      <c r="V28" s="53">
        <v>1052.26</v>
      </c>
      <c r="W28" s="53">
        <v>1052.26</v>
      </c>
      <c r="X28" s="53">
        <v>0</v>
      </c>
      <c r="Y28" s="54">
        <v>0</v>
      </c>
    </row>
    <row r="29" spans="1:25" x14ac:dyDescent="0.2">
      <c r="A29" s="50" t="s">
        <v>133</v>
      </c>
      <c r="B29" s="51" t="s">
        <v>65</v>
      </c>
      <c r="C29" s="51" t="s">
        <v>117</v>
      </c>
      <c r="D29" s="52">
        <v>27399</v>
      </c>
      <c r="E29" s="51" t="s">
        <v>113</v>
      </c>
      <c r="F29" s="53">
        <v>2513.21</v>
      </c>
      <c r="G29" s="53">
        <v>1363.51</v>
      </c>
      <c r="H29" s="53">
        <v>1363.51</v>
      </c>
      <c r="I29" s="53">
        <v>0</v>
      </c>
      <c r="J29" s="54">
        <v>0</v>
      </c>
      <c r="K29" s="53">
        <v>2564.39</v>
      </c>
      <c r="L29" s="53">
        <v>1391.28</v>
      </c>
      <c r="M29" s="53">
        <v>1391.28</v>
      </c>
      <c r="N29" s="53">
        <v>0</v>
      </c>
      <c r="O29" s="54">
        <v>0</v>
      </c>
      <c r="P29" s="53">
        <v>2606.87</v>
      </c>
      <c r="Q29" s="53">
        <v>1414.32</v>
      </c>
      <c r="R29" s="53">
        <v>1414.32</v>
      </c>
      <c r="S29" s="53">
        <v>0</v>
      </c>
      <c r="T29" s="54">
        <v>0</v>
      </c>
      <c r="U29" s="53">
        <v>2700.55</v>
      </c>
      <c r="V29" s="53">
        <v>1465.15</v>
      </c>
      <c r="W29" s="53">
        <v>1465.15</v>
      </c>
      <c r="X29" s="53">
        <v>0</v>
      </c>
      <c r="Y29" s="54">
        <v>0</v>
      </c>
    </row>
    <row r="30" spans="1:25" x14ac:dyDescent="0.2">
      <c r="A30" s="50" t="s">
        <v>134</v>
      </c>
      <c r="B30" s="51" t="s">
        <v>107</v>
      </c>
      <c r="C30" s="51"/>
      <c r="D30" s="52">
        <v>29502</v>
      </c>
      <c r="E30" s="51" t="s">
        <v>113</v>
      </c>
      <c r="F30" s="53"/>
      <c r="G30" s="53">
        <v>1149.7</v>
      </c>
      <c r="H30" s="53">
        <v>1149.7</v>
      </c>
      <c r="I30" s="53">
        <v>0</v>
      </c>
      <c r="J30" s="54"/>
      <c r="K30" s="53"/>
      <c r="L30" s="53">
        <v>1173.1099999999999</v>
      </c>
      <c r="M30" s="53">
        <v>1173.1099999999999</v>
      </c>
      <c r="N30" s="53">
        <v>0</v>
      </c>
      <c r="O30" s="54"/>
      <c r="P30" s="53"/>
      <c r="Q30" s="53">
        <v>1192.55</v>
      </c>
      <c r="R30" s="53">
        <v>1192.55</v>
      </c>
      <c r="S30" s="53">
        <v>0</v>
      </c>
      <c r="T30" s="54"/>
      <c r="U30" s="53"/>
      <c r="V30" s="53">
        <v>1235.4000000000001</v>
      </c>
      <c r="W30" s="53">
        <v>1235.4000000000001</v>
      </c>
      <c r="X30" s="53">
        <v>0</v>
      </c>
      <c r="Y30" s="54"/>
    </row>
    <row r="31" spans="1:25" x14ac:dyDescent="0.2">
      <c r="A31" s="50" t="s">
        <v>135</v>
      </c>
      <c r="B31" s="51" t="s">
        <v>65</v>
      </c>
      <c r="C31" s="51" t="s">
        <v>104</v>
      </c>
      <c r="D31" s="52">
        <v>24592</v>
      </c>
      <c r="E31" s="51" t="s">
        <v>111</v>
      </c>
      <c r="F31" s="53">
        <v>4420.75</v>
      </c>
      <c r="G31" s="53">
        <v>1734.82</v>
      </c>
      <c r="H31" s="53">
        <v>1734.82</v>
      </c>
      <c r="I31" s="53">
        <v>0</v>
      </c>
      <c r="J31" s="54">
        <v>0</v>
      </c>
      <c r="K31" s="53">
        <v>4510.78</v>
      </c>
      <c r="L31" s="53">
        <v>1770.15</v>
      </c>
      <c r="M31" s="53">
        <v>1770.15</v>
      </c>
      <c r="N31" s="53">
        <v>0</v>
      </c>
      <c r="O31" s="54">
        <v>0</v>
      </c>
      <c r="P31" s="53">
        <v>4585.49</v>
      </c>
      <c r="Q31" s="53">
        <v>1799.47</v>
      </c>
      <c r="R31" s="53">
        <v>1799.47</v>
      </c>
      <c r="S31" s="53">
        <v>0</v>
      </c>
      <c r="T31" s="54">
        <v>0</v>
      </c>
      <c r="U31" s="53">
        <v>4750.29</v>
      </c>
      <c r="V31" s="53">
        <v>1864.14</v>
      </c>
      <c r="W31" s="53">
        <v>1864.14</v>
      </c>
      <c r="X31" s="53">
        <v>0</v>
      </c>
      <c r="Y31" s="54">
        <v>0</v>
      </c>
    </row>
    <row r="32" spans="1:25" x14ac:dyDescent="0.2">
      <c r="A32" s="50" t="s">
        <v>136</v>
      </c>
      <c r="B32" s="51" t="s">
        <v>107</v>
      </c>
      <c r="C32" s="51"/>
      <c r="D32" s="52">
        <v>22616</v>
      </c>
      <c r="E32" s="51" t="s">
        <v>111</v>
      </c>
      <c r="F32" s="53"/>
      <c r="G32" s="53">
        <v>1734.82</v>
      </c>
      <c r="H32" s="53">
        <v>1734.82</v>
      </c>
      <c r="I32" s="53">
        <v>0</v>
      </c>
      <c r="J32" s="54"/>
      <c r="K32" s="53"/>
      <c r="L32" s="53">
        <v>1770.15</v>
      </c>
      <c r="M32" s="53">
        <v>1770.15</v>
      </c>
      <c r="N32" s="53">
        <v>0</v>
      </c>
      <c r="O32" s="54"/>
      <c r="P32" s="53"/>
      <c r="Q32" s="53">
        <v>1799.47</v>
      </c>
      <c r="R32" s="53">
        <v>1799.47</v>
      </c>
      <c r="S32" s="53">
        <v>0</v>
      </c>
      <c r="T32" s="54"/>
      <c r="U32" s="53"/>
      <c r="V32" s="53">
        <v>1864.14</v>
      </c>
      <c r="W32" s="53">
        <v>1864.14</v>
      </c>
      <c r="X32" s="53">
        <v>0</v>
      </c>
      <c r="Y32" s="54"/>
    </row>
    <row r="33" spans="1:25" x14ac:dyDescent="0.2">
      <c r="A33" s="50" t="s">
        <v>137</v>
      </c>
      <c r="B33" s="51" t="s">
        <v>109</v>
      </c>
      <c r="C33" s="51"/>
      <c r="D33" s="52">
        <v>37842</v>
      </c>
      <c r="E33" s="51" t="s">
        <v>111</v>
      </c>
      <c r="F33" s="53"/>
      <c r="G33" s="53">
        <v>951.11</v>
      </c>
      <c r="H33" s="53">
        <v>951.11</v>
      </c>
      <c r="I33" s="53">
        <v>0</v>
      </c>
      <c r="J33" s="54"/>
      <c r="K33" s="53"/>
      <c r="L33" s="53">
        <v>970.48</v>
      </c>
      <c r="M33" s="53">
        <v>970.48</v>
      </c>
      <c r="N33" s="53">
        <v>0</v>
      </c>
      <c r="O33" s="54"/>
      <c r="P33" s="53"/>
      <c r="Q33" s="53">
        <v>986.55</v>
      </c>
      <c r="R33" s="53">
        <v>986.55</v>
      </c>
      <c r="S33" s="53">
        <v>0</v>
      </c>
      <c r="T33" s="54"/>
      <c r="U33" s="53"/>
      <c r="V33" s="53">
        <v>1022.01</v>
      </c>
      <c r="W33" s="53">
        <v>1022.01</v>
      </c>
      <c r="X33" s="53">
        <v>0</v>
      </c>
      <c r="Y33" s="54"/>
    </row>
    <row r="34" spans="1:25" x14ac:dyDescent="0.2">
      <c r="A34" s="50" t="s">
        <v>138</v>
      </c>
      <c r="B34" s="51" t="s">
        <v>65</v>
      </c>
      <c r="C34" s="51" t="s">
        <v>65</v>
      </c>
      <c r="D34" s="52">
        <v>35401</v>
      </c>
      <c r="E34" s="51" t="s">
        <v>113</v>
      </c>
      <c r="F34" s="53">
        <v>970.13</v>
      </c>
      <c r="G34" s="53">
        <v>970.13</v>
      </c>
      <c r="H34" s="53">
        <v>970.13</v>
      </c>
      <c r="I34" s="53">
        <v>0</v>
      </c>
      <c r="J34" s="54">
        <v>0</v>
      </c>
      <c r="K34" s="53">
        <v>989.89</v>
      </c>
      <c r="L34" s="53">
        <v>989.89</v>
      </c>
      <c r="M34" s="53">
        <v>989.89</v>
      </c>
      <c r="N34" s="53">
        <v>0</v>
      </c>
      <c r="O34" s="54">
        <v>0</v>
      </c>
      <c r="P34" s="53">
        <v>1006.29</v>
      </c>
      <c r="Q34" s="53">
        <v>1006.29</v>
      </c>
      <c r="R34" s="53">
        <v>1006.29</v>
      </c>
      <c r="S34" s="53">
        <v>0</v>
      </c>
      <c r="T34" s="54">
        <v>0</v>
      </c>
      <c r="U34" s="53">
        <v>1042.45</v>
      </c>
      <c r="V34" s="53">
        <v>1042.45</v>
      </c>
      <c r="W34" s="53">
        <v>1042.45</v>
      </c>
      <c r="X34" s="53">
        <v>0</v>
      </c>
      <c r="Y34" s="54">
        <v>0</v>
      </c>
    </row>
    <row r="35" spans="1:25" x14ac:dyDescent="0.2">
      <c r="A35" s="50" t="s">
        <v>139</v>
      </c>
      <c r="B35" s="51" t="s">
        <v>65</v>
      </c>
      <c r="C35" s="51" t="s">
        <v>65</v>
      </c>
      <c r="D35" s="52">
        <v>35453</v>
      </c>
      <c r="E35" s="51" t="s">
        <v>113</v>
      </c>
      <c r="F35" s="53">
        <v>970.13</v>
      </c>
      <c r="G35" s="53">
        <v>970.13</v>
      </c>
      <c r="H35" s="53">
        <v>970.13</v>
      </c>
      <c r="I35" s="53">
        <v>0</v>
      </c>
      <c r="J35" s="54">
        <v>0</v>
      </c>
      <c r="K35" s="53">
        <v>989.89</v>
      </c>
      <c r="L35" s="53">
        <v>989.89</v>
      </c>
      <c r="M35" s="53">
        <v>989.89</v>
      </c>
      <c r="N35" s="53">
        <v>0</v>
      </c>
      <c r="O35" s="54">
        <v>0</v>
      </c>
      <c r="P35" s="53">
        <v>1006.29</v>
      </c>
      <c r="Q35" s="53">
        <v>1006.29</v>
      </c>
      <c r="R35" s="53">
        <v>1006.29</v>
      </c>
      <c r="S35" s="53">
        <v>0</v>
      </c>
      <c r="T35" s="54">
        <v>0</v>
      </c>
      <c r="U35" s="53">
        <v>1042.45</v>
      </c>
      <c r="V35" s="53">
        <v>1042.45</v>
      </c>
      <c r="W35" s="53">
        <v>1042.45</v>
      </c>
      <c r="X35" s="53">
        <v>0</v>
      </c>
      <c r="Y35" s="54">
        <v>0</v>
      </c>
    </row>
    <row r="36" spans="1:25" x14ac:dyDescent="0.2">
      <c r="A36" s="50" t="s">
        <v>140</v>
      </c>
      <c r="B36" s="51" t="s">
        <v>65</v>
      </c>
      <c r="C36" s="51" t="s">
        <v>65</v>
      </c>
      <c r="D36" s="52">
        <v>34864</v>
      </c>
      <c r="E36" s="51" t="s">
        <v>118</v>
      </c>
      <c r="F36" s="53">
        <v>979.26</v>
      </c>
      <c r="G36" s="53">
        <v>979.26</v>
      </c>
      <c r="H36" s="53">
        <v>979.26</v>
      </c>
      <c r="I36" s="53">
        <v>0</v>
      </c>
      <c r="J36" s="54">
        <v>0</v>
      </c>
      <c r="K36" s="53">
        <v>999.2</v>
      </c>
      <c r="L36" s="53">
        <v>999.2</v>
      </c>
      <c r="M36" s="53">
        <v>999.2</v>
      </c>
      <c r="N36" s="53">
        <v>0</v>
      </c>
      <c r="O36" s="54">
        <v>0</v>
      </c>
      <c r="P36" s="53">
        <v>1015.76</v>
      </c>
      <c r="Q36" s="53">
        <v>1015.76</v>
      </c>
      <c r="R36" s="53">
        <v>1015.76</v>
      </c>
      <c r="S36" s="53">
        <v>0</v>
      </c>
      <c r="T36" s="54">
        <v>0</v>
      </c>
      <c r="U36" s="53">
        <v>1052.26</v>
      </c>
      <c r="V36" s="53">
        <v>1052.26</v>
      </c>
      <c r="W36" s="53">
        <v>1052.26</v>
      </c>
      <c r="X36" s="53">
        <v>0</v>
      </c>
      <c r="Y36" s="54">
        <v>0</v>
      </c>
    </row>
    <row r="37" spans="1:25" x14ac:dyDescent="0.2">
      <c r="A37" s="50" t="s">
        <v>141</v>
      </c>
      <c r="B37" s="51" t="s">
        <v>65</v>
      </c>
      <c r="C37" s="51" t="s">
        <v>104</v>
      </c>
      <c r="D37" s="52">
        <v>26666</v>
      </c>
      <c r="E37" s="51" t="s">
        <v>118</v>
      </c>
      <c r="F37" s="53">
        <v>4348.46</v>
      </c>
      <c r="G37" s="53">
        <v>1447.2</v>
      </c>
      <c r="H37" s="53">
        <v>1447.2</v>
      </c>
      <c r="I37" s="53">
        <v>0</v>
      </c>
      <c r="J37" s="54">
        <v>0</v>
      </c>
      <c r="K37" s="53">
        <v>4437.03</v>
      </c>
      <c r="L37" s="53">
        <v>1476.68</v>
      </c>
      <c r="M37" s="53">
        <v>1476.68</v>
      </c>
      <c r="N37" s="53">
        <v>0</v>
      </c>
      <c r="O37" s="54">
        <v>0</v>
      </c>
      <c r="P37" s="53">
        <v>4510.5200000000004</v>
      </c>
      <c r="Q37" s="53">
        <v>1501.14</v>
      </c>
      <c r="R37" s="53">
        <v>1501.14</v>
      </c>
      <c r="S37" s="53">
        <v>0</v>
      </c>
      <c r="T37" s="54">
        <v>0</v>
      </c>
      <c r="U37" s="53">
        <v>4672.63</v>
      </c>
      <c r="V37" s="53">
        <v>1555.09</v>
      </c>
      <c r="W37" s="53">
        <v>1555.09</v>
      </c>
      <c r="X37" s="53">
        <v>0</v>
      </c>
      <c r="Y37" s="54">
        <v>0</v>
      </c>
    </row>
    <row r="38" spans="1:25" x14ac:dyDescent="0.2">
      <c r="A38" s="50" t="s">
        <v>142</v>
      </c>
      <c r="B38" s="51" t="s">
        <v>107</v>
      </c>
      <c r="C38" s="51"/>
      <c r="D38" s="52">
        <v>28717</v>
      </c>
      <c r="E38" s="51" t="s">
        <v>118</v>
      </c>
      <c r="F38" s="53"/>
      <c r="G38" s="53">
        <v>1212.0899999999999</v>
      </c>
      <c r="H38" s="53">
        <v>1212.0899999999999</v>
      </c>
      <c r="I38" s="53">
        <v>0</v>
      </c>
      <c r="J38" s="54"/>
      <c r="K38" s="53"/>
      <c r="L38" s="53">
        <v>1236.78</v>
      </c>
      <c r="M38" s="53">
        <v>1236.78</v>
      </c>
      <c r="N38" s="53">
        <v>0</v>
      </c>
      <c r="O38" s="54"/>
      <c r="P38" s="53"/>
      <c r="Q38" s="53">
        <v>1257.26</v>
      </c>
      <c r="R38" s="53">
        <v>1257.26</v>
      </c>
      <c r="S38" s="53">
        <v>0</v>
      </c>
      <c r="T38" s="54"/>
      <c r="U38" s="53"/>
      <c r="V38" s="53">
        <v>1302.45</v>
      </c>
      <c r="W38" s="53">
        <v>1302.45</v>
      </c>
      <c r="X38" s="53">
        <v>0</v>
      </c>
      <c r="Y38" s="54"/>
    </row>
    <row r="39" spans="1:25" x14ac:dyDescent="0.2">
      <c r="A39" s="50" t="s">
        <v>143</v>
      </c>
      <c r="B39" s="51" t="s">
        <v>109</v>
      </c>
      <c r="C39" s="51"/>
      <c r="D39" s="52">
        <v>37384</v>
      </c>
      <c r="E39" s="51" t="s">
        <v>118</v>
      </c>
      <c r="F39" s="53"/>
      <c r="G39" s="53">
        <v>951.11</v>
      </c>
      <c r="H39" s="53">
        <v>951.11</v>
      </c>
      <c r="I39" s="53">
        <v>0</v>
      </c>
      <c r="J39" s="54"/>
      <c r="K39" s="53"/>
      <c r="L39" s="53">
        <v>970.48</v>
      </c>
      <c r="M39" s="53">
        <v>970.48</v>
      </c>
      <c r="N39" s="53">
        <v>0</v>
      </c>
      <c r="O39" s="54"/>
      <c r="P39" s="53"/>
      <c r="Q39" s="53">
        <v>986.55</v>
      </c>
      <c r="R39" s="53">
        <v>986.55</v>
      </c>
      <c r="S39" s="53">
        <v>0</v>
      </c>
      <c r="T39" s="54"/>
      <c r="U39" s="53"/>
      <c r="V39" s="53">
        <v>1022.01</v>
      </c>
      <c r="W39" s="53">
        <v>1022.01</v>
      </c>
      <c r="X39" s="53">
        <v>0</v>
      </c>
      <c r="Y39" s="54"/>
    </row>
    <row r="40" spans="1:25" x14ac:dyDescent="0.2">
      <c r="A40" s="50" t="s">
        <v>144</v>
      </c>
      <c r="B40" s="51" t="s">
        <v>109</v>
      </c>
      <c r="C40" s="51"/>
      <c r="D40" s="52">
        <v>38688</v>
      </c>
      <c r="E40" s="51" t="s">
        <v>118</v>
      </c>
      <c r="F40" s="53"/>
      <c r="G40" s="53">
        <v>738.06</v>
      </c>
      <c r="H40" s="53">
        <v>738.06</v>
      </c>
      <c r="I40" s="53">
        <v>0</v>
      </c>
      <c r="J40" s="54"/>
      <c r="K40" s="53"/>
      <c r="L40" s="53">
        <v>753.09</v>
      </c>
      <c r="M40" s="53">
        <v>753.09</v>
      </c>
      <c r="N40" s="53">
        <v>0</v>
      </c>
      <c r="O40" s="54"/>
      <c r="P40" s="53"/>
      <c r="Q40" s="53">
        <v>765.57</v>
      </c>
      <c r="R40" s="53">
        <v>765.57</v>
      </c>
      <c r="S40" s="53">
        <v>0</v>
      </c>
      <c r="T40" s="54"/>
      <c r="U40" s="53"/>
      <c r="V40" s="53">
        <v>793.08</v>
      </c>
      <c r="W40" s="53">
        <v>793.08</v>
      </c>
      <c r="X40" s="53">
        <v>0</v>
      </c>
      <c r="Y40" s="54"/>
    </row>
    <row r="41" spans="1:25" x14ac:dyDescent="0.2">
      <c r="A41" s="50" t="s">
        <v>145</v>
      </c>
      <c r="B41" s="51" t="s">
        <v>65</v>
      </c>
      <c r="C41" s="51" t="s">
        <v>65</v>
      </c>
      <c r="D41" s="52">
        <v>36146</v>
      </c>
      <c r="E41" s="51" t="s">
        <v>111</v>
      </c>
      <c r="F41" s="53">
        <v>951.11</v>
      </c>
      <c r="G41" s="53">
        <v>951.11</v>
      </c>
      <c r="H41" s="53">
        <v>951.11</v>
      </c>
      <c r="I41" s="53">
        <v>0</v>
      </c>
      <c r="J41" s="54">
        <v>0</v>
      </c>
      <c r="K41" s="53">
        <v>970.48</v>
      </c>
      <c r="L41" s="53">
        <v>970.48</v>
      </c>
      <c r="M41" s="53">
        <v>970.48</v>
      </c>
      <c r="N41" s="53">
        <v>0</v>
      </c>
      <c r="O41" s="54">
        <v>0</v>
      </c>
      <c r="P41" s="53">
        <v>986.55</v>
      </c>
      <c r="Q41" s="53">
        <v>986.55</v>
      </c>
      <c r="R41" s="53">
        <v>986.55</v>
      </c>
      <c r="S41" s="53">
        <v>0</v>
      </c>
      <c r="T41" s="54">
        <v>0</v>
      </c>
      <c r="U41" s="53">
        <v>1022.01</v>
      </c>
      <c r="V41" s="53">
        <v>1022.01</v>
      </c>
      <c r="W41" s="53">
        <v>1022.01</v>
      </c>
      <c r="X41" s="53">
        <v>0</v>
      </c>
      <c r="Y41" s="54">
        <v>0</v>
      </c>
    </row>
    <row r="42" spans="1:25" x14ac:dyDescent="0.2">
      <c r="A42" s="50" t="s">
        <v>146</v>
      </c>
      <c r="B42" s="51" t="s">
        <v>65</v>
      </c>
      <c r="C42" s="51" t="s">
        <v>65</v>
      </c>
      <c r="D42" s="52">
        <v>35249</v>
      </c>
      <c r="E42" s="51" t="s">
        <v>147</v>
      </c>
      <c r="F42" s="53">
        <v>970.13</v>
      </c>
      <c r="G42" s="53">
        <v>970.13</v>
      </c>
      <c r="H42" s="53">
        <v>970.13</v>
      </c>
      <c r="I42" s="53">
        <v>0</v>
      </c>
      <c r="J42" s="54">
        <v>0</v>
      </c>
      <c r="K42" s="53">
        <v>989.89</v>
      </c>
      <c r="L42" s="53">
        <v>989.89</v>
      </c>
      <c r="M42" s="53">
        <v>989.89</v>
      </c>
      <c r="N42" s="53">
        <v>0</v>
      </c>
      <c r="O42" s="54">
        <v>0</v>
      </c>
      <c r="P42" s="53">
        <v>1006.29</v>
      </c>
      <c r="Q42" s="53">
        <v>1006.29</v>
      </c>
      <c r="R42" s="53">
        <v>1006.29</v>
      </c>
      <c r="S42" s="53">
        <v>0</v>
      </c>
      <c r="T42" s="54">
        <v>0</v>
      </c>
      <c r="U42" s="53">
        <v>1042.45</v>
      </c>
      <c r="V42" s="53">
        <v>1042.45</v>
      </c>
      <c r="W42" s="53">
        <v>1042.45</v>
      </c>
      <c r="X42" s="53">
        <v>0</v>
      </c>
      <c r="Y42" s="54">
        <v>0</v>
      </c>
    </row>
    <row r="43" spans="1:25" ht="16.149999999999999" customHeight="1" x14ac:dyDescent="0.2">
      <c r="A43" s="226" t="s">
        <v>81</v>
      </c>
      <c r="B43" s="227"/>
      <c r="C43" s="227"/>
      <c r="D43" s="227"/>
      <c r="E43" s="227"/>
      <c r="F43" s="211" t="s">
        <v>195</v>
      </c>
      <c r="G43" s="212"/>
      <c r="H43" s="212"/>
      <c r="I43" s="212"/>
      <c r="J43" s="213"/>
      <c r="K43" s="211" t="s">
        <v>197</v>
      </c>
      <c r="L43" s="212"/>
      <c r="M43" s="212"/>
      <c r="N43" s="212"/>
      <c r="O43" s="213"/>
      <c r="P43" s="211" t="s">
        <v>199</v>
      </c>
      <c r="Q43" s="212"/>
      <c r="R43" s="212"/>
      <c r="S43" s="212"/>
      <c r="T43" s="213"/>
      <c r="U43" s="211" t="s">
        <v>201</v>
      </c>
      <c r="V43" s="212"/>
      <c r="W43" s="212"/>
      <c r="X43" s="212"/>
      <c r="Y43" s="213"/>
    </row>
    <row r="44" spans="1:25" ht="13.9" customHeight="1" x14ac:dyDescent="0.2">
      <c r="A44" s="228" t="s">
        <v>82</v>
      </c>
      <c r="B44" s="229"/>
      <c r="C44" s="229"/>
      <c r="D44" s="229"/>
      <c r="E44" s="229"/>
      <c r="F44" s="214">
        <v>18732.259999999998</v>
      </c>
      <c r="G44" s="215"/>
      <c r="H44" s="215"/>
      <c r="I44" s="215"/>
      <c r="J44" s="216"/>
      <c r="K44" s="214">
        <v>19113.759999999998</v>
      </c>
      <c r="L44" s="215"/>
      <c r="M44" s="215"/>
      <c r="N44" s="215"/>
      <c r="O44" s="216"/>
      <c r="P44" s="214">
        <v>19430.38</v>
      </c>
      <c r="Q44" s="215"/>
      <c r="R44" s="215"/>
      <c r="S44" s="215"/>
      <c r="T44" s="216"/>
      <c r="U44" s="214">
        <v>20128.66</v>
      </c>
      <c r="V44" s="215"/>
      <c r="W44" s="215"/>
      <c r="X44" s="215"/>
      <c r="Y44" s="216"/>
    </row>
    <row r="45" spans="1:25" ht="13.9" customHeight="1" x14ac:dyDescent="0.2">
      <c r="A45" s="230" t="s">
        <v>83</v>
      </c>
      <c r="B45" s="231"/>
      <c r="C45" s="231"/>
      <c r="D45" s="231"/>
      <c r="E45" s="231"/>
      <c r="F45" s="208">
        <f>F44*12</f>
        <v>224787.12</v>
      </c>
      <c r="G45" s="209"/>
      <c r="H45" s="209"/>
      <c r="I45" s="209"/>
      <c r="J45" s="210"/>
      <c r="K45" s="208">
        <f>K44*12</f>
        <v>229365.12</v>
      </c>
      <c r="L45" s="209"/>
      <c r="M45" s="209"/>
      <c r="N45" s="209"/>
      <c r="O45" s="210"/>
      <c r="P45" s="208">
        <f>P44*12</f>
        <v>233164.56</v>
      </c>
      <c r="Q45" s="209"/>
      <c r="R45" s="209"/>
      <c r="S45" s="209"/>
      <c r="T45" s="210"/>
      <c r="U45" s="208">
        <f>U44*12</f>
        <v>241543.91999999998</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B00-000000000000}"/>
    <hyperlink ref="F46" r:id="rId2" xr:uid="{00000000-0004-0000-5B00-000001000000}"/>
    <hyperlink ref="K7" r:id="rId3" xr:uid="{00000000-0004-0000-5B00-000002000000}"/>
    <hyperlink ref="K46" r:id="rId4" xr:uid="{00000000-0004-0000-5B00-000003000000}"/>
    <hyperlink ref="P7" r:id="rId5" xr:uid="{00000000-0004-0000-5B00-000004000000}"/>
    <hyperlink ref="P46" r:id="rId6" xr:uid="{00000000-0004-0000-5B00-000005000000}"/>
    <hyperlink ref="U7" r:id="rId7" xr:uid="{00000000-0004-0000-5B00-000006000000}"/>
    <hyperlink ref="U46" r:id="rId8" xr:uid="{00000000-0004-0000-5B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7E9A-BF1E-4D02-A82F-18AC406EFA3E}">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101</v>
      </c>
      <c r="Q5" s="118"/>
      <c r="R5" s="118"/>
      <c r="S5" s="118"/>
      <c r="T5" s="120"/>
      <c r="U5" s="117" t="s">
        <v>167</v>
      </c>
      <c r="V5" s="118"/>
      <c r="W5" s="118"/>
      <c r="X5" s="118"/>
      <c r="Y5" s="120"/>
    </row>
    <row r="6" spans="1:25" ht="28.5" x14ac:dyDescent="0.2">
      <c r="A6" s="247"/>
      <c r="B6" s="248"/>
      <c r="C6" s="248"/>
      <c r="D6" s="248"/>
      <c r="E6" s="248"/>
      <c r="F6" s="121" t="s">
        <v>202</v>
      </c>
      <c r="G6" s="122"/>
      <c r="H6" s="122"/>
      <c r="I6" s="122"/>
      <c r="J6" s="124"/>
      <c r="K6" s="121" t="s">
        <v>204</v>
      </c>
      <c r="L6" s="122"/>
      <c r="M6" s="122"/>
      <c r="N6" s="122"/>
      <c r="O6" s="124"/>
      <c r="P6" s="121" t="s">
        <v>206</v>
      </c>
      <c r="Q6" s="122"/>
      <c r="R6" s="122"/>
      <c r="S6" s="122"/>
      <c r="T6" s="124"/>
      <c r="U6" s="121" t="s">
        <v>208</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203</v>
      </c>
      <c r="G8" s="233"/>
      <c r="H8" s="233"/>
      <c r="I8" s="233"/>
      <c r="J8" s="234"/>
      <c r="K8" s="232" t="s">
        <v>205</v>
      </c>
      <c r="L8" s="233"/>
      <c r="M8" s="233"/>
      <c r="N8" s="233"/>
      <c r="O8" s="234"/>
      <c r="P8" s="232" t="s">
        <v>207</v>
      </c>
      <c r="Q8" s="233"/>
      <c r="R8" s="233"/>
      <c r="S8" s="233"/>
      <c r="T8" s="234"/>
      <c r="U8" s="232" t="s">
        <v>209</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4157.4399999999996</v>
      </c>
      <c r="G10" s="53">
        <v>1899.21</v>
      </c>
      <c r="H10" s="53">
        <v>1899.21</v>
      </c>
      <c r="I10" s="53">
        <v>0</v>
      </c>
      <c r="J10" s="54">
        <v>0</v>
      </c>
      <c r="K10" s="53">
        <v>4230.92</v>
      </c>
      <c r="L10" s="53">
        <v>1932.78</v>
      </c>
      <c r="M10" s="53">
        <v>1932.78</v>
      </c>
      <c r="N10" s="53">
        <v>0</v>
      </c>
      <c r="O10" s="54">
        <v>0</v>
      </c>
      <c r="P10" s="53">
        <v>4292.24</v>
      </c>
      <c r="Q10" s="53">
        <v>1960.79</v>
      </c>
      <c r="R10" s="53">
        <v>1960.79</v>
      </c>
      <c r="S10" s="53">
        <v>0</v>
      </c>
      <c r="T10" s="54">
        <v>0</v>
      </c>
      <c r="U10" s="53">
        <v>4333.01</v>
      </c>
      <c r="V10" s="53">
        <v>1979.42</v>
      </c>
      <c r="W10" s="53">
        <v>1979.42</v>
      </c>
      <c r="X10" s="53">
        <v>0</v>
      </c>
      <c r="Y10" s="54">
        <v>0</v>
      </c>
    </row>
    <row r="11" spans="1:25" x14ac:dyDescent="0.2">
      <c r="A11" s="50" t="s">
        <v>106</v>
      </c>
      <c r="B11" s="51" t="s">
        <v>107</v>
      </c>
      <c r="C11" s="51"/>
      <c r="D11" s="52">
        <v>27837</v>
      </c>
      <c r="E11" s="51" t="s">
        <v>105</v>
      </c>
      <c r="F11" s="53"/>
      <c r="G11" s="53">
        <v>1450.23</v>
      </c>
      <c r="H11" s="53">
        <v>1450.23</v>
      </c>
      <c r="I11" s="53">
        <v>0</v>
      </c>
      <c r="J11" s="54"/>
      <c r="K11" s="53"/>
      <c r="L11" s="53">
        <v>1475.86</v>
      </c>
      <c r="M11" s="53">
        <v>1475.86</v>
      </c>
      <c r="N11" s="53">
        <v>0</v>
      </c>
      <c r="O11" s="54"/>
      <c r="P11" s="53"/>
      <c r="Q11" s="53">
        <v>1497.25</v>
      </c>
      <c r="R11" s="53">
        <v>1497.25</v>
      </c>
      <c r="S11" s="53">
        <v>0</v>
      </c>
      <c r="T11" s="54"/>
      <c r="U11" s="53"/>
      <c r="V11" s="53">
        <v>1511.47</v>
      </c>
      <c r="W11" s="53">
        <v>1511.47</v>
      </c>
      <c r="X11" s="53">
        <v>0</v>
      </c>
      <c r="Y11" s="54"/>
    </row>
    <row r="12" spans="1:25" x14ac:dyDescent="0.2">
      <c r="A12" s="50" t="s">
        <v>108</v>
      </c>
      <c r="B12" s="51" t="s">
        <v>109</v>
      </c>
      <c r="C12" s="51"/>
      <c r="D12" s="52">
        <v>38648</v>
      </c>
      <c r="E12" s="51" t="s">
        <v>105</v>
      </c>
      <c r="F12" s="53"/>
      <c r="G12" s="53">
        <v>808</v>
      </c>
      <c r="H12" s="53">
        <v>808</v>
      </c>
      <c r="I12" s="53">
        <v>0</v>
      </c>
      <c r="J12" s="54"/>
      <c r="K12" s="53"/>
      <c r="L12" s="53">
        <v>822.28</v>
      </c>
      <c r="M12" s="53">
        <v>822.28</v>
      </c>
      <c r="N12" s="53">
        <v>0</v>
      </c>
      <c r="O12" s="54"/>
      <c r="P12" s="53"/>
      <c r="Q12" s="53">
        <v>834.2</v>
      </c>
      <c r="R12" s="53">
        <v>834.2</v>
      </c>
      <c r="S12" s="53">
        <v>0</v>
      </c>
      <c r="T12" s="54"/>
      <c r="U12" s="53"/>
      <c r="V12" s="53">
        <v>842.12</v>
      </c>
      <c r="W12" s="53">
        <v>842.12</v>
      </c>
      <c r="X12" s="53">
        <v>0</v>
      </c>
      <c r="Y12" s="54"/>
    </row>
    <row r="13" spans="1:25" x14ac:dyDescent="0.2">
      <c r="A13" s="50" t="s">
        <v>110</v>
      </c>
      <c r="B13" s="51" t="s">
        <v>65</v>
      </c>
      <c r="C13" s="51" t="s">
        <v>65</v>
      </c>
      <c r="D13" s="52">
        <v>36345</v>
      </c>
      <c r="E13" s="51" t="s">
        <v>111</v>
      </c>
      <c r="F13" s="53">
        <v>1041.23</v>
      </c>
      <c r="G13" s="53">
        <v>1041.23</v>
      </c>
      <c r="H13" s="53">
        <v>1041.23</v>
      </c>
      <c r="I13" s="53">
        <v>0</v>
      </c>
      <c r="J13" s="54">
        <v>0</v>
      </c>
      <c r="K13" s="53">
        <v>1059.6400000000001</v>
      </c>
      <c r="L13" s="53">
        <v>1059.6400000000001</v>
      </c>
      <c r="M13" s="53">
        <v>1059.6400000000001</v>
      </c>
      <c r="N13" s="53">
        <v>0</v>
      </c>
      <c r="O13" s="54">
        <v>0</v>
      </c>
      <c r="P13" s="53">
        <v>1074.99</v>
      </c>
      <c r="Q13" s="53">
        <v>1074.99</v>
      </c>
      <c r="R13" s="53">
        <v>1074.99</v>
      </c>
      <c r="S13" s="53">
        <v>0</v>
      </c>
      <c r="T13" s="54">
        <v>0</v>
      </c>
      <c r="U13" s="53">
        <v>1085.21</v>
      </c>
      <c r="V13" s="53">
        <v>1085.21</v>
      </c>
      <c r="W13" s="53">
        <v>1085.21</v>
      </c>
      <c r="X13" s="53">
        <v>0</v>
      </c>
      <c r="Y13" s="54">
        <v>0</v>
      </c>
    </row>
    <row r="14" spans="1:25" x14ac:dyDescent="0.2">
      <c r="A14" s="50" t="s">
        <v>112</v>
      </c>
      <c r="B14" s="51" t="s">
        <v>65</v>
      </c>
      <c r="C14" s="51" t="s">
        <v>104</v>
      </c>
      <c r="D14" s="52">
        <v>24895</v>
      </c>
      <c r="E14" s="51" t="s">
        <v>113</v>
      </c>
      <c r="F14" s="53">
        <v>4544.78</v>
      </c>
      <c r="G14" s="53">
        <v>1837.57</v>
      </c>
      <c r="H14" s="53">
        <v>1837.57</v>
      </c>
      <c r="I14" s="53">
        <v>0</v>
      </c>
      <c r="J14" s="54">
        <v>0</v>
      </c>
      <c r="K14" s="53">
        <v>4625.1099999999997</v>
      </c>
      <c r="L14" s="53">
        <v>1870.05</v>
      </c>
      <c r="M14" s="53">
        <v>1870.05</v>
      </c>
      <c r="N14" s="53">
        <v>0</v>
      </c>
      <c r="O14" s="54">
        <v>0</v>
      </c>
      <c r="P14" s="53">
        <v>4692.1400000000003</v>
      </c>
      <c r="Q14" s="53">
        <v>1897.15</v>
      </c>
      <c r="R14" s="53">
        <v>1897.15</v>
      </c>
      <c r="S14" s="53">
        <v>0</v>
      </c>
      <c r="T14" s="54">
        <v>0</v>
      </c>
      <c r="U14" s="53">
        <v>4736.71</v>
      </c>
      <c r="V14" s="53">
        <v>1915.17</v>
      </c>
      <c r="W14" s="53">
        <v>1915.17</v>
      </c>
      <c r="X14" s="53">
        <v>0</v>
      </c>
      <c r="Y14" s="54">
        <v>0</v>
      </c>
    </row>
    <row r="15" spans="1:25" x14ac:dyDescent="0.2">
      <c r="A15" s="50" t="s">
        <v>114</v>
      </c>
      <c r="B15" s="51" t="s">
        <v>107</v>
      </c>
      <c r="C15" s="51"/>
      <c r="D15" s="52">
        <v>24269</v>
      </c>
      <c r="E15" s="51" t="s">
        <v>113</v>
      </c>
      <c r="F15" s="53"/>
      <c r="G15" s="53">
        <v>1899.21</v>
      </c>
      <c r="H15" s="53">
        <v>1899.21</v>
      </c>
      <c r="I15" s="53">
        <v>0</v>
      </c>
      <c r="J15" s="54"/>
      <c r="K15" s="53"/>
      <c r="L15" s="53">
        <v>1932.78</v>
      </c>
      <c r="M15" s="53">
        <v>1932.78</v>
      </c>
      <c r="N15" s="53">
        <v>0</v>
      </c>
      <c r="O15" s="54"/>
      <c r="P15" s="53"/>
      <c r="Q15" s="53">
        <v>1960.79</v>
      </c>
      <c r="R15" s="53">
        <v>1960.79</v>
      </c>
      <c r="S15" s="53">
        <v>0</v>
      </c>
      <c r="T15" s="54"/>
      <c r="U15" s="53"/>
      <c r="V15" s="53">
        <v>1979.42</v>
      </c>
      <c r="W15" s="53">
        <v>1979.42</v>
      </c>
      <c r="X15" s="53">
        <v>0</v>
      </c>
      <c r="Y15" s="54"/>
    </row>
    <row r="16" spans="1:25" x14ac:dyDescent="0.2">
      <c r="A16" s="50" t="s">
        <v>115</v>
      </c>
      <c r="B16" s="51" t="s">
        <v>109</v>
      </c>
      <c r="C16" s="51"/>
      <c r="D16" s="52">
        <v>38614</v>
      </c>
      <c r="E16" s="51" t="s">
        <v>113</v>
      </c>
      <c r="F16" s="53"/>
      <c r="G16" s="53">
        <v>808</v>
      </c>
      <c r="H16" s="53">
        <v>808</v>
      </c>
      <c r="I16" s="53">
        <v>0</v>
      </c>
      <c r="J16" s="54"/>
      <c r="K16" s="53"/>
      <c r="L16" s="53">
        <v>822.28</v>
      </c>
      <c r="M16" s="53">
        <v>822.28</v>
      </c>
      <c r="N16" s="53">
        <v>0</v>
      </c>
      <c r="O16" s="54"/>
      <c r="P16" s="53"/>
      <c r="Q16" s="53">
        <v>834.2</v>
      </c>
      <c r="R16" s="53">
        <v>834.2</v>
      </c>
      <c r="S16" s="53">
        <v>0</v>
      </c>
      <c r="T16" s="54"/>
      <c r="U16" s="53"/>
      <c r="V16" s="53">
        <v>842.12</v>
      </c>
      <c r="W16" s="53">
        <v>842.12</v>
      </c>
      <c r="X16" s="53">
        <v>0</v>
      </c>
      <c r="Y16" s="54"/>
    </row>
    <row r="17" spans="1:25" x14ac:dyDescent="0.2">
      <c r="A17" s="50" t="s">
        <v>116</v>
      </c>
      <c r="B17" s="51" t="s">
        <v>65</v>
      </c>
      <c r="C17" s="51" t="s">
        <v>117</v>
      </c>
      <c r="D17" s="52">
        <v>18453</v>
      </c>
      <c r="E17" s="51" t="s">
        <v>118</v>
      </c>
      <c r="F17" s="53">
        <v>3798.42</v>
      </c>
      <c r="G17" s="53">
        <v>1899.21</v>
      </c>
      <c r="H17" s="53">
        <v>1899.21</v>
      </c>
      <c r="I17" s="53">
        <v>0</v>
      </c>
      <c r="J17" s="54">
        <v>0</v>
      </c>
      <c r="K17" s="53">
        <v>3865.56</v>
      </c>
      <c r="L17" s="53">
        <v>1932.78</v>
      </c>
      <c r="M17" s="53">
        <v>1932.78</v>
      </c>
      <c r="N17" s="53">
        <v>0</v>
      </c>
      <c r="O17" s="54">
        <v>0</v>
      </c>
      <c r="P17" s="53">
        <v>3921.58</v>
      </c>
      <c r="Q17" s="53">
        <v>1960.79</v>
      </c>
      <c r="R17" s="53">
        <v>1960.79</v>
      </c>
      <c r="S17" s="53">
        <v>0</v>
      </c>
      <c r="T17" s="54">
        <v>0</v>
      </c>
      <c r="U17" s="53">
        <v>3958.84</v>
      </c>
      <c r="V17" s="53">
        <v>1979.42</v>
      </c>
      <c r="W17" s="53">
        <v>1979.42</v>
      </c>
      <c r="X17" s="53">
        <v>0</v>
      </c>
      <c r="Y17" s="54">
        <v>0</v>
      </c>
    </row>
    <row r="18" spans="1:25" x14ac:dyDescent="0.2">
      <c r="A18" s="50" t="s">
        <v>119</v>
      </c>
      <c r="B18" s="51" t="s">
        <v>107</v>
      </c>
      <c r="C18" s="51"/>
      <c r="D18" s="52">
        <v>19761</v>
      </c>
      <c r="E18" s="51" t="s">
        <v>118</v>
      </c>
      <c r="F18" s="53"/>
      <c r="G18" s="53">
        <v>1899.21</v>
      </c>
      <c r="H18" s="53">
        <v>1899.21</v>
      </c>
      <c r="I18" s="53">
        <v>0</v>
      </c>
      <c r="J18" s="54"/>
      <c r="K18" s="53"/>
      <c r="L18" s="53">
        <v>1932.78</v>
      </c>
      <c r="M18" s="53">
        <v>1932.78</v>
      </c>
      <c r="N18" s="53">
        <v>0</v>
      </c>
      <c r="O18" s="54"/>
      <c r="P18" s="53"/>
      <c r="Q18" s="53">
        <v>1960.79</v>
      </c>
      <c r="R18" s="53">
        <v>1960.79</v>
      </c>
      <c r="S18" s="53">
        <v>0</v>
      </c>
      <c r="T18" s="54"/>
      <c r="U18" s="53"/>
      <c r="V18" s="53">
        <v>1979.42</v>
      </c>
      <c r="W18" s="53">
        <v>1979.42</v>
      </c>
      <c r="X18" s="53">
        <v>0</v>
      </c>
      <c r="Y18" s="54"/>
    </row>
    <row r="19" spans="1:25" x14ac:dyDescent="0.2">
      <c r="A19" s="50" t="s">
        <v>120</v>
      </c>
      <c r="B19" s="51" t="s">
        <v>65</v>
      </c>
      <c r="C19" s="51" t="s">
        <v>65</v>
      </c>
      <c r="D19" s="52">
        <v>35733</v>
      </c>
      <c r="E19" s="51" t="s">
        <v>121</v>
      </c>
      <c r="F19" s="53">
        <v>1041.23</v>
      </c>
      <c r="G19" s="53">
        <v>1041.23</v>
      </c>
      <c r="H19" s="53">
        <v>1041.23</v>
      </c>
      <c r="I19" s="53">
        <v>0</v>
      </c>
      <c r="J19" s="54">
        <v>0</v>
      </c>
      <c r="K19" s="53">
        <v>1059.6400000000001</v>
      </c>
      <c r="L19" s="53">
        <v>1059.6400000000001</v>
      </c>
      <c r="M19" s="53">
        <v>1059.6400000000001</v>
      </c>
      <c r="N19" s="53">
        <v>0</v>
      </c>
      <c r="O19" s="54">
        <v>0</v>
      </c>
      <c r="P19" s="53">
        <v>1074.99</v>
      </c>
      <c r="Q19" s="53">
        <v>1074.99</v>
      </c>
      <c r="R19" s="53">
        <v>1074.99</v>
      </c>
      <c r="S19" s="53">
        <v>0</v>
      </c>
      <c r="T19" s="54">
        <v>0</v>
      </c>
      <c r="U19" s="53">
        <v>1085.21</v>
      </c>
      <c r="V19" s="53">
        <v>1085.21</v>
      </c>
      <c r="W19" s="53">
        <v>1085.21</v>
      </c>
      <c r="X19" s="53">
        <v>0</v>
      </c>
      <c r="Y19" s="54">
        <v>0</v>
      </c>
    </row>
    <row r="20" spans="1:25" x14ac:dyDescent="0.2">
      <c r="A20" s="50" t="s">
        <v>122</v>
      </c>
      <c r="B20" s="51" t="s">
        <v>65</v>
      </c>
      <c r="C20" s="51" t="s">
        <v>104</v>
      </c>
      <c r="D20" s="52">
        <v>24958</v>
      </c>
      <c r="E20" s="51" t="s">
        <v>123</v>
      </c>
      <c r="F20" s="53">
        <v>5213.67</v>
      </c>
      <c r="G20" s="53">
        <v>1837.57</v>
      </c>
      <c r="H20" s="53">
        <v>1837.57</v>
      </c>
      <c r="I20" s="53">
        <v>0</v>
      </c>
      <c r="J20" s="54">
        <v>0</v>
      </c>
      <c r="K20" s="53">
        <v>5305.83</v>
      </c>
      <c r="L20" s="53">
        <v>1870.05</v>
      </c>
      <c r="M20" s="53">
        <v>1870.05</v>
      </c>
      <c r="N20" s="53">
        <v>0</v>
      </c>
      <c r="O20" s="54">
        <v>0</v>
      </c>
      <c r="P20" s="53">
        <v>5382.72</v>
      </c>
      <c r="Q20" s="53">
        <v>1897.15</v>
      </c>
      <c r="R20" s="53">
        <v>1897.15</v>
      </c>
      <c r="S20" s="53">
        <v>0</v>
      </c>
      <c r="T20" s="54">
        <v>0</v>
      </c>
      <c r="U20" s="53">
        <v>5433.84</v>
      </c>
      <c r="V20" s="53">
        <v>1915.17</v>
      </c>
      <c r="W20" s="53">
        <v>1915.17</v>
      </c>
      <c r="X20" s="53">
        <v>0</v>
      </c>
      <c r="Y20" s="54">
        <v>0</v>
      </c>
    </row>
    <row r="21" spans="1:25" x14ac:dyDescent="0.2">
      <c r="A21" s="50" t="s">
        <v>124</v>
      </c>
      <c r="B21" s="51" t="s">
        <v>107</v>
      </c>
      <c r="C21" s="51"/>
      <c r="D21" s="52">
        <v>25342</v>
      </c>
      <c r="E21" s="51" t="s">
        <v>123</v>
      </c>
      <c r="F21" s="53"/>
      <c r="G21" s="53">
        <v>1784.26</v>
      </c>
      <c r="H21" s="53">
        <v>1784.26</v>
      </c>
      <c r="I21" s="53">
        <v>0</v>
      </c>
      <c r="J21" s="54"/>
      <c r="K21" s="53"/>
      <c r="L21" s="53">
        <v>1815.8</v>
      </c>
      <c r="M21" s="53">
        <v>1815.8</v>
      </c>
      <c r="N21" s="53">
        <v>0</v>
      </c>
      <c r="O21" s="54"/>
      <c r="P21" s="53"/>
      <c r="Q21" s="53">
        <v>1842.11</v>
      </c>
      <c r="R21" s="53">
        <v>1842.11</v>
      </c>
      <c r="S21" s="53">
        <v>0</v>
      </c>
      <c r="T21" s="54"/>
      <c r="U21" s="53"/>
      <c r="V21" s="53">
        <v>1859.61</v>
      </c>
      <c r="W21" s="53">
        <v>1859.61</v>
      </c>
      <c r="X21" s="53">
        <v>0</v>
      </c>
      <c r="Y21" s="54"/>
    </row>
    <row r="22" spans="1:25" x14ac:dyDescent="0.2">
      <c r="A22" s="50" t="s">
        <v>125</v>
      </c>
      <c r="B22" s="51" t="s">
        <v>109</v>
      </c>
      <c r="C22" s="51"/>
      <c r="D22" s="52">
        <v>38632</v>
      </c>
      <c r="E22" s="51" t="s">
        <v>123</v>
      </c>
      <c r="F22" s="53"/>
      <c r="G22" s="53">
        <v>808</v>
      </c>
      <c r="H22" s="53">
        <v>808</v>
      </c>
      <c r="I22" s="53">
        <v>0</v>
      </c>
      <c r="J22" s="54"/>
      <c r="K22" s="53"/>
      <c r="L22" s="53">
        <v>822.28</v>
      </c>
      <c r="M22" s="53">
        <v>822.28</v>
      </c>
      <c r="N22" s="53">
        <v>0</v>
      </c>
      <c r="O22" s="54"/>
      <c r="P22" s="53"/>
      <c r="Q22" s="53">
        <v>834.2</v>
      </c>
      <c r="R22" s="53">
        <v>834.2</v>
      </c>
      <c r="S22" s="53">
        <v>0</v>
      </c>
      <c r="T22" s="54"/>
      <c r="U22" s="53"/>
      <c r="V22" s="53">
        <v>842.12</v>
      </c>
      <c r="W22" s="53">
        <v>842.12</v>
      </c>
      <c r="X22" s="53">
        <v>0</v>
      </c>
      <c r="Y22" s="54"/>
    </row>
    <row r="23" spans="1:25" x14ac:dyDescent="0.2">
      <c r="A23" s="50" t="s">
        <v>126</v>
      </c>
      <c r="B23" s="51" t="s">
        <v>109</v>
      </c>
      <c r="C23" s="51"/>
      <c r="D23" s="52">
        <v>39092</v>
      </c>
      <c r="E23" s="51" t="s">
        <v>123</v>
      </c>
      <c r="F23" s="53"/>
      <c r="G23" s="53">
        <v>783.84</v>
      </c>
      <c r="H23" s="53">
        <v>783.84</v>
      </c>
      <c r="I23" s="53">
        <v>0</v>
      </c>
      <c r="J23" s="54"/>
      <c r="K23" s="53"/>
      <c r="L23" s="53">
        <v>797.7</v>
      </c>
      <c r="M23" s="53">
        <v>797.7</v>
      </c>
      <c r="N23" s="53">
        <v>0</v>
      </c>
      <c r="O23" s="54"/>
      <c r="P23" s="53"/>
      <c r="Q23" s="53">
        <v>809.26</v>
      </c>
      <c r="R23" s="53">
        <v>809.26</v>
      </c>
      <c r="S23" s="53">
        <v>0</v>
      </c>
      <c r="T23" s="54"/>
      <c r="U23" s="53"/>
      <c r="V23" s="53">
        <v>816.94</v>
      </c>
      <c r="W23" s="53">
        <v>816.94</v>
      </c>
      <c r="X23" s="53">
        <v>0</v>
      </c>
      <c r="Y23" s="54"/>
    </row>
    <row r="24" spans="1:25" x14ac:dyDescent="0.2">
      <c r="A24" s="50" t="s">
        <v>127</v>
      </c>
      <c r="B24" s="51" t="s">
        <v>65</v>
      </c>
      <c r="C24" s="51" t="s">
        <v>117</v>
      </c>
      <c r="D24" s="52">
        <v>21309</v>
      </c>
      <c r="E24" s="51" t="s">
        <v>96</v>
      </c>
      <c r="F24" s="53">
        <v>3798.42</v>
      </c>
      <c r="G24" s="53">
        <v>1899.21</v>
      </c>
      <c r="H24" s="53">
        <v>1899.21</v>
      </c>
      <c r="I24" s="53">
        <v>0</v>
      </c>
      <c r="J24" s="54">
        <v>0</v>
      </c>
      <c r="K24" s="53">
        <v>3865.56</v>
      </c>
      <c r="L24" s="53">
        <v>1932.78</v>
      </c>
      <c r="M24" s="53">
        <v>1932.78</v>
      </c>
      <c r="N24" s="53">
        <v>0</v>
      </c>
      <c r="O24" s="54">
        <v>0</v>
      </c>
      <c r="P24" s="53">
        <v>3921.58</v>
      </c>
      <c r="Q24" s="53">
        <v>1960.79</v>
      </c>
      <c r="R24" s="53">
        <v>1960.79</v>
      </c>
      <c r="S24" s="53">
        <v>0</v>
      </c>
      <c r="T24" s="54">
        <v>0</v>
      </c>
      <c r="U24" s="53">
        <v>3958.84</v>
      </c>
      <c r="V24" s="53">
        <v>1979.42</v>
      </c>
      <c r="W24" s="53">
        <v>1979.42</v>
      </c>
      <c r="X24" s="53">
        <v>0</v>
      </c>
      <c r="Y24" s="54">
        <v>0</v>
      </c>
    </row>
    <row r="25" spans="1:25" x14ac:dyDescent="0.2">
      <c r="A25" s="50" t="s">
        <v>128</v>
      </c>
      <c r="B25" s="51" t="s">
        <v>107</v>
      </c>
      <c r="C25" s="51"/>
      <c r="D25" s="52">
        <v>23570</v>
      </c>
      <c r="E25" s="51" t="s">
        <v>96</v>
      </c>
      <c r="F25" s="53"/>
      <c r="G25" s="53">
        <v>1899.21</v>
      </c>
      <c r="H25" s="53">
        <v>1899.21</v>
      </c>
      <c r="I25" s="53">
        <v>0</v>
      </c>
      <c r="J25" s="54"/>
      <c r="K25" s="53"/>
      <c r="L25" s="53">
        <v>1932.78</v>
      </c>
      <c r="M25" s="53">
        <v>1932.78</v>
      </c>
      <c r="N25" s="53">
        <v>0</v>
      </c>
      <c r="O25" s="54"/>
      <c r="P25" s="53"/>
      <c r="Q25" s="53">
        <v>1960.79</v>
      </c>
      <c r="R25" s="53">
        <v>1960.79</v>
      </c>
      <c r="S25" s="53">
        <v>0</v>
      </c>
      <c r="T25" s="54"/>
      <c r="U25" s="53"/>
      <c r="V25" s="53">
        <v>1979.42</v>
      </c>
      <c r="W25" s="53">
        <v>1979.42</v>
      </c>
      <c r="X25" s="53">
        <v>0</v>
      </c>
      <c r="Y25" s="54"/>
    </row>
    <row r="26" spans="1:25" x14ac:dyDescent="0.2">
      <c r="A26" s="50" t="s">
        <v>129</v>
      </c>
      <c r="B26" s="51" t="s">
        <v>65</v>
      </c>
      <c r="C26" s="51" t="s">
        <v>65</v>
      </c>
      <c r="D26" s="52">
        <v>24147</v>
      </c>
      <c r="E26" s="51" t="s">
        <v>113</v>
      </c>
      <c r="F26" s="53">
        <v>1899.21</v>
      </c>
      <c r="G26" s="53">
        <v>1899.21</v>
      </c>
      <c r="H26" s="53">
        <v>1899.21</v>
      </c>
      <c r="I26" s="53">
        <v>0</v>
      </c>
      <c r="J26" s="54">
        <v>0</v>
      </c>
      <c r="K26" s="53">
        <v>1932.78</v>
      </c>
      <c r="L26" s="53">
        <v>1932.78</v>
      </c>
      <c r="M26" s="53">
        <v>1932.78</v>
      </c>
      <c r="N26" s="53">
        <v>0</v>
      </c>
      <c r="O26" s="54">
        <v>0</v>
      </c>
      <c r="P26" s="53">
        <v>1960.79</v>
      </c>
      <c r="Q26" s="53">
        <v>1960.79</v>
      </c>
      <c r="R26" s="53">
        <v>1960.79</v>
      </c>
      <c r="S26" s="53">
        <v>0</v>
      </c>
      <c r="T26" s="54">
        <v>0</v>
      </c>
      <c r="U26" s="53">
        <v>1979.42</v>
      </c>
      <c r="V26" s="53">
        <v>1979.42</v>
      </c>
      <c r="W26" s="53">
        <v>1979.42</v>
      </c>
      <c r="X26" s="53">
        <v>0</v>
      </c>
      <c r="Y26" s="54">
        <v>0</v>
      </c>
    </row>
    <row r="27" spans="1:25" x14ac:dyDescent="0.2">
      <c r="A27" s="50" t="s">
        <v>130</v>
      </c>
      <c r="B27" s="51" t="s">
        <v>65</v>
      </c>
      <c r="C27" s="51" t="s">
        <v>65</v>
      </c>
      <c r="D27" s="52">
        <v>25210</v>
      </c>
      <c r="E27" s="51" t="s">
        <v>131</v>
      </c>
      <c r="F27" s="53">
        <v>1784.26</v>
      </c>
      <c r="G27" s="53">
        <v>1784.26</v>
      </c>
      <c r="H27" s="53">
        <v>1784.26</v>
      </c>
      <c r="I27" s="53">
        <v>0</v>
      </c>
      <c r="J27" s="54">
        <v>0</v>
      </c>
      <c r="K27" s="53">
        <v>1815.8</v>
      </c>
      <c r="L27" s="53">
        <v>1815.8</v>
      </c>
      <c r="M27" s="53">
        <v>1815.8</v>
      </c>
      <c r="N27" s="53">
        <v>0</v>
      </c>
      <c r="O27" s="54">
        <v>0</v>
      </c>
      <c r="P27" s="53">
        <v>1842.11</v>
      </c>
      <c r="Q27" s="53">
        <v>1842.11</v>
      </c>
      <c r="R27" s="53">
        <v>1842.11</v>
      </c>
      <c r="S27" s="53">
        <v>0</v>
      </c>
      <c r="T27" s="54">
        <v>0</v>
      </c>
      <c r="U27" s="53">
        <v>1859.61</v>
      </c>
      <c r="V27" s="53">
        <v>1859.61</v>
      </c>
      <c r="W27" s="53">
        <v>1859.61</v>
      </c>
      <c r="X27" s="53">
        <v>0</v>
      </c>
      <c r="Y27" s="54">
        <v>0</v>
      </c>
    </row>
    <row r="28" spans="1:25" x14ac:dyDescent="0.2">
      <c r="A28" s="50" t="s">
        <v>132</v>
      </c>
      <c r="B28" s="51" t="s">
        <v>65</v>
      </c>
      <c r="C28" s="51" t="s">
        <v>65</v>
      </c>
      <c r="D28" s="52">
        <v>35103</v>
      </c>
      <c r="E28" s="51" t="s">
        <v>113</v>
      </c>
      <c r="F28" s="53">
        <v>1072.05</v>
      </c>
      <c r="G28" s="53">
        <v>1072.05</v>
      </c>
      <c r="H28" s="53">
        <v>1072.05</v>
      </c>
      <c r="I28" s="53">
        <v>0</v>
      </c>
      <c r="J28" s="54">
        <v>0</v>
      </c>
      <c r="K28" s="53">
        <v>1091</v>
      </c>
      <c r="L28" s="53">
        <v>1091</v>
      </c>
      <c r="M28" s="53">
        <v>1091</v>
      </c>
      <c r="N28" s="53">
        <v>0</v>
      </c>
      <c r="O28" s="54">
        <v>0</v>
      </c>
      <c r="P28" s="53">
        <v>1106.81</v>
      </c>
      <c r="Q28" s="53">
        <v>1106.81</v>
      </c>
      <c r="R28" s="53">
        <v>1106.81</v>
      </c>
      <c r="S28" s="53">
        <v>0</v>
      </c>
      <c r="T28" s="54">
        <v>0</v>
      </c>
      <c r="U28" s="53">
        <v>1117.33</v>
      </c>
      <c r="V28" s="53">
        <v>1117.33</v>
      </c>
      <c r="W28" s="53">
        <v>1117.33</v>
      </c>
      <c r="X28" s="53">
        <v>0</v>
      </c>
      <c r="Y28" s="54">
        <v>0</v>
      </c>
    </row>
    <row r="29" spans="1:25" x14ac:dyDescent="0.2">
      <c r="A29" s="50" t="s">
        <v>133</v>
      </c>
      <c r="B29" s="51" t="s">
        <v>65</v>
      </c>
      <c r="C29" s="51" t="s">
        <v>117</v>
      </c>
      <c r="D29" s="52">
        <v>27399</v>
      </c>
      <c r="E29" s="51" t="s">
        <v>113</v>
      </c>
      <c r="F29" s="53">
        <v>2751.35</v>
      </c>
      <c r="G29" s="53">
        <v>1492.71</v>
      </c>
      <c r="H29" s="53">
        <v>1492.71</v>
      </c>
      <c r="I29" s="53">
        <v>0</v>
      </c>
      <c r="J29" s="54">
        <v>0</v>
      </c>
      <c r="K29" s="53">
        <v>2799.99</v>
      </c>
      <c r="L29" s="53">
        <v>1519.1</v>
      </c>
      <c r="M29" s="53">
        <v>1519.1</v>
      </c>
      <c r="N29" s="53">
        <v>0</v>
      </c>
      <c r="O29" s="54">
        <v>0</v>
      </c>
      <c r="P29" s="53">
        <v>2840.56</v>
      </c>
      <c r="Q29" s="53">
        <v>1541.11</v>
      </c>
      <c r="R29" s="53">
        <v>1541.11</v>
      </c>
      <c r="S29" s="53">
        <v>0</v>
      </c>
      <c r="T29" s="54">
        <v>0</v>
      </c>
      <c r="U29" s="53">
        <v>2867.55</v>
      </c>
      <c r="V29" s="53">
        <v>1555.75</v>
      </c>
      <c r="W29" s="53">
        <v>1555.75</v>
      </c>
      <c r="X29" s="53">
        <v>0</v>
      </c>
      <c r="Y29" s="54">
        <v>0</v>
      </c>
    </row>
    <row r="30" spans="1:25" x14ac:dyDescent="0.2">
      <c r="A30" s="50" t="s">
        <v>134</v>
      </c>
      <c r="B30" s="51" t="s">
        <v>107</v>
      </c>
      <c r="C30" s="51"/>
      <c r="D30" s="52">
        <v>29502</v>
      </c>
      <c r="E30" s="51" t="s">
        <v>113</v>
      </c>
      <c r="F30" s="53"/>
      <c r="G30" s="53">
        <v>1258.6400000000001</v>
      </c>
      <c r="H30" s="53">
        <v>1258.6400000000001</v>
      </c>
      <c r="I30" s="53">
        <v>0</v>
      </c>
      <c r="J30" s="54"/>
      <c r="K30" s="53"/>
      <c r="L30" s="53">
        <v>1280.8900000000001</v>
      </c>
      <c r="M30" s="53">
        <v>1280.8900000000001</v>
      </c>
      <c r="N30" s="53">
        <v>0</v>
      </c>
      <c r="O30" s="54"/>
      <c r="P30" s="53"/>
      <c r="Q30" s="53">
        <v>1299.45</v>
      </c>
      <c r="R30" s="53">
        <v>1299.45</v>
      </c>
      <c r="S30" s="53">
        <v>0</v>
      </c>
      <c r="T30" s="54"/>
      <c r="U30" s="53"/>
      <c r="V30" s="53">
        <v>1311.8</v>
      </c>
      <c r="W30" s="53">
        <v>1311.8</v>
      </c>
      <c r="X30" s="53">
        <v>0</v>
      </c>
      <c r="Y30" s="54"/>
    </row>
    <row r="31" spans="1:25" x14ac:dyDescent="0.2">
      <c r="A31" s="50" t="s">
        <v>135</v>
      </c>
      <c r="B31" s="51" t="s">
        <v>65</v>
      </c>
      <c r="C31" s="51" t="s">
        <v>104</v>
      </c>
      <c r="D31" s="52">
        <v>24592</v>
      </c>
      <c r="E31" s="51" t="s">
        <v>111</v>
      </c>
      <c r="F31" s="53">
        <v>4839.6499999999996</v>
      </c>
      <c r="G31" s="53">
        <v>1899.21</v>
      </c>
      <c r="H31" s="53">
        <v>1899.21</v>
      </c>
      <c r="I31" s="53">
        <v>0</v>
      </c>
      <c r="J31" s="54">
        <v>0</v>
      </c>
      <c r="K31" s="53">
        <v>4925.2</v>
      </c>
      <c r="L31" s="53">
        <v>1932.78</v>
      </c>
      <c r="M31" s="53">
        <v>1932.78</v>
      </c>
      <c r="N31" s="53">
        <v>0</v>
      </c>
      <c r="O31" s="54">
        <v>0</v>
      </c>
      <c r="P31" s="53">
        <v>4996.57</v>
      </c>
      <c r="Q31" s="53">
        <v>1960.79</v>
      </c>
      <c r="R31" s="53">
        <v>1960.79</v>
      </c>
      <c r="S31" s="53">
        <v>0</v>
      </c>
      <c r="T31" s="54">
        <v>0</v>
      </c>
      <c r="U31" s="53">
        <v>5044.05</v>
      </c>
      <c r="V31" s="53">
        <v>1979.42</v>
      </c>
      <c r="W31" s="53">
        <v>1979.42</v>
      </c>
      <c r="X31" s="53">
        <v>0</v>
      </c>
      <c r="Y31" s="54">
        <v>0</v>
      </c>
    </row>
    <row r="32" spans="1:25" x14ac:dyDescent="0.2">
      <c r="A32" s="50" t="s">
        <v>136</v>
      </c>
      <c r="B32" s="51" t="s">
        <v>107</v>
      </c>
      <c r="C32" s="51"/>
      <c r="D32" s="52">
        <v>22616</v>
      </c>
      <c r="E32" s="51" t="s">
        <v>111</v>
      </c>
      <c r="F32" s="53"/>
      <c r="G32" s="53">
        <v>1899.21</v>
      </c>
      <c r="H32" s="53">
        <v>1899.21</v>
      </c>
      <c r="I32" s="53">
        <v>0</v>
      </c>
      <c r="J32" s="54"/>
      <c r="K32" s="53"/>
      <c r="L32" s="53">
        <v>1932.78</v>
      </c>
      <c r="M32" s="53">
        <v>1932.78</v>
      </c>
      <c r="N32" s="53">
        <v>0</v>
      </c>
      <c r="O32" s="54"/>
      <c r="P32" s="53"/>
      <c r="Q32" s="53">
        <v>1960.79</v>
      </c>
      <c r="R32" s="53">
        <v>1960.79</v>
      </c>
      <c r="S32" s="53">
        <v>0</v>
      </c>
      <c r="T32" s="54"/>
      <c r="U32" s="53"/>
      <c r="V32" s="53">
        <v>1979.42</v>
      </c>
      <c r="W32" s="53">
        <v>1979.42</v>
      </c>
      <c r="X32" s="53">
        <v>0</v>
      </c>
      <c r="Y32" s="54"/>
    </row>
    <row r="33" spans="1:25" x14ac:dyDescent="0.2">
      <c r="A33" s="50" t="s">
        <v>137</v>
      </c>
      <c r="B33" s="51" t="s">
        <v>109</v>
      </c>
      <c r="C33" s="51"/>
      <c r="D33" s="52">
        <v>37842</v>
      </c>
      <c r="E33" s="51" t="s">
        <v>111</v>
      </c>
      <c r="F33" s="53"/>
      <c r="G33" s="53">
        <v>1041.23</v>
      </c>
      <c r="H33" s="53">
        <v>1041.23</v>
      </c>
      <c r="I33" s="53">
        <v>0</v>
      </c>
      <c r="J33" s="54"/>
      <c r="K33" s="53"/>
      <c r="L33" s="53">
        <v>1059.6400000000001</v>
      </c>
      <c r="M33" s="53">
        <v>1059.6400000000001</v>
      </c>
      <c r="N33" s="53">
        <v>0</v>
      </c>
      <c r="O33" s="54"/>
      <c r="P33" s="53"/>
      <c r="Q33" s="53">
        <v>1074.99</v>
      </c>
      <c r="R33" s="53">
        <v>1074.99</v>
      </c>
      <c r="S33" s="53">
        <v>0</v>
      </c>
      <c r="T33" s="54"/>
      <c r="U33" s="53"/>
      <c r="V33" s="53">
        <v>1085.21</v>
      </c>
      <c r="W33" s="53">
        <v>1085.21</v>
      </c>
      <c r="X33" s="53">
        <v>0</v>
      </c>
      <c r="Y33" s="54"/>
    </row>
    <row r="34" spans="1:25" x14ac:dyDescent="0.2">
      <c r="A34" s="50" t="s">
        <v>138</v>
      </c>
      <c r="B34" s="51" t="s">
        <v>65</v>
      </c>
      <c r="C34" s="51" t="s">
        <v>65</v>
      </c>
      <c r="D34" s="52">
        <v>35401</v>
      </c>
      <c r="E34" s="51" t="s">
        <v>113</v>
      </c>
      <c r="F34" s="53">
        <v>1062.06</v>
      </c>
      <c r="G34" s="53">
        <v>1062.06</v>
      </c>
      <c r="H34" s="53">
        <v>1062.06</v>
      </c>
      <c r="I34" s="53">
        <v>0</v>
      </c>
      <c r="J34" s="54">
        <v>0</v>
      </c>
      <c r="K34" s="53">
        <v>1080.83</v>
      </c>
      <c r="L34" s="53">
        <v>1080.83</v>
      </c>
      <c r="M34" s="53">
        <v>1080.83</v>
      </c>
      <c r="N34" s="53">
        <v>0</v>
      </c>
      <c r="O34" s="54">
        <v>0</v>
      </c>
      <c r="P34" s="53">
        <v>1096.49</v>
      </c>
      <c r="Q34" s="53">
        <v>1096.49</v>
      </c>
      <c r="R34" s="53">
        <v>1096.49</v>
      </c>
      <c r="S34" s="53">
        <v>0</v>
      </c>
      <c r="T34" s="54">
        <v>0</v>
      </c>
      <c r="U34" s="53">
        <v>1106.9100000000001</v>
      </c>
      <c r="V34" s="53">
        <v>1106.9100000000001</v>
      </c>
      <c r="W34" s="53">
        <v>1106.9100000000001</v>
      </c>
      <c r="X34" s="53">
        <v>0</v>
      </c>
      <c r="Y34" s="54">
        <v>0</v>
      </c>
    </row>
    <row r="35" spans="1:25" x14ac:dyDescent="0.2">
      <c r="A35" s="50" t="s">
        <v>139</v>
      </c>
      <c r="B35" s="51" t="s">
        <v>65</v>
      </c>
      <c r="C35" s="51" t="s">
        <v>65</v>
      </c>
      <c r="D35" s="52">
        <v>35453</v>
      </c>
      <c r="E35" s="51" t="s">
        <v>113</v>
      </c>
      <c r="F35" s="53">
        <v>1062.06</v>
      </c>
      <c r="G35" s="53">
        <v>1062.06</v>
      </c>
      <c r="H35" s="53">
        <v>1062.06</v>
      </c>
      <c r="I35" s="53">
        <v>0</v>
      </c>
      <c r="J35" s="54">
        <v>0</v>
      </c>
      <c r="K35" s="53">
        <v>1080.83</v>
      </c>
      <c r="L35" s="53">
        <v>1080.83</v>
      </c>
      <c r="M35" s="53">
        <v>1080.83</v>
      </c>
      <c r="N35" s="53">
        <v>0</v>
      </c>
      <c r="O35" s="54">
        <v>0</v>
      </c>
      <c r="P35" s="53">
        <v>1096.49</v>
      </c>
      <c r="Q35" s="53">
        <v>1096.49</v>
      </c>
      <c r="R35" s="53">
        <v>1096.49</v>
      </c>
      <c r="S35" s="53">
        <v>0</v>
      </c>
      <c r="T35" s="54">
        <v>0</v>
      </c>
      <c r="U35" s="53">
        <v>1106.9100000000001</v>
      </c>
      <c r="V35" s="53">
        <v>1106.9100000000001</v>
      </c>
      <c r="W35" s="53">
        <v>1106.9100000000001</v>
      </c>
      <c r="X35" s="53">
        <v>0</v>
      </c>
      <c r="Y35" s="54">
        <v>0</v>
      </c>
    </row>
    <row r="36" spans="1:25" x14ac:dyDescent="0.2">
      <c r="A36" s="50" t="s">
        <v>140</v>
      </c>
      <c r="B36" s="51" t="s">
        <v>65</v>
      </c>
      <c r="C36" s="51" t="s">
        <v>65</v>
      </c>
      <c r="D36" s="52">
        <v>34864</v>
      </c>
      <c r="E36" s="51" t="s">
        <v>118</v>
      </c>
      <c r="F36" s="53">
        <v>1072.05</v>
      </c>
      <c r="G36" s="53">
        <v>1072.05</v>
      </c>
      <c r="H36" s="53">
        <v>1072.05</v>
      </c>
      <c r="I36" s="53">
        <v>0</v>
      </c>
      <c r="J36" s="54">
        <v>0</v>
      </c>
      <c r="K36" s="53">
        <v>1091</v>
      </c>
      <c r="L36" s="53">
        <v>1091</v>
      </c>
      <c r="M36" s="53">
        <v>1091</v>
      </c>
      <c r="N36" s="53">
        <v>0</v>
      </c>
      <c r="O36" s="54">
        <v>0</v>
      </c>
      <c r="P36" s="53">
        <v>1106.81</v>
      </c>
      <c r="Q36" s="53">
        <v>1106.81</v>
      </c>
      <c r="R36" s="53">
        <v>1106.81</v>
      </c>
      <c r="S36" s="53">
        <v>0</v>
      </c>
      <c r="T36" s="54">
        <v>0</v>
      </c>
      <c r="U36" s="53">
        <v>1117.33</v>
      </c>
      <c r="V36" s="53">
        <v>1117.33</v>
      </c>
      <c r="W36" s="53">
        <v>1117.33</v>
      </c>
      <c r="X36" s="53">
        <v>0</v>
      </c>
      <c r="Y36" s="54">
        <v>0</v>
      </c>
    </row>
    <row r="37" spans="1:25" x14ac:dyDescent="0.2">
      <c r="A37" s="50" t="s">
        <v>141</v>
      </c>
      <c r="B37" s="51" t="s">
        <v>65</v>
      </c>
      <c r="C37" s="51" t="s">
        <v>104</v>
      </c>
      <c r="D37" s="52">
        <v>26666</v>
      </c>
      <c r="E37" s="51" t="s">
        <v>118</v>
      </c>
      <c r="F37" s="53">
        <v>4760.5200000000004</v>
      </c>
      <c r="G37" s="53">
        <v>1584.34</v>
      </c>
      <c r="H37" s="53">
        <v>1584.34</v>
      </c>
      <c r="I37" s="53">
        <v>0</v>
      </c>
      <c r="J37" s="54">
        <v>0</v>
      </c>
      <c r="K37" s="53">
        <v>4844.66</v>
      </c>
      <c r="L37" s="53">
        <v>1612.34</v>
      </c>
      <c r="M37" s="53">
        <v>1612.34</v>
      </c>
      <c r="N37" s="53">
        <v>0</v>
      </c>
      <c r="O37" s="54">
        <v>0</v>
      </c>
      <c r="P37" s="53">
        <v>4914.87</v>
      </c>
      <c r="Q37" s="53">
        <v>1635.71</v>
      </c>
      <c r="R37" s="53">
        <v>1635.71</v>
      </c>
      <c r="S37" s="53">
        <v>0</v>
      </c>
      <c r="T37" s="54">
        <v>0</v>
      </c>
      <c r="U37" s="53">
        <v>4961.57</v>
      </c>
      <c r="V37" s="53">
        <v>1651.25</v>
      </c>
      <c r="W37" s="53">
        <v>1651.25</v>
      </c>
      <c r="X37" s="53">
        <v>0</v>
      </c>
      <c r="Y37" s="54">
        <v>0</v>
      </c>
    </row>
    <row r="38" spans="1:25" x14ac:dyDescent="0.2">
      <c r="A38" s="50" t="s">
        <v>142</v>
      </c>
      <c r="B38" s="51" t="s">
        <v>107</v>
      </c>
      <c r="C38" s="51"/>
      <c r="D38" s="52">
        <v>28717</v>
      </c>
      <c r="E38" s="51" t="s">
        <v>118</v>
      </c>
      <c r="F38" s="53"/>
      <c r="G38" s="53">
        <v>1326.95</v>
      </c>
      <c r="H38" s="53">
        <v>1326.95</v>
      </c>
      <c r="I38" s="53">
        <v>0</v>
      </c>
      <c r="J38" s="54"/>
      <c r="K38" s="53"/>
      <c r="L38" s="53">
        <v>1350.4</v>
      </c>
      <c r="M38" s="53">
        <v>1350.4</v>
      </c>
      <c r="N38" s="53">
        <v>0</v>
      </c>
      <c r="O38" s="54"/>
      <c r="P38" s="53"/>
      <c r="Q38" s="53">
        <v>1369.97</v>
      </c>
      <c r="R38" s="53">
        <v>1369.97</v>
      </c>
      <c r="S38" s="53">
        <v>0</v>
      </c>
      <c r="T38" s="54"/>
      <c r="U38" s="53"/>
      <c r="V38" s="53">
        <v>1382.99</v>
      </c>
      <c r="W38" s="53">
        <v>1382.99</v>
      </c>
      <c r="X38" s="53">
        <v>0</v>
      </c>
      <c r="Y38" s="54"/>
    </row>
    <row r="39" spans="1:25" x14ac:dyDescent="0.2">
      <c r="A39" s="50" t="s">
        <v>143</v>
      </c>
      <c r="B39" s="51" t="s">
        <v>109</v>
      </c>
      <c r="C39" s="51"/>
      <c r="D39" s="52">
        <v>37384</v>
      </c>
      <c r="E39" s="51" t="s">
        <v>118</v>
      </c>
      <c r="F39" s="53"/>
      <c r="G39" s="53">
        <v>1041.23</v>
      </c>
      <c r="H39" s="53">
        <v>1041.23</v>
      </c>
      <c r="I39" s="53">
        <v>0</v>
      </c>
      <c r="J39" s="54"/>
      <c r="K39" s="53"/>
      <c r="L39" s="53">
        <v>1059.6400000000001</v>
      </c>
      <c r="M39" s="53">
        <v>1059.6400000000001</v>
      </c>
      <c r="N39" s="53">
        <v>0</v>
      </c>
      <c r="O39" s="54"/>
      <c r="P39" s="53"/>
      <c r="Q39" s="53">
        <v>1074.99</v>
      </c>
      <c r="R39" s="53">
        <v>1074.99</v>
      </c>
      <c r="S39" s="53">
        <v>0</v>
      </c>
      <c r="T39" s="54"/>
      <c r="U39" s="53"/>
      <c r="V39" s="53">
        <v>1085.21</v>
      </c>
      <c r="W39" s="53">
        <v>1085.21</v>
      </c>
      <c r="X39" s="53">
        <v>0</v>
      </c>
      <c r="Y39" s="54"/>
    </row>
    <row r="40" spans="1:25" x14ac:dyDescent="0.2">
      <c r="A40" s="50" t="s">
        <v>144</v>
      </c>
      <c r="B40" s="51" t="s">
        <v>109</v>
      </c>
      <c r="C40" s="51"/>
      <c r="D40" s="52">
        <v>38688</v>
      </c>
      <c r="E40" s="51" t="s">
        <v>118</v>
      </c>
      <c r="F40" s="53"/>
      <c r="G40" s="53">
        <v>808</v>
      </c>
      <c r="H40" s="53">
        <v>808</v>
      </c>
      <c r="I40" s="53">
        <v>0</v>
      </c>
      <c r="J40" s="54"/>
      <c r="K40" s="53"/>
      <c r="L40" s="53">
        <v>822.28</v>
      </c>
      <c r="M40" s="53">
        <v>822.28</v>
      </c>
      <c r="N40" s="53">
        <v>0</v>
      </c>
      <c r="O40" s="54"/>
      <c r="P40" s="53"/>
      <c r="Q40" s="53">
        <v>834.2</v>
      </c>
      <c r="R40" s="53">
        <v>834.2</v>
      </c>
      <c r="S40" s="53">
        <v>0</v>
      </c>
      <c r="T40" s="54"/>
      <c r="U40" s="53"/>
      <c r="V40" s="53">
        <v>842.12</v>
      </c>
      <c r="W40" s="53">
        <v>842.12</v>
      </c>
      <c r="X40" s="53">
        <v>0</v>
      </c>
      <c r="Y40" s="54"/>
    </row>
    <row r="41" spans="1:25" x14ac:dyDescent="0.2">
      <c r="A41" s="50" t="s">
        <v>145</v>
      </c>
      <c r="B41" s="51" t="s">
        <v>65</v>
      </c>
      <c r="C41" s="51" t="s">
        <v>65</v>
      </c>
      <c r="D41" s="52">
        <v>36146</v>
      </c>
      <c r="E41" s="51" t="s">
        <v>111</v>
      </c>
      <c r="F41" s="53">
        <v>1041.23</v>
      </c>
      <c r="G41" s="53">
        <v>1041.23</v>
      </c>
      <c r="H41" s="53">
        <v>1041.23</v>
      </c>
      <c r="I41" s="53">
        <v>0</v>
      </c>
      <c r="J41" s="54">
        <v>0</v>
      </c>
      <c r="K41" s="53">
        <v>1059.6400000000001</v>
      </c>
      <c r="L41" s="53">
        <v>1059.6400000000001</v>
      </c>
      <c r="M41" s="53">
        <v>1059.6400000000001</v>
      </c>
      <c r="N41" s="53">
        <v>0</v>
      </c>
      <c r="O41" s="54">
        <v>0</v>
      </c>
      <c r="P41" s="53">
        <v>1074.99</v>
      </c>
      <c r="Q41" s="53">
        <v>1074.99</v>
      </c>
      <c r="R41" s="53">
        <v>1074.99</v>
      </c>
      <c r="S41" s="53">
        <v>0</v>
      </c>
      <c r="T41" s="54">
        <v>0</v>
      </c>
      <c r="U41" s="53">
        <v>1085.21</v>
      </c>
      <c r="V41" s="53">
        <v>1085.21</v>
      </c>
      <c r="W41" s="53">
        <v>1085.21</v>
      </c>
      <c r="X41" s="53">
        <v>0</v>
      </c>
      <c r="Y41" s="54">
        <v>0</v>
      </c>
    </row>
    <row r="42" spans="1:25" x14ac:dyDescent="0.2">
      <c r="A42" s="50" t="s">
        <v>146</v>
      </c>
      <c r="B42" s="51" t="s">
        <v>65</v>
      </c>
      <c r="C42" s="51" t="s">
        <v>65</v>
      </c>
      <c r="D42" s="52">
        <v>35249</v>
      </c>
      <c r="E42" s="51" t="s">
        <v>147</v>
      </c>
      <c r="F42" s="53">
        <v>1062.06</v>
      </c>
      <c r="G42" s="53">
        <v>1062.06</v>
      </c>
      <c r="H42" s="53">
        <v>1062.06</v>
      </c>
      <c r="I42" s="53">
        <v>0</v>
      </c>
      <c r="J42" s="54">
        <v>0</v>
      </c>
      <c r="K42" s="53">
        <v>1080.83</v>
      </c>
      <c r="L42" s="53">
        <v>1080.83</v>
      </c>
      <c r="M42" s="53">
        <v>1080.83</v>
      </c>
      <c r="N42" s="53">
        <v>0</v>
      </c>
      <c r="O42" s="54">
        <v>0</v>
      </c>
      <c r="P42" s="53">
        <v>1096.49</v>
      </c>
      <c r="Q42" s="53">
        <v>1096.49</v>
      </c>
      <c r="R42" s="53">
        <v>1096.49</v>
      </c>
      <c r="S42" s="53">
        <v>0</v>
      </c>
      <c r="T42" s="54">
        <v>0</v>
      </c>
      <c r="U42" s="53">
        <v>1106.9100000000001</v>
      </c>
      <c r="V42" s="53">
        <v>1106.9100000000001</v>
      </c>
      <c r="W42" s="53">
        <v>1106.9100000000001</v>
      </c>
      <c r="X42" s="53">
        <v>0</v>
      </c>
      <c r="Y42" s="54">
        <v>0</v>
      </c>
    </row>
    <row r="43" spans="1:25" ht="16.149999999999999" customHeight="1" x14ac:dyDescent="0.2">
      <c r="A43" s="226" t="s">
        <v>81</v>
      </c>
      <c r="B43" s="227"/>
      <c r="C43" s="227"/>
      <c r="D43" s="227"/>
      <c r="E43" s="227"/>
      <c r="F43" s="211" t="s">
        <v>203</v>
      </c>
      <c r="G43" s="212"/>
      <c r="H43" s="212"/>
      <c r="I43" s="212"/>
      <c r="J43" s="213"/>
      <c r="K43" s="211" t="s">
        <v>205</v>
      </c>
      <c r="L43" s="212"/>
      <c r="M43" s="212"/>
      <c r="N43" s="212"/>
      <c r="O43" s="213"/>
      <c r="P43" s="211" t="s">
        <v>207</v>
      </c>
      <c r="Q43" s="212"/>
      <c r="R43" s="212"/>
      <c r="S43" s="212"/>
      <c r="T43" s="213"/>
      <c r="U43" s="211" t="s">
        <v>209</v>
      </c>
      <c r="V43" s="212"/>
      <c r="W43" s="212"/>
      <c r="X43" s="212"/>
      <c r="Y43" s="213"/>
    </row>
    <row r="44" spans="1:25" ht="13.9" customHeight="1" x14ac:dyDescent="0.2">
      <c r="A44" s="228" t="s">
        <v>82</v>
      </c>
      <c r="B44" s="229"/>
      <c r="C44" s="229"/>
      <c r="D44" s="229"/>
      <c r="E44" s="229"/>
      <c r="F44" s="214">
        <v>20507.29</v>
      </c>
      <c r="G44" s="215"/>
      <c r="H44" s="215"/>
      <c r="I44" s="215"/>
      <c r="J44" s="216"/>
      <c r="K44" s="214">
        <v>20869.78</v>
      </c>
      <c r="L44" s="215"/>
      <c r="M44" s="215"/>
      <c r="N44" s="215"/>
      <c r="O44" s="216"/>
      <c r="P44" s="214">
        <v>21172.19</v>
      </c>
      <c r="Q44" s="215"/>
      <c r="R44" s="215"/>
      <c r="S44" s="215"/>
      <c r="T44" s="216"/>
      <c r="U44" s="214">
        <v>21373.38</v>
      </c>
      <c r="V44" s="215"/>
      <c r="W44" s="215"/>
      <c r="X44" s="215"/>
      <c r="Y44" s="216"/>
    </row>
    <row r="45" spans="1:25" ht="13.9" customHeight="1" x14ac:dyDescent="0.2">
      <c r="A45" s="230" t="s">
        <v>83</v>
      </c>
      <c r="B45" s="231"/>
      <c r="C45" s="231"/>
      <c r="D45" s="231"/>
      <c r="E45" s="231"/>
      <c r="F45" s="208">
        <f>F44*12</f>
        <v>246087.48</v>
      </c>
      <c r="G45" s="209"/>
      <c r="H45" s="209"/>
      <c r="I45" s="209"/>
      <c r="J45" s="210"/>
      <c r="K45" s="208">
        <f>K44*12</f>
        <v>250437.36</v>
      </c>
      <c r="L45" s="209"/>
      <c r="M45" s="209"/>
      <c r="N45" s="209"/>
      <c r="O45" s="210"/>
      <c r="P45" s="208">
        <f>P44*12</f>
        <v>254066.27999999997</v>
      </c>
      <c r="Q45" s="209"/>
      <c r="R45" s="209"/>
      <c r="S45" s="209"/>
      <c r="T45" s="210"/>
      <c r="U45" s="208">
        <f>U44*12</f>
        <v>256480.56</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C00-000000000000}"/>
    <hyperlink ref="F46" r:id="rId2" xr:uid="{00000000-0004-0000-5C00-000001000000}"/>
    <hyperlink ref="K7" r:id="rId3" xr:uid="{00000000-0004-0000-5C00-000002000000}"/>
    <hyperlink ref="K46" r:id="rId4" xr:uid="{00000000-0004-0000-5C00-000003000000}"/>
    <hyperlink ref="P7" r:id="rId5" xr:uid="{00000000-0004-0000-5C00-000004000000}"/>
    <hyperlink ref="P46" r:id="rId6" xr:uid="{00000000-0004-0000-5C00-000005000000}"/>
    <hyperlink ref="U7" r:id="rId7" xr:uid="{00000000-0004-0000-5C00-000006000000}"/>
    <hyperlink ref="U46" r:id="rId8" xr:uid="{00000000-0004-0000-5C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C414-5A13-48BE-BEEE-C5708C5ECD41}">
  <sheetPr>
    <pageSetUpPr fitToPage="1"/>
  </sheetPr>
  <dimension ref="A1:Y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10" width="10.25" style="29" customWidth="1" collapsed="1"/>
    <col min="11" max="11" width="10.75" style="29" customWidth="1" collapsed="1"/>
    <col min="12" max="15" width="10.25" style="29" customWidth="1" collapsed="1"/>
    <col min="16" max="16" width="10.75" style="29" customWidth="1" collapsed="1"/>
    <col min="17" max="20" width="10.25" style="29" customWidth="1" collapsed="1"/>
    <col min="21" max="21" width="10.75" style="29" customWidth="1" collapsed="1"/>
    <col min="22" max="35" width="10.25" style="29" customWidth="1" collapsed="1"/>
    <col min="36" max="16384" width="8.75" style="29" collapsed="1"/>
  </cols>
  <sheetData>
    <row r="1" spans="1:25" ht="4.9000000000000004" customHeight="1" x14ac:dyDescent="0.2">
      <c r="A1" s="35" t="s">
        <v>56</v>
      </c>
      <c r="B1" s="35"/>
      <c r="C1" s="35"/>
      <c r="D1" s="35"/>
      <c r="E1" s="35"/>
      <c r="F1" s="35"/>
      <c r="G1" s="35"/>
      <c r="H1" s="35"/>
      <c r="I1" s="35"/>
      <c r="J1" s="35"/>
      <c r="K1" s="35"/>
      <c r="L1" s="35"/>
      <c r="M1" s="35"/>
      <c r="N1" s="35"/>
      <c r="O1" s="35"/>
      <c r="P1" s="35"/>
      <c r="Q1" s="35"/>
      <c r="R1" s="35"/>
      <c r="S1" s="35"/>
      <c r="T1" s="35"/>
      <c r="U1" s="35"/>
      <c r="V1" s="35"/>
      <c r="W1" s="35"/>
      <c r="X1" s="35"/>
      <c r="Y1" s="35"/>
    </row>
    <row r="2" spans="1:25" s="30" customFormat="1" ht="31.15" customHeight="1" x14ac:dyDescent="0.25">
      <c r="A2" s="238" t="str">
        <f>group_name</f>
        <v>Tuckerton Lumber Company</v>
      </c>
      <c r="B2" s="239"/>
      <c r="C2" s="239"/>
      <c r="D2" s="239"/>
      <c r="E2" s="239"/>
      <c r="F2" s="239"/>
      <c r="G2" s="239"/>
      <c r="H2" s="239"/>
      <c r="I2" s="239"/>
      <c r="J2" s="240"/>
      <c r="K2" s="239"/>
      <c r="L2" s="239"/>
      <c r="M2" s="239"/>
      <c r="N2" s="239"/>
      <c r="O2" s="240"/>
      <c r="P2" s="239"/>
      <c r="Q2" s="239"/>
      <c r="R2" s="239"/>
      <c r="S2" s="239"/>
      <c r="T2" s="240"/>
      <c r="U2" s="239"/>
      <c r="V2" s="239"/>
      <c r="W2" s="239"/>
      <c r="X2" s="239"/>
      <c r="Y2" s="240"/>
    </row>
    <row r="3" spans="1:25" s="30" customFormat="1" ht="31.15" customHeight="1" x14ac:dyDescent="0.25">
      <c r="A3" s="241" t="s">
        <v>34</v>
      </c>
      <c r="B3" s="242"/>
      <c r="C3" s="242"/>
      <c r="D3" s="242"/>
      <c r="E3" s="242"/>
      <c r="F3" s="242"/>
      <c r="G3" s="242"/>
      <c r="H3" s="242"/>
      <c r="I3" s="242"/>
      <c r="J3" s="243"/>
      <c r="K3" s="242"/>
      <c r="L3" s="242"/>
      <c r="M3" s="242"/>
      <c r="N3" s="242"/>
      <c r="O3" s="243"/>
      <c r="P3" s="242"/>
      <c r="Q3" s="242"/>
      <c r="R3" s="242"/>
      <c r="S3" s="242"/>
      <c r="T3" s="243"/>
      <c r="U3" s="242"/>
      <c r="V3" s="242"/>
      <c r="W3" s="242"/>
      <c r="X3" s="242"/>
      <c r="Y3" s="243"/>
    </row>
    <row r="4" spans="1:25" s="2" customFormat="1" ht="31.15" customHeight="1" x14ac:dyDescent="0.25">
      <c r="A4" s="244" t="str">
        <f>"Effective Date: "&amp;TEXT(effective_date,"MM/DD/YYYY")</f>
        <v>Effective Date: 06/01/2026</v>
      </c>
      <c r="B4" s="245"/>
      <c r="C4" s="245"/>
      <c r="D4" s="245"/>
      <c r="E4" s="245"/>
      <c r="F4" s="245"/>
      <c r="G4" s="245"/>
      <c r="H4" s="245"/>
      <c r="I4" s="245"/>
      <c r="J4" s="246"/>
      <c r="K4" s="245"/>
      <c r="L4" s="245"/>
      <c r="M4" s="245"/>
      <c r="N4" s="245"/>
      <c r="O4" s="246"/>
      <c r="P4" s="245"/>
      <c r="Q4" s="245"/>
      <c r="R4" s="245"/>
      <c r="S4" s="245"/>
      <c r="T4" s="246"/>
      <c r="U4" s="245"/>
      <c r="V4" s="245"/>
      <c r="W4" s="245"/>
      <c r="X4" s="245"/>
      <c r="Y4" s="246"/>
    </row>
    <row r="5" spans="1:25" ht="19.899999999999999" customHeight="1" x14ac:dyDescent="0.2">
      <c r="A5" s="247" t="s">
        <v>57</v>
      </c>
      <c r="B5" s="248"/>
      <c r="C5" s="248"/>
      <c r="D5" s="248"/>
      <c r="E5" s="248"/>
      <c r="F5" s="117" t="s">
        <v>167</v>
      </c>
      <c r="G5" s="118"/>
      <c r="H5" s="118"/>
      <c r="I5" s="118"/>
      <c r="J5" s="120"/>
      <c r="K5" s="117" t="s">
        <v>167</v>
      </c>
      <c r="L5" s="118"/>
      <c r="M5" s="118"/>
      <c r="N5" s="118"/>
      <c r="O5" s="120"/>
      <c r="P5" s="117" t="s">
        <v>172</v>
      </c>
      <c r="Q5" s="118"/>
      <c r="R5" s="118"/>
      <c r="S5" s="118"/>
      <c r="T5" s="120"/>
      <c r="U5" s="117" t="s">
        <v>167</v>
      </c>
      <c r="V5" s="118"/>
      <c r="W5" s="118"/>
      <c r="X5" s="118"/>
      <c r="Y5" s="120"/>
    </row>
    <row r="6" spans="1:25" x14ac:dyDescent="0.2">
      <c r="A6" s="247"/>
      <c r="B6" s="248"/>
      <c r="C6" s="248"/>
      <c r="D6" s="248"/>
      <c r="E6" s="248"/>
      <c r="F6" s="121" t="s">
        <v>210</v>
      </c>
      <c r="G6" s="122"/>
      <c r="H6" s="122"/>
      <c r="I6" s="122"/>
      <c r="J6" s="124"/>
      <c r="K6" s="121" t="s">
        <v>212</v>
      </c>
      <c r="L6" s="122"/>
      <c r="M6" s="122"/>
      <c r="N6" s="122"/>
      <c r="O6" s="124"/>
      <c r="P6" s="121" t="s">
        <v>214</v>
      </c>
      <c r="Q6" s="122"/>
      <c r="R6" s="122"/>
      <c r="S6" s="122"/>
      <c r="T6" s="124"/>
      <c r="U6" s="121" t="s">
        <v>216</v>
      </c>
      <c r="V6" s="122"/>
      <c r="W6" s="122"/>
      <c r="X6" s="122"/>
      <c r="Y6" s="124"/>
    </row>
    <row r="7" spans="1:25" ht="19.899999999999999" customHeight="1" x14ac:dyDescent="0.2">
      <c r="A7" s="247"/>
      <c r="B7" s="248"/>
      <c r="C7" s="248"/>
      <c r="D7" s="248"/>
      <c r="E7" s="248"/>
      <c r="F7" s="235" t="s">
        <v>58</v>
      </c>
      <c r="G7" s="236"/>
      <c r="H7" s="236"/>
      <c r="I7" s="236"/>
      <c r="J7" s="237"/>
      <c r="K7" s="235" t="s">
        <v>58</v>
      </c>
      <c r="L7" s="236"/>
      <c r="M7" s="236"/>
      <c r="N7" s="236"/>
      <c r="O7" s="237"/>
      <c r="P7" s="235" t="s">
        <v>58</v>
      </c>
      <c r="Q7" s="236"/>
      <c r="R7" s="236"/>
      <c r="S7" s="236"/>
      <c r="T7" s="237"/>
      <c r="U7" s="235" t="s">
        <v>58</v>
      </c>
      <c r="V7" s="236"/>
      <c r="W7" s="236"/>
      <c r="X7" s="236"/>
      <c r="Y7" s="237"/>
    </row>
    <row r="8" spans="1:25" ht="16.149999999999999" customHeight="1" x14ac:dyDescent="0.2">
      <c r="A8" s="43"/>
      <c r="B8" s="44"/>
      <c r="C8" s="44"/>
      <c r="D8" s="44"/>
      <c r="E8" s="44"/>
      <c r="F8" s="232" t="s">
        <v>211</v>
      </c>
      <c r="G8" s="233"/>
      <c r="H8" s="233"/>
      <c r="I8" s="233"/>
      <c r="J8" s="234"/>
      <c r="K8" s="232" t="s">
        <v>213</v>
      </c>
      <c r="L8" s="233"/>
      <c r="M8" s="233"/>
      <c r="N8" s="233"/>
      <c r="O8" s="234"/>
      <c r="P8" s="232" t="s">
        <v>215</v>
      </c>
      <c r="Q8" s="233"/>
      <c r="R8" s="233"/>
      <c r="S8" s="233"/>
      <c r="T8" s="234"/>
      <c r="U8" s="232" t="s">
        <v>217</v>
      </c>
      <c r="V8" s="233"/>
      <c r="W8" s="233"/>
      <c r="X8" s="233"/>
      <c r="Y8" s="234"/>
    </row>
    <row r="9" spans="1:25" ht="34.15" customHeight="1" x14ac:dyDescent="0.2">
      <c r="A9" s="41" t="s">
        <v>59</v>
      </c>
      <c r="B9" s="31" t="s">
        <v>60</v>
      </c>
      <c r="C9" s="31" t="s">
        <v>61</v>
      </c>
      <c r="D9" s="31" t="s">
        <v>62</v>
      </c>
      <c r="E9" s="31" t="s">
        <v>63</v>
      </c>
      <c r="F9" s="32" t="s">
        <v>68</v>
      </c>
      <c r="G9" s="33" t="s">
        <v>32</v>
      </c>
      <c r="H9" s="33" t="s">
        <v>64</v>
      </c>
      <c r="I9" s="33" t="s">
        <v>65</v>
      </c>
      <c r="J9" s="42" t="s">
        <v>66</v>
      </c>
      <c r="K9" s="32" t="s">
        <v>68</v>
      </c>
      <c r="L9" s="33" t="s">
        <v>32</v>
      </c>
      <c r="M9" s="33" t="s">
        <v>64</v>
      </c>
      <c r="N9" s="33" t="s">
        <v>65</v>
      </c>
      <c r="O9" s="42" t="s">
        <v>66</v>
      </c>
      <c r="P9" s="32" t="s">
        <v>68</v>
      </c>
      <c r="Q9" s="33" t="s">
        <v>32</v>
      </c>
      <c r="R9" s="33" t="s">
        <v>64</v>
      </c>
      <c r="S9" s="33" t="s">
        <v>65</v>
      </c>
      <c r="T9" s="42" t="s">
        <v>66</v>
      </c>
      <c r="U9" s="32" t="s">
        <v>68</v>
      </c>
      <c r="V9" s="33" t="s">
        <v>32</v>
      </c>
      <c r="W9" s="33" t="s">
        <v>64</v>
      </c>
      <c r="X9" s="33" t="s">
        <v>65</v>
      </c>
      <c r="Y9" s="42" t="s">
        <v>66</v>
      </c>
    </row>
    <row r="10" spans="1:25" x14ac:dyDescent="0.2">
      <c r="A10" s="50" t="s">
        <v>103</v>
      </c>
      <c r="B10" s="51" t="s">
        <v>65</v>
      </c>
      <c r="C10" s="51" t="s">
        <v>104</v>
      </c>
      <c r="D10" s="52">
        <v>21325</v>
      </c>
      <c r="E10" s="51" t="s">
        <v>105</v>
      </c>
      <c r="F10" s="53">
        <v>4706.37</v>
      </c>
      <c r="G10" s="53">
        <v>2149.98</v>
      </c>
      <c r="H10" s="53">
        <v>2149.98</v>
      </c>
      <c r="I10" s="53">
        <v>0</v>
      </c>
      <c r="J10" s="54">
        <v>0</v>
      </c>
      <c r="K10" s="53">
        <v>4751.0600000000004</v>
      </c>
      <c r="L10" s="53">
        <v>2170.39</v>
      </c>
      <c r="M10" s="53">
        <v>2170.39</v>
      </c>
      <c r="N10" s="53">
        <v>0</v>
      </c>
      <c r="O10" s="54">
        <v>0</v>
      </c>
      <c r="P10" s="53">
        <v>4781.75</v>
      </c>
      <c r="Q10" s="53">
        <v>2184.41</v>
      </c>
      <c r="R10" s="53">
        <v>2184.41</v>
      </c>
      <c r="S10" s="53">
        <v>0</v>
      </c>
      <c r="T10" s="54">
        <v>0</v>
      </c>
      <c r="U10" s="53">
        <v>5192.1499999999996</v>
      </c>
      <c r="V10" s="53">
        <v>2371.89</v>
      </c>
      <c r="W10" s="53">
        <v>2371.89</v>
      </c>
      <c r="X10" s="53">
        <v>0</v>
      </c>
      <c r="Y10" s="54">
        <v>0</v>
      </c>
    </row>
    <row r="11" spans="1:25" x14ac:dyDescent="0.2">
      <c r="A11" s="50" t="s">
        <v>106</v>
      </c>
      <c r="B11" s="51" t="s">
        <v>107</v>
      </c>
      <c r="C11" s="51"/>
      <c r="D11" s="52">
        <v>27837</v>
      </c>
      <c r="E11" s="51" t="s">
        <v>105</v>
      </c>
      <c r="F11" s="53"/>
      <c r="G11" s="53">
        <v>1641.71</v>
      </c>
      <c r="H11" s="53">
        <v>1641.71</v>
      </c>
      <c r="I11" s="53">
        <v>0</v>
      </c>
      <c r="J11" s="54"/>
      <c r="K11" s="53"/>
      <c r="L11" s="53">
        <v>1657.3</v>
      </c>
      <c r="M11" s="53">
        <v>1657.3</v>
      </c>
      <c r="N11" s="53">
        <v>0</v>
      </c>
      <c r="O11" s="54"/>
      <c r="P11" s="53"/>
      <c r="Q11" s="53">
        <v>1668.01</v>
      </c>
      <c r="R11" s="53">
        <v>1668.01</v>
      </c>
      <c r="S11" s="53">
        <v>0</v>
      </c>
      <c r="T11" s="54"/>
      <c r="U11" s="53"/>
      <c r="V11" s="53">
        <v>1811.17</v>
      </c>
      <c r="W11" s="53">
        <v>1811.17</v>
      </c>
      <c r="X11" s="53">
        <v>0</v>
      </c>
      <c r="Y11" s="54"/>
    </row>
    <row r="12" spans="1:25" x14ac:dyDescent="0.2">
      <c r="A12" s="50" t="s">
        <v>108</v>
      </c>
      <c r="B12" s="51" t="s">
        <v>109</v>
      </c>
      <c r="C12" s="51"/>
      <c r="D12" s="52">
        <v>38648</v>
      </c>
      <c r="E12" s="51" t="s">
        <v>105</v>
      </c>
      <c r="F12" s="53"/>
      <c r="G12" s="53">
        <v>914.68</v>
      </c>
      <c r="H12" s="53">
        <v>914.68</v>
      </c>
      <c r="I12" s="53">
        <v>0</v>
      </c>
      <c r="J12" s="54"/>
      <c r="K12" s="53"/>
      <c r="L12" s="53">
        <v>923.37</v>
      </c>
      <c r="M12" s="53">
        <v>923.37</v>
      </c>
      <c r="N12" s="53">
        <v>0</v>
      </c>
      <c r="O12" s="54"/>
      <c r="P12" s="53"/>
      <c r="Q12" s="53">
        <v>929.33</v>
      </c>
      <c r="R12" s="53">
        <v>929.33</v>
      </c>
      <c r="S12" s="53">
        <v>0</v>
      </c>
      <c r="T12" s="54"/>
      <c r="U12" s="53"/>
      <c r="V12" s="53">
        <v>1009.09</v>
      </c>
      <c r="W12" s="53">
        <v>1009.09</v>
      </c>
      <c r="X12" s="53">
        <v>0</v>
      </c>
      <c r="Y12" s="54"/>
    </row>
    <row r="13" spans="1:25" x14ac:dyDescent="0.2">
      <c r="A13" s="50" t="s">
        <v>110</v>
      </c>
      <c r="B13" s="51" t="s">
        <v>65</v>
      </c>
      <c r="C13" s="51" t="s">
        <v>65</v>
      </c>
      <c r="D13" s="52">
        <v>36345</v>
      </c>
      <c r="E13" s="51" t="s">
        <v>111</v>
      </c>
      <c r="F13" s="53">
        <v>1178.71</v>
      </c>
      <c r="G13" s="53">
        <v>1178.71</v>
      </c>
      <c r="H13" s="53">
        <v>1178.71</v>
      </c>
      <c r="I13" s="53">
        <v>0</v>
      </c>
      <c r="J13" s="54">
        <v>0</v>
      </c>
      <c r="K13" s="53">
        <v>1189.9100000000001</v>
      </c>
      <c r="L13" s="53">
        <v>1189.9100000000001</v>
      </c>
      <c r="M13" s="53">
        <v>1189.9100000000001</v>
      </c>
      <c r="N13" s="53">
        <v>0</v>
      </c>
      <c r="O13" s="54">
        <v>0</v>
      </c>
      <c r="P13" s="53">
        <v>1197.5899999999999</v>
      </c>
      <c r="Q13" s="53">
        <v>1197.5899999999999</v>
      </c>
      <c r="R13" s="53">
        <v>1197.5899999999999</v>
      </c>
      <c r="S13" s="53">
        <v>0</v>
      </c>
      <c r="T13" s="54">
        <v>0</v>
      </c>
      <c r="U13" s="53">
        <v>1300.3800000000001</v>
      </c>
      <c r="V13" s="53">
        <v>1300.3800000000001</v>
      </c>
      <c r="W13" s="53">
        <v>1300.3800000000001</v>
      </c>
      <c r="X13" s="53">
        <v>0</v>
      </c>
      <c r="Y13" s="54">
        <v>0</v>
      </c>
    </row>
    <row r="14" spans="1:25" x14ac:dyDescent="0.2">
      <c r="A14" s="50" t="s">
        <v>112</v>
      </c>
      <c r="B14" s="51" t="s">
        <v>65</v>
      </c>
      <c r="C14" s="51" t="s">
        <v>104</v>
      </c>
      <c r="D14" s="52">
        <v>24895</v>
      </c>
      <c r="E14" s="51" t="s">
        <v>113</v>
      </c>
      <c r="F14" s="53">
        <v>5144.8599999999997</v>
      </c>
      <c r="G14" s="53">
        <v>2080.1999999999998</v>
      </c>
      <c r="H14" s="53">
        <v>2080.1999999999998</v>
      </c>
      <c r="I14" s="53">
        <v>0</v>
      </c>
      <c r="J14" s="54">
        <v>0</v>
      </c>
      <c r="K14" s="53">
        <v>5193.7</v>
      </c>
      <c r="L14" s="53">
        <v>2099.94</v>
      </c>
      <c r="M14" s="53">
        <v>2099.94</v>
      </c>
      <c r="N14" s="53">
        <v>0</v>
      </c>
      <c r="O14" s="54">
        <v>0</v>
      </c>
      <c r="P14" s="53">
        <v>5227.25</v>
      </c>
      <c r="Q14" s="53">
        <v>2113.5100000000002</v>
      </c>
      <c r="R14" s="53">
        <v>2113.5100000000002</v>
      </c>
      <c r="S14" s="53">
        <v>0</v>
      </c>
      <c r="T14" s="54">
        <v>0</v>
      </c>
      <c r="U14" s="53">
        <v>5675.89</v>
      </c>
      <c r="V14" s="53">
        <v>2294.91</v>
      </c>
      <c r="W14" s="53">
        <v>2294.91</v>
      </c>
      <c r="X14" s="53">
        <v>0</v>
      </c>
      <c r="Y14" s="54">
        <v>0</v>
      </c>
    </row>
    <row r="15" spans="1:25" x14ac:dyDescent="0.2">
      <c r="A15" s="50" t="s">
        <v>114</v>
      </c>
      <c r="B15" s="51" t="s">
        <v>107</v>
      </c>
      <c r="C15" s="51"/>
      <c r="D15" s="52">
        <v>24269</v>
      </c>
      <c r="E15" s="51" t="s">
        <v>113</v>
      </c>
      <c r="F15" s="53"/>
      <c r="G15" s="53">
        <v>2149.98</v>
      </c>
      <c r="H15" s="53">
        <v>2149.98</v>
      </c>
      <c r="I15" s="53">
        <v>0</v>
      </c>
      <c r="J15" s="54"/>
      <c r="K15" s="53"/>
      <c r="L15" s="53">
        <v>2170.39</v>
      </c>
      <c r="M15" s="53">
        <v>2170.39</v>
      </c>
      <c r="N15" s="53">
        <v>0</v>
      </c>
      <c r="O15" s="54"/>
      <c r="P15" s="53"/>
      <c r="Q15" s="53">
        <v>2184.41</v>
      </c>
      <c r="R15" s="53">
        <v>2184.41</v>
      </c>
      <c r="S15" s="53">
        <v>0</v>
      </c>
      <c r="T15" s="54"/>
      <c r="U15" s="53"/>
      <c r="V15" s="53">
        <v>2371.89</v>
      </c>
      <c r="W15" s="53">
        <v>2371.89</v>
      </c>
      <c r="X15" s="53">
        <v>0</v>
      </c>
      <c r="Y15" s="54"/>
    </row>
    <row r="16" spans="1:25" x14ac:dyDescent="0.2">
      <c r="A16" s="50" t="s">
        <v>115</v>
      </c>
      <c r="B16" s="51" t="s">
        <v>109</v>
      </c>
      <c r="C16" s="51"/>
      <c r="D16" s="52">
        <v>38614</v>
      </c>
      <c r="E16" s="51" t="s">
        <v>113</v>
      </c>
      <c r="F16" s="53"/>
      <c r="G16" s="53">
        <v>914.68</v>
      </c>
      <c r="H16" s="53">
        <v>914.68</v>
      </c>
      <c r="I16" s="53">
        <v>0</v>
      </c>
      <c r="J16" s="54"/>
      <c r="K16" s="53"/>
      <c r="L16" s="53">
        <v>923.37</v>
      </c>
      <c r="M16" s="53">
        <v>923.37</v>
      </c>
      <c r="N16" s="53">
        <v>0</v>
      </c>
      <c r="O16" s="54"/>
      <c r="P16" s="53"/>
      <c r="Q16" s="53">
        <v>929.33</v>
      </c>
      <c r="R16" s="53">
        <v>929.33</v>
      </c>
      <c r="S16" s="53">
        <v>0</v>
      </c>
      <c r="T16" s="54"/>
      <c r="U16" s="53"/>
      <c r="V16" s="53">
        <v>1009.09</v>
      </c>
      <c r="W16" s="53">
        <v>1009.09</v>
      </c>
      <c r="X16" s="53">
        <v>0</v>
      </c>
      <c r="Y16" s="54"/>
    </row>
    <row r="17" spans="1:25" x14ac:dyDescent="0.2">
      <c r="A17" s="50" t="s">
        <v>116</v>
      </c>
      <c r="B17" s="51" t="s">
        <v>65</v>
      </c>
      <c r="C17" s="51" t="s">
        <v>117</v>
      </c>
      <c r="D17" s="52">
        <v>18453</v>
      </c>
      <c r="E17" s="51" t="s">
        <v>118</v>
      </c>
      <c r="F17" s="53">
        <v>4299.96</v>
      </c>
      <c r="G17" s="53">
        <v>2149.98</v>
      </c>
      <c r="H17" s="53">
        <v>2149.98</v>
      </c>
      <c r="I17" s="53">
        <v>0</v>
      </c>
      <c r="J17" s="54">
        <v>0</v>
      </c>
      <c r="K17" s="53">
        <v>4340.78</v>
      </c>
      <c r="L17" s="53">
        <v>2170.39</v>
      </c>
      <c r="M17" s="53">
        <v>2170.39</v>
      </c>
      <c r="N17" s="53">
        <v>0</v>
      </c>
      <c r="O17" s="54">
        <v>0</v>
      </c>
      <c r="P17" s="53">
        <v>4368.82</v>
      </c>
      <c r="Q17" s="53">
        <v>2184.41</v>
      </c>
      <c r="R17" s="53">
        <v>2184.41</v>
      </c>
      <c r="S17" s="53">
        <v>0</v>
      </c>
      <c r="T17" s="54">
        <v>0</v>
      </c>
      <c r="U17" s="53">
        <v>4743.78</v>
      </c>
      <c r="V17" s="53">
        <v>2371.89</v>
      </c>
      <c r="W17" s="53">
        <v>2371.89</v>
      </c>
      <c r="X17" s="53">
        <v>0</v>
      </c>
      <c r="Y17" s="54">
        <v>0</v>
      </c>
    </row>
    <row r="18" spans="1:25" x14ac:dyDescent="0.2">
      <c r="A18" s="50" t="s">
        <v>119</v>
      </c>
      <c r="B18" s="51" t="s">
        <v>107</v>
      </c>
      <c r="C18" s="51"/>
      <c r="D18" s="52">
        <v>19761</v>
      </c>
      <c r="E18" s="51" t="s">
        <v>118</v>
      </c>
      <c r="F18" s="53"/>
      <c r="G18" s="53">
        <v>2149.98</v>
      </c>
      <c r="H18" s="53">
        <v>2149.98</v>
      </c>
      <c r="I18" s="53">
        <v>0</v>
      </c>
      <c r="J18" s="54"/>
      <c r="K18" s="53"/>
      <c r="L18" s="53">
        <v>2170.39</v>
      </c>
      <c r="M18" s="53">
        <v>2170.39</v>
      </c>
      <c r="N18" s="53">
        <v>0</v>
      </c>
      <c r="O18" s="54"/>
      <c r="P18" s="53"/>
      <c r="Q18" s="53">
        <v>2184.41</v>
      </c>
      <c r="R18" s="53">
        <v>2184.41</v>
      </c>
      <c r="S18" s="53">
        <v>0</v>
      </c>
      <c r="T18" s="54"/>
      <c r="U18" s="53"/>
      <c r="V18" s="53">
        <v>2371.89</v>
      </c>
      <c r="W18" s="53">
        <v>2371.89</v>
      </c>
      <c r="X18" s="53">
        <v>0</v>
      </c>
      <c r="Y18" s="54"/>
    </row>
    <row r="19" spans="1:25" x14ac:dyDescent="0.2">
      <c r="A19" s="50" t="s">
        <v>120</v>
      </c>
      <c r="B19" s="51" t="s">
        <v>65</v>
      </c>
      <c r="C19" s="51" t="s">
        <v>65</v>
      </c>
      <c r="D19" s="52">
        <v>35733</v>
      </c>
      <c r="E19" s="51" t="s">
        <v>121</v>
      </c>
      <c r="F19" s="53">
        <v>1178.71</v>
      </c>
      <c r="G19" s="53">
        <v>1178.71</v>
      </c>
      <c r="H19" s="53">
        <v>1178.71</v>
      </c>
      <c r="I19" s="53">
        <v>0</v>
      </c>
      <c r="J19" s="54">
        <v>0</v>
      </c>
      <c r="K19" s="53">
        <v>1189.9100000000001</v>
      </c>
      <c r="L19" s="53">
        <v>1189.9100000000001</v>
      </c>
      <c r="M19" s="53">
        <v>1189.9100000000001</v>
      </c>
      <c r="N19" s="53">
        <v>0</v>
      </c>
      <c r="O19" s="54">
        <v>0</v>
      </c>
      <c r="P19" s="53">
        <v>1197.5899999999999</v>
      </c>
      <c r="Q19" s="53">
        <v>1197.5899999999999</v>
      </c>
      <c r="R19" s="53">
        <v>1197.5899999999999</v>
      </c>
      <c r="S19" s="53">
        <v>0</v>
      </c>
      <c r="T19" s="54">
        <v>0</v>
      </c>
      <c r="U19" s="53">
        <v>1300.3800000000001</v>
      </c>
      <c r="V19" s="53">
        <v>1300.3800000000001</v>
      </c>
      <c r="W19" s="53">
        <v>1300.3800000000001</v>
      </c>
      <c r="X19" s="53">
        <v>0</v>
      </c>
      <c r="Y19" s="54">
        <v>0</v>
      </c>
    </row>
    <row r="20" spans="1:25" x14ac:dyDescent="0.2">
      <c r="A20" s="50" t="s">
        <v>122</v>
      </c>
      <c r="B20" s="51" t="s">
        <v>65</v>
      </c>
      <c r="C20" s="51" t="s">
        <v>104</v>
      </c>
      <c r="D20" s="52">
        <v>24958</v>
      </c>
      <c r="E20" s="51" t="s">
        <v>123</v>
      </c>
      <c r="F20" s="53">
        <v>5902.07</v>
      </c>
      <c r="G20" s="53">
        <v>2080.1999999999998</v>
      </c>
      <c r="H20" s="53">
        <v>2080.1999999999998</v>
      </c>
      <c r="I20" s="53">
        <v>0</v>
      </c>
      <c r="J20" s="54">
        <v>0</v>
      </c>
      <c r="K20" s="53">
        <v>5958.09</v>
      </c>
      <c r="L20" s="53">
        <v>2099.94</v>
      </c>
      <c r="M20" s="53">
        <v>2099.94</v>
      </c>
      <c r="N20" s="53">
        <v>0</v>
      </c>
      <c r="O20" s="54">
        <v>0</v>
      </c>
      <c r="P20" s="53">
        <v>5996.59</v>
      </c>
      <c r="Q20" s="53">
        <v>2113.5100000000002</v>
      </c>
      <c r="R20" s="53">
        <v>2113.5100000000002</v>
      </c>
      <c r="S20" s="53">
        <v>0</v>
      </c>
      <c r="T20" s="54">
        <v>0</v>
      </c>
      <c r="U20" s="53">
        <v>6511.26</v>
      </c>
      <c r="V20" s="53">
        <v>2294.91</v>
      </c>
      <c r="W20" s="53">
        <v>2294.91</v>
      </c>
      <c r="X20" s="53">
        <v>0</v>
      </c>
      <c r="Y20" s="54">
        <v>0</v>
      </c>
    </row>
    <row r="21" spans="1:25" x14ac:dyDescent="0.2">
      <c r="A21" s="50" t="s">
        <v>124</v>
      </c>
      <c r="B21" s="51" t="s">
        <v>107</v>
      </c>
      <c r="C21" s="51"/>
      <c r="D21" s="52">
        <v>25342</v>
      </c>
      <c r="E21" s="51" t="s">
        <v>123</v>
      </c>
      <c r="F21" s="53"/>
      <c r="G21" s="53">
        <v>2019.85</v>
      </c>
      <c r="H21" s="53">
        <v>2019.85</v>
      </c>
      <c r="I21" s="53">
        <v>0</v>
      </c>
      <c r="J21" s="54"/>
      <c r="K21" s="53"/>
      <c r="L21" s="53">
        <v>2039.02</v>
      </c>
      <c r="M21" s="53">
        <v>2039.02</v>
      </c>
      <c r="N21" s="53">
        <v>0</v>
      </c>
      <c r="O21" s="54"/>
      <c r="P21" s="53"/>
      <c r="Q21" s="53">
        <v>2052.1999999999998</v>
      </c>
      <c r="R21" s="53">
        <v>2052.1999999999998</v>
      </c>
      <c r="S21" s="53">
        <v>0</v>
      </c>
      <c r="T21" s="54"/>
      <c r="U21" s="53"/>
      <c r="V21" s="53">
        <v>2228.33</v>
      </c>
      <c r="W21" s="53">
        <v>2228.33</v>
      </c>
      <c r="X21" s="53">
        <v>0</v>
      </c>
      <c r="Y21" s="54"/>
    </row>
    <row r="22" spans="1:25" x14ac:dyDescent="0.2">
      <c r="A22" s="50" t="s">
        <v>125</v>
      </c>
      <c r="B22" s="51" t="s">
        <v>109</v>
      </c>
      <c r="C22" s="51"/>
      <c r="D22" s="52">
        <v>38632</v>
      </c>
      <c r="E22" s="51" t="s">
        <v>123</v>
      </c>
      <c r="F22" s="53"/>
      <c r="G22" s="53">
        <v>914.68</v>
      </c>
      <c r="H22" s="53">
        <v>914.68</v>
      </c>
      <c r="I22" s="53">
        <v>0</v>
      </c>
      <c r="J22" s="54"/>
      <c r="K22" s="53"/>
      <c r="L22" s="53">
        <v>923.37</v>
      </c>
      <c r="M22" s="53">
        <v>923.37</v>
      </c>
      <c r="N22" s="53">
        <v>0</v>
      </c>
      <c r="O22" s="54"/>
      <c r="P22" s="53"/>
      <c r="Q22" s="53">
        <v>929.33</v>
      </c>
      <c r="R22" s="53">
        <v>929.33</v>
      </c>
      <c r="S22" s="53">
        <v>0</v>
      </c>
      <c r="T22" s="54"/>
      <c r="U22" s="53"/>
      <c r="V22" s="53">
        <v>1009.09</v>
      </c>
      <c r="W22" s="53">
        <v>1009.09</v>
      </c>
      <c r="X22" s="53">
        <v>0</v>
      </c>
      <c r="Y22" s="54"/>
    </row>
    <row r="23" spans="1:25" x14ac:dyDescent="0.2">
      <c r="A23" s="50" t="s">
        <v>126</v>
      </c>
      <c r="B23" s="51" t="s">
        <v>109</v>
      </c>
      <c r="C23" s="51"/>
      <c r="D23" s="52">
        <v>39092</v>
      </c>
      <c r="E23" s="51" t="s">
        <v>123</v>
      </c>
      <c r="F23" s="53"/>
      <c r="G23" s="53">
        <v>887.34</v>
      </c>
      <c r="H23" s="53">
        <v>887.34</v>
      </c>
      <c r="I23" s="53">
        <v>0</v>
      </c>
      <c r="J23" s="54"/>
      <c r="K23" s="53"/>
      <c r="L23" s="53">
        <v>895.76</v>
      </c>
      <c r="M23" s="53">
        <v>895.76</v>
      </c>
      <c r="N23" s="53">
        <v>0</v>
      </c>
      <c r="O23" s="54"/>
      <c r="P23" s="53"/>
      <c r="Q23" s="53">
        <v>901.55</v>
      </c>
      <c r="R23" s="53">
        <v>901.55</v>
      </c>
      <c r="S23" s="53">
        <v>0</v>
      </c>
      <c r="T23" s="54"/>
      <c r="U23" s="53"/>
      <c r="V23" s="53">
        <v>978.93</v>
      </c>
      <c r="W23" s="53">
        <v>978.93</v>
      </c>
      <c r="X23" s="53">
        <v>0</v>
      </c>
      <c r="Y23" s="54"/>
    </row>
    <row r="24" spans="1:25" x14ac:dyDescent="0.2">
      <c r="A24" s="50" t="s">
        <v>127</v>
      </c>
      <c r="B24" s="51" t="s">
        <v>65</v>
      </c>
      <c r="C24" s="51" t="s">
        <v>117</v>
      </c>
      <c r="D24" s="52">
        <v>21309</v>
      </c>
      <c r="E24" s="51" t="s">
        <v>96</v>
      </c>
      <c r="F24" s="53">
        <v>4299.96</v>
      </c>
      <c r="G24" s="53">
        <v>2149.98</v>
      </c>
      <c r="H24" s="53">
        <v>2149.98</v>
      </c>
      <c r="I24" s="53">
        <v>0</v>
      </c>
      <c r="J24" s="54">
        <v>0</v>
      </c>
      <c r="K24" s="53">
        <v>4340.78</v>
      </c>
      <c r="L24" s="53">
        <v>2170.39</v>
      </c>
      <c r="M24" s="53">
        <v>2170.39</v>
      </c>
      <c r="N24" s="53">
        <v>0</v>
      </c>
      <c r="O24" s="54">
        <v>0</v>
      </c>
      <c r="P24" s="53">
        <v>4368.82</v>
      </c>
      <c r="Q24" s="53">
        <v>2184.41</v>
      </c>
      <c r="R24" s="53">
        <v>2184.41</v>
      </c>
      <c r="S24" s="53">
        <v>0</v>
      </c>
      <c r="T24" s="54">
        <v>0</v>
      </c>
      <c r="U24" s="53">
        <v>4743.78</v>
      </c>
      <c r="V24" s="53">
        <v>2371.89</v>
      </c>
      <c r="W24" s="53">
        <v>2371.89</v>
      </c>
      <c r="X24" s="53">
        <v>0</v>
      </c>
      <c r="Y24" s="54">
        <v>0</v>
      </c>
    </row>
    <row r="25" spans="1:25" x14ac:dyDescent="0.2">
      <c r="A25" s="50" t="s">
        <v>128</v>
      </c>
      <c r="B25" s="51" t="s">
        <v>107</v>
      </c>
      <c r="C25" s="51"/>
      <c r="D25" s="52">
        <v>23570</v>
      </c>
      <c r="E25" s="51" t="s">
        <v>96</v>
      </c>
      <c r="F25" s="53"/>
      <c r="G25" s="53">
        <v>2149.98</v>
      </c>
      <c r="H25" s="53">
        <v>2149.98</v>
      </c>
      <c r="I25" s="53">
        <v>0</v>
      </c>
      <c r="J25" s="54"/>
      <c r="K25" s="53"/>
      <c r="L25" s="53">
        <v>2170.39</v>
      </c>
      <c r="M25" s="53">
        <v>2170.39</v>
      </c>
      <c r="N25" s="53">
        <v>0</v>
      </c>
      <c r="O25" s="54"/>
      <c r="P25" s="53"/>
      <c r="Q25" s="53">
        <v>2184.41</v>
      </c>
      <c r="R25" s="53">
        <v>2184.41</v>
      </c>
      <c r="S25" s="53">
        <v>0</v>
      </c>
      <c r="T25" s="54"/>
      <c r="U25" s="53"/>
      <c r="V25" s="53">
        <v>2371.89</v>
      </c>
      <c r="W25" s="53">
        <v>2371.89</v>
      </c>
      <c r="X25" s="53">
        <v>0</v>
      </c>
      <c r="Y25" s="54"/>
    </row>
    <row r="26" spans="1:25" x14ac:dyDescent="0.2">
      <c r="A26" s="50" t="s">
        <v>129</v>
      </c>
      <c r="B26" s="51" t="s">
        <v>65</v>
      </c>
      <c r="C26" s="51" t="s">
        <v>65</v>
      </c>
      <c r="D26" s="52">
        <v>24147</v>
      </c>
      <c r="E26" s="51" t="s">
        <v>113</v>
      </c>
      <c r="F26" s="53">
        <v>2149.98</v>
      </c>
      <c r="G26" s="53">
        <v>2149.98</v>
      </c>
      <c r="H26" s="53">
        <v>2149.98</v>
      </c>
      <c r="I26" s="53">
        <v>0</v>
      </c>
      <c r="J26" s="54">
        <v>0</v>
      </c>
      <c r="K26" s="53">
        <v>2170.39</v>
      </c>
      <c r="L26" s="53">
        <v>2170.39</v>
      </c>
      <c r="M26" s="53">
        <v>2170.39</v>
      </c>
      <c r="N26" s="53">
        <v>0</v>
      </c>
      <c r="O26" s="54">
        <v>0</v>
      </c>
      <c r="P26" s="53">
        <v>2184.41</v>
      </c>
      <c r="Q26" s="53">
        <v>2184.41</v>
      </c>
      <c r="R26" s="53">
        <v>2184.41</v>
      </c>
      <c r="S26" s="53">
        <v>0</v>
      </c>
      <c r="T26" s="54">
        <v>0</v>
      </c>
      <c r="U26" s="53">
        <v>2371.89</v>
      </c>
      <c r="V26" s="53">
        <v>2371.89</v>
      </c>
      <c r="W26" s="53">
        <v>2371.89</v>
      </c>
      <c r="X26" s="53">
        <v>0</v>
      </c>
      <c r="Y26" s="54">
        <v>0</v>
      </c>
    </row>
    <row r="27" spans="1:25" x14ac:dyDescent="0.2">
      <c r="A27" s="50" t="s">
        <v>130</v>
      </c>
      <c r="B27" s="51" t="s">
        <v>65</v>
      </c>
      <c r="C27" s="51" t="s">
        <v>65</v>
      </c>
      <c r="D27" s="52">
        <v>25210</v>
      </c>
      <c r="E27" s="51" t="s">
        <v>131</v>
      </c>
      <c r="F27" s="53">
        <v>2019.85</v>
      </c>
      <c r="G27" s="53">
        <v>2019.85</v>
      </c>
      <c r="H27" s="53">
        <v>2019.85</v>
      </c>
      <c r="I27" s="53">
        <v>0</v>
      </c>
      <c r="J27" s="54">
        <v>0</v>
      </c>
      <c r="K27" s="53">
        <v>2039.02</v>
      </c>
      <c r="L27" s="53">
        <v>2039.02</v>
      </c>
      <c r="M27" s="53">
        <v>2039.02</v>
      </c>
      <c r="N27" s="53">
        <v>0</v>
      </c>
      <c r="O27" s="54">
        <v>0</v>
      </c>
      <c r="P27" s="53">
        <v>2052.1999999999998</v>
      </c>
      <c r="Q27" s="53">
        <v>2052.1999999999998</v>
      </c>
      <c r="R27" s="53">
        <v>2052.1999999999998</v>
      </c>
      <c r="S27" s="53">
        <v>0</v>
      </c>
      <c r="T27" s="54">
        <v>0</v>
      </c>
      <c r="U27" s="53">
        <v>2228.33</v>
      </c>
      <c r="V27" s="53">
        <v>2228.33</v>
      </c>
      <c r="W27" s="53">
        <v>2228.33</v>
      </c>
      <c r="X27" s="53">
        <v>0</v>
      </c>
      <c r="Y27" s="54">
        <v>0</v>
      </c>
    </row>
    <row r="28" spans="1:25" x14ac:dyDescent="0.2">
      <c r="A28" s="50" t="s">
        <v>132</v>
      </c>
      <c r="B28" s="51" t="s">
        <v>65</v>
      </c>
      <c r="C28" s="51" t="s">
        <v>65</v>
      </c>
      <c r="D28" s="52">
        <v>35103</v>
      </c>
      <c r="E28" s="51" t="s">
        <v>113</v>
      </c>
      <c r="F28" s="53">
        <v>1213.5999999999999</v>
      </c>
      <c r="G28" s="53">
        <v>1213.5999999999999</v>
      </c>
      <c r="H28" s="53">
        <v>1213.5999999999999</v>
      </c>
      <c r="I28" s="53">
        <v>0</v>
      </c>
      <c r="J28" s="54">
        <v>0</v>
      </c>
      <c r="K28" s="53">
        <v>1225.1300000000001</v>
      </c>
      <c r="L28" s="53">
        <v>1225.1300000000001</v>
      </c>
      <c r="M28" s="53">
        <v>1225.1300000000001</v>
      </c>
      <c r="N28" s="53">
        <v>0</v>
      </c>
      <c r="O28" s="54">
        <v>0</v>
      </c>
      <c r="P28" s="53">
        <v>1233.04</v>
      </c>
      <c r="Q28" s="53">
        <v>1233.04</v>
      </c>
      <c r="R28" s="53">
        <v>1233.04</v>
      </c>
      <c r="S28" s="53">
        <v>0</v>
      </c>
      <c r="T28" s="54">
        <v>0</v>
      </c>
      <c r="U28" s="53">
        <v>1338.87</v>
      </c>
      <c r="V28" s="53">
        <v>1338.87</v>
      </c>
      <c r="W28" s="53">
        <v>1338.87</v>
      </c>
      <c r="X28" s="53">
        <v>0</v>
      </c>
      <c r="Y28" s="54">
        <v>0</v>
      </c>
    </row>
    <row r="29" spans="1:25" x14ac:dyDescent="0.2">
      <c r="A29" s="50" t="s">
        <v>133</v>
      </c>
      <c r="B29" s="51" t="s">
        <v>65</v>
      </c>
      <c r="C29" s="51" t="s">
        <v>117</v>
      </c>
      <c r="D29" s="52">
        <v>27399</v>
      </c>
      <c r="E29" s="51" t="s">
        <v>113</v>
      </c>
      <c r="F29" s="53">
        <v>3114.64</v>
      </c>
      <c r="G29" s="53">
        <v>1689.81</v>
      </c>
      <c r="H29" s="53">
        <v>1689.81</v>
      </c>
      <c r="I29" s="53">
        <v>0</v>
      </c>
      <c r="J29" s="54">
        <v>0</v>
      </c>
      <c r="K29" s="53">
        <v>3144.21</v>
      </c>
      <c r="L29" s="53">
        <v>1705.85</v>
      </c>
      <c r="M29" s="53">
        <v>1705.85</v>
      </c>
      <c r="N29" s="53">
        <v>0</v>
      </c>
      <c r="O29" s="54">
        <v>0</v>
      </c>
      <c r="P29" s="53">
        <v>3164.52</v>
      </c>
      <c r="Q29" s="53">
        <v>1716.87</v>
      </c>
      <c r="R29" s="53">
        <v>1716.87</v>
      </c>
      <c r="S29" s="53">
        <v>0</v>
      </c>
      <c r="T29" s="54">
        <v>0</v>
      </c>
      <c r="U29" s="53">
        <v>3436.12</v>
      </c>
      <c r="V29" s="53">
        <v>1864.22</v>
      </c>
      <c r="W29" s="53">
        <v>1864.22</v>
      </c>
      <c r="X29" s="53">
        <v>0</v>
      </c>
      <c r="Y29" s="54">
        <v>0</v>
      </c>
    </row>
    <row r="30" spans="1:25" x14ac:dyDescent="0.2">
      <c r="A30" s="50" t="s">
        <v>134</v>
      </c>
      <c r="B30" s="51" t="s">
        <v>107</v>
      </c>
      <c r="C30" s="51"/>
      <c r="D30" s="52">
        <v>29502</v>
      </c>
      <c r="E30" s="51" t="s">
        <v>113</v>
      </c>
      <c r="F30" s="53"/>
      <c r="G30" s="53">
        <v>1424.83</v>
      </c>
      <c r="H30" s="53">
        <v>1424.83</v>
      </c>
      <c r="I30" s="53">
        <v>0</v>
      </c>
      <c r="J30" s="54"/>
      <c r="K30" s="53"/>
      <c r="L30" s="53">
        <v>1438.36</v>
      </c>
      <c r="M30" s="53">
        <v>1438.36</v>
      </c>
      <c r="N30" s="53">
        <v>0</v>
      </c>
      <c r="O30" s="54"/>
      <c r="P30" s="53"/>
      <c r="Q30" s="53">
        <v>1447.65</v>
      </c>
      <c r="R30" s="53">
        <v>1447.65</v>
      </c>
      <c r="S30" s="53">
        <v>0</v>
      </c>
      <c r="T30" s="54"/>
      <c r="U30" s="53"/>
      <c r="V30" s="53">
        <v>1571.9</v>
      </c>
      <c r="W30" s="53">
        <v>1571.9</v>
      </c>
      <c r="X30" s="53">
        <v>0</v>
      </c>
      <c r="Y30" s="54"/>
    </row>
    <row r="31" spans="1:25" x14ac:dyDescent="0.2">
      <c r="A31" s="50" t="s">
        <v>135</v>
      </c>
      <c r="B31" s="51" t="s">
        <v>65</v>
      </c>
      <c r="C31" s="51" t="s">
        <v>104</v>
      </c>
      <c r="D31" s="52">
        <v>24592</v>
      </c>
      <c r="E31" s="51" t="s">
        <v>111</v>
      </c>
      <c r="F31" s="53">
        <v>5478.67</v>
      </c>
      <c r="G31" s="53">
        <v>2149.98</v>
      </c>
      <c r="H31" s="53">
        <v>2149.98</v>
      </c>
      <c r="I31" s="53">
        <v>0</v>
      </c>
      <c r="J31" s="54">
        <v>0</v>
      </c>
      <c r="K31" s="53">
        <v>5530.69</v>
      </c>
      <c r="L31" s="53">
        <v>2170.39</v>
      </c>
      <c r="M31" s="53">
        <v>2170.39</v>
      </c>
      <c r="N31" s="53">
        <v>0</v>
      </c>
      <c r="O31" s="54">
        <v>0</v>
      </c>
      <c r="P31" s="53">
        <v>5566.41</v>
      </c>
      <c r="Q31" s="53">
        <v>2184.41</v>
      </c>
      <c r="R31" s="53">
        <v>2184.41</v>
      </c>
      <c r="S31" s="53">
        <v>0</v>
      </c>
      <c r="T31" s="54">
        <v>0</v>
      </c>
      <c r="U31" s="53">
        <v>6044.16</v>
      </c>
      <c r="V31" s="53">
        <v>2371.89</v>
      </c>
      <c r="W31" s="53">
        <v>2371.89</v>
      </c>
      <c r="X31" s="53">
        <v>0</v>
      </c>
      <c r="Y31" s="54">
        <v>0</v>
      </c>
    </row>
    <row r="32" spans="1:25" x14ac:dyDescent="0.2">
      <c r="A32" s="50" t="s">
        <v>136</v>
      </c>
      <c r="B32" s="51" t="s">
        <v>107</v>
      </c>
      <c r="C32" s="51"/>
      <c r="D32" s="52">
        <v>22616</v>
      </c>
      <c r="E32" s="51" t="s">
        <v>111</v>
      </c>
      <c r="F32" s="53"/>
      <c r="G32" s="53">
        <v>2149.98</v>
      </c>
      <c r="H32" s="53">
        <v>2149.98</v>
      </c>
      <c r="I32" s="53">
        <v>0</v>
      </c>
      <c r="J32" s="54"/>
      <c r="K32" s="53"/>
      <c r="L32" s="53">
        <v>2170.39</v>
      </c>
      <c r="M32" s="53">
        <v>2170.39</v>
      </c>
      <c r="N32" s="53">
        <v>0</v>
      </c>
      <c r="O32" s="54"/>
      <c r="P32" s="53"/>
      <c r="Q32" s="53">
        <v>2184.41</v>
      </c>
      <c r="R32" s="53">
        <v>2184.41</v>
      </c>
      <c r="S32" s="53">
        <v>0</v>
      </c>
      <c r="T32" s="54"/>
      <c r="U32" s="53"/>
      <c r="V32" s="53">
        <v>2371.89</v>
      </c>
      <c r="W32" s="53">
        <v>2371.89</v>
      </c>
      <c r="X32" s="53">
        <v>0</v>
      </c>
      <c r="Y32" s="54"/>
    </row>
    <row r="33" spans="1:25" x14ac:dyDescent="0.2">
      <c r="A33" s="50" t="s">
        <v>137</v>
      </c>
      <c r="B33" s="51" t="s">
        <v>109</v>
      </c>
      <c r="C33" s="51"/>
      <c r="D33" s="52">
        <v>37842</v>
      </c>
      <c r="E33" s="51" t="s">
        <v>111</v>
      </c>
      <c r="F33" s="53"/>
      <c r="G33" s="53">
        <v>1178.71</v>
      </c>
      <c r="H33" s="53">
        <v>1178.71</v>
      </c>
      <c r="I33" s="53">
        <v>0</v>
      </c>
      <c r="J33" s="54"/>
      <c r="K33" s="53"/>
      <c r="L33" s="53">
        <v>1189.9100000000001</v>
      </c>
      <c r="M33" s="53">
        <v>1189.9100000000001</v>
      </c>
      <c r="N33" s="53">
        <v>0</v>
      </c>
      <c r="O33" s="54"/>
      <c r="P33" s="53"/>
      <c r="Q33" s="53">
        <v>1197.5899999999999</v>
      </c>
      <c r="R33" s="53">
        <v>1197.5899999999999</v>
      </c>
      <c r="S33" s="53">
        <v>0</v>
      </c>
      <c r="T33" s="54"/>
      <c r="U33" s="53"/>
      <c r="V33" s="53">
        <v>1300.3800000000001</v>
      </c>
      <c r="W33" s="53">
        <v>1300.3800000000001</v>
      </c>
      <c r="X33" s="53">
        <v>0</v>
      </c>
      <c r="Y33" s="54"/>
    </row>
    <row r="34" spans="1:25" x14ac:dyDescent="0.2">
      <c r="A34" s="50" t="s">
        <v>138</v>
      </c>
      <c r="B34" s="51" t="s">
        <v>65</v>
      </c>
      <c r="C34" s="51" t="s">
        <v>65</v>
      </c>
      <c r="D34" s="52">
        <v>35401</v>
      </c>
      <c r="E34" s="51" t="s">
        <v>113</v>
      </c>
      <c r="F34" s="53">
        <v>1202.29</v>
      </c>
      <c r="G34" s="53">
        <v>1202.29</v>
      </c>
      <c r="H34" s="53">
        <v>1202.29</v>
      </c>
      <c r="I34" s="53">
        <v>0</v>
      </c>
      <c r="J34" s="54">
        <v>0</v>
      </c>
      <c r="K34" s="53">
        <v>1213.7</v>
      </c>
      <c r="L34" s="53">
        <v>1213.7</v>
      </c>
      <c r="M34" s="53">
        <v>1213.7</v>
      </c>
      <c r="N34" s="53">
        <v>0</v>
      </c>
      <c r="O34" s="54">
        <v>0</v>
      </c>
      <c r="P34" s="53">
        <v>1221.55</v>
      </c>
      <c r="Q34" s="53">
        <v>1221.55</v>
      </c>
      <c r="R34" s="53">
        <v>1221.55</v>
      </c>
      <c r="S34" s="53">
        <v>0</v>
      </c>
      <c r="T34" s="54">
        <v>0</v>
      </c>
      <c r="U34" s="53">
        <v>1326.39</v>
      </c>
      <c r="V34" s="53">
        <v>1326.39</v>
      </c>
      <c r="W34" s="53">
        <v>1326.39</v>
      </c>
      <c r="X34" s="53">
        <v>0</v>
      </c>
      <c r="Y34" s="54">
        <v>0</v>
      </c>
    </row>
    <row r="35" spans="1:25" x14ac:dyDescent="0.2">
      <c r="A35" s="50" t="s">
        <v>139</v>
      </c>
      <c r="B35" s="51" t="s">
        <v>65</v>
      </c>
      <c r="C35" s="51" t="s">
        <v>65</v>
      </c>
      <c r="D35" s="52">
        <v>35453</v>
      </c>
      <c r="E35" s="51" t="s">
        <v>113</v>
      </c>
      <c r="F35" s="53">
        <v>1202.29</v>
      </c>
      <c r="G35" s="53">
        <v>1202.29</v>
      </c>
      <c r="H35" s="53">
        <v>1202.29</v>
      </c>
      <c r="I35" s="53">
        <v>0</v>
      </c>
      <c r="J35" s="54">
        <v>0</v>
      </c>
      <c r="K35" s="53">
        <v>1213.7</v>
      </c>
      <c r="L35" s="53">
        <v>1213.7</v>
      </c>
      <c r="M35" s="53">
        <v>1213.7</v>
      </c>
      <c r="N35" s="53">
        <v>0</v>
      </c>
      <c r="O35" s="54">
        <v>0</v>
      </c>
      <c r="P35" s="53">
        <v>1221.55</v>
      </c>
      <c r="Q35" s="53">
        <v>1221.55</v>
      </c>
      <c r="R35" s="53">
        <v>1221.55</v>
      </c>
      <c r="S35" s="53">
        <v>0</v>
      </c>
      <c r="T35" s="54">
        <v>0</v>
      </c>
      <c r="U35" s="53">
        <v>1326.39</v>
      </c>
      <c r="V35" s="53">
        <v>1326.39</v>
      </c>
      <c r="W35" s="53">
        <v>1326.39</v>
      </c>
      <c r="X35" s="53">
        <v>0</v>
      </c>
      <c r="Y35" s="54">
        <v>0</v>
      </c>
    </row>
    <row r="36" spans="1:25" x14ac:dyDescent="0.2">
      <c r="A36" s="50" t="s">
        <v>140</v>
      </c>
      <c r="B36" s="51" t="s">
        <v>65</v>
      </c>
      <c r="C36" s="51" t="s">
        <v>65</v>
      </c>
      <c r="D36" s="52">
        <v>34864</v>
      </c>
      <c r="E36" s="51" t="s">
        <v>118</v>
      </c>
      <c r="F36" s="53">
        <v>1213.5999999999999</v>
      </c>
      <c r="G36" s="53">
        <v>1213.5999999999999</v>
      </c>
      <c r="H36" s="53">
        <v>1213.5999999999999</v>
      </c>
      <c r="I36" s="53">
        <v>0</v>
      </c>
      <c r="J36" s="54">
        <v>0</v>
      </c>
      <c r="K36" s="53">
        <v>1225.1300000000001</v>
      </c>
      <c r="L36" s="53">
        <v>1225.1300000000001</v>
      </c>
      <c r="M36" s="53">
        <v>1225.1300000000001</v>
      </c>
      <c r="N36" s="53">
        <v>0</v>
      </c>
      <c r="O36" s="54">
        <v>0</v>
      </c>
      <c r="P36" s="53">
        <v>1233.04</v>
      </c>
      <c r="Q36" s="53">
        <v>1233.04</v>
      </c>
      <c r="R36" s="53">
        <v>1233.04</v>
      </c>
      <c r="S36" s="53">
        <v>0</v>
      </c>
      <c r="T36" s="54">
        <v>0</v>
      </c>
      <c r="U36" s="53">
        <v>1338.87</v>
      </c>
      <c r="V36" s="53">
        <v>1338.87</v>
      </c>
      <c r="W36" s="53">
        <v>1338.87</v>
      </c>
      <c r="X36" s="53">
        <v>0</v>
      </c>
      <c r="Y36" s="54">
        <v>0</v>
      </c>
    </row>
    <row r="37" spans="1:25" x14ac:dyDescent="0.2">
      <c r="A37" s="50" t="s">
        <v>141</v>
      </c>
      <c r="B37" s="51" t="s">
        <v>65</v>
      </c>
      <c r="C37" s="51" t="s">
        <v>104</v>
      </c>
      <c r="D37" s="52">
        <v>26666</v>
      </c>
      <c r="E37" s="51" t="s">
        <v>118</v>
      </c>
      <c r="F37" s="53">
        <v>5389.07</v>
      </c>
      <c r="G37" s="53">
        <v>1793.53</v>
      </c>
      <c r="H37" s="53">
        <v>1793.53</v>
      </c>
      <c r="I37" s="53">
        <v>0</v>
      </c>
      <c r="J37" s="54">
        <v>0</v>
      </c>
      <c r="K37" s="53">
        <v>5440.26</v>
      </c>
      <c r="L37" s="53">
        <v>1810.56</v>
      </c>
      <c r="M37" s="53">
        <v>1810.56</v>
      </c>
      <c r="N37" s="53">
        <v>0</v>
      </c>
      <c r="O37" s="54">
        <v>0</v>
      </c>
      <c r="P37" s="53">
        <v>5475.39</v>
      </c>
      <c r="Q37" s="53">
        <v>1822.26</v>
      </c>
      <c r="R37" s="53">
        <v>1822.26</v>
      </c>
      <c r="S37" s="53">
        <v>0</v>
      </c>
      <c r="T37" s="54">
        <v>0</v>
      </c>
      <c r="U37" s="53">
        <v>5945.33</v>
      </c>
      <c r="V37" s="53">
        <v>1978.66</v>
      </c>
      <c r="W37" s="53">
        <v>1978.66</v>
      </c>
      <c r="X37" s="53">
        <v>0</v>
      </c>
      <c r="Y37" s="54">
        <v>0</v>
      </c>
    </row>
    <row r="38" spans="1:25" x14ac:dyDescent="0.2">
      <c r="A38" s="50" t="s">
        <v>142</v>
      </c>
      <c r="B38" s="51" t="s">
        <v>107</v>
      </c>
      <c r="C38" s="51"/>
      <c r="D38" s="52">
        <v>28717</v>
      </c>
      <c r="E38" s="51" t="s">
        <v>118</v>
      </c>
      <c r="F38" s="53"/>
      <c r="G38" s="53">
        <v>1502.15</v>
      </c>
      <c r="H38" s="53">
        <v>1502.15</v>
      </c>
      <c r="I38" s="53">
        <v>0</v>
      </c>
      <c r="J38" s="54"/>
      <c r="K38" s="53"/>
      <c r="L38" s="53">
        <v>1516.42</v>
      </c>
      <c r="M38" s="53">
        <v>1516.42</v>
      </c>
      <c r="N38" s="53">
        <v>0</v>
      </c>
      <c r="O38" s="54"/>
      <c r="P38" s="53"/>
      <c r="Q38" s="53">
        <v>1526.21</v>
      </c>
      <c r="R38" s="53">
        <v>1526.21</v>
      </c>
      <c r="S38" s="53">
        <v>0</v>
      </c>
      <c r="T38" s="54"/>
      <c r="U38" s="53"/>
      <c r="V38" s="53">
        <v>1657.2</v>
      </c>
      <c r="W38" s="53">
        <v>1657.2</v>
      </c>
      <c r="X38" s="53">
        <v>0</v>
      </c>
      <c r="Y38" s="54"/>
    </row>
    <row r="39" spans="1:25" x14ac:dyDescent="0.2">
      <c r="A39" s="50" t="s">
        <v>143</v>
      </c>
      <c r="B39" s="51" t="s">
        <v>109</v>
      </c>
      <c r="C39" s="51"/>
      <c r="D39" s="52">
        <v>37384</v>
      </c>
      <c r="E39" s="51" t="s">
        <v>118</v>
      </c>
      <c r="F39" s="53"/>
      <c r="G39" s="53">
        <v>1178.71</v>
      </c>
      <c r="H39" s="53">
        <v>1178.71</v>
      </c>
      <c r="I39" s="53">
        <v>0</v>
      </c>
      <c r="J39" s="54"/>
      <c r="K39" s="53"/>
      <c r="L39" s="53">
        <v>1189.9100000000001</v>
      </c>
      <c r="M39" s="53">
        <v>1189.9100000000001</v>
      </c>
      <c r="N39" s="53">
        <v>0</v>
      </c>
      <c r="O39" s="54"/>
      <c r="P39" s="53"/>
      <c r="Q39" s="53">
        <v>1197.5899999999999</v>
      </c>
      <c r="R39" s="53">
        <v>1197.5899999999999</v>
      </c>
      <c r="S39" s="53">
        <v>0</v>
      </c>
      <c r="T39" s="54"/>
      <c r="U39" s="53"/>
      <c r="V39" s="53">
        <v>1300.3800000000001</v>
      </c>
      <c r="W39" s="53">
        <v>1300.3800000000001</v>
      </c>
      <c r="X39" s="53">
        <v>0</v>
      </c>
      <c r="Y39" s="54"/>
    </row>
    <row r="40" spans="1:25" x14ac:dyDescent="0.2">
      <c r="A40" s="50" t="s">
        <v>144</v>
      </c>
      <c r="B40" s="51" t="s">
        <v>109</v>
      </c>
      <c r="C40" s="51"/>
      <c r="D40" s="52">
        <v>38688</v>
      </c>
      <c r="E40" s="51" t="s">
        <v>118</v>
      </c>
      <c r="F40" s="53"/>
      <c r="G40" s="53">
        <v>914.68</v>
      </c>
      <c r="H40" s="53">
        <v>914.68</v>
      </c>
      <c r="I40" s="53">
        <v>0</v>
      </c>
      <c r="J40" s="54"/>
      <c r="K40" s="53"/>
      <c r="L40" s="53">
        <v>923.37</v>
      </c>
      <c r="M40" s="53">
        <v>923.37</v>
      </c>
      <c r="N40" s="53">
        <v>0</v>
      </c>
      <c r="O40" s="54"/>
      <c r="P40" s="53"/>
      <c r="Q40" s="53">
        <v>929.33</v>
      </c>
      <c r="R40" s="53">
        <v>929.33</v>
      </c>
      <c r="S40" s="53">
        <v>0</v>
      </c>
      <c r="T40" s="54"/>
      <c r="U40" s="53"/>
      <c r="V40" s="53">
        <v>1009.09</v>
      </c>
      <c r="W40" s="53">
        <v>1009.09</v>
      </c>
      <c r="X40" s="53">
        <v>0</v>
      </c>
      <c r="Y40" s="54"/>
    </row>
    <row r="41" spans="1:25" x14ac:dyDescent="0.2">
      <c r="A41" s="50" t="s">
        <v>145</v>
      </c>
      <c r="B41" s="51" t="s">
        <v>65</v>
      </c>
      <c r="C41" s="51" t="s">
        <v>65</v>
      </c>
      <c r="D41" s="52">
        <v>36146</v>
      </c>
      <c r="E41" s="51" t="s">
        <v>111</v>
      </c>
      <c r="F41" s="53">
        <v>1178.71</v>
      </c>
      <c r="G41" s="53">
        <v>1178.71</v>
      </c>
      <c r="H41" s="53">
        <v>1178.71</v>
      </c>
      <c r="I41" s="53">
        <v>0</v>
      </c>
      <c r="J41" s="54">
        <v>0</v>
      </c>
      <c r="K41" s="53">
        <v>1189.9100000000001</v>
      </c>
      <c r="L41" s="53">
        <v>1189.9100000000001</v>
      </c>
      <c r="M41" s="53">
        <v>1189.9100000000001</v>
      </c>
      <c r="N41" s="53">
        <v>0</v>
      </c>
      <c r="O41" s="54">
        <v>0</v>
      </c>
      <c r="P41" s="53">
        <v>1197.5899999999999</v>
      </c>
      <c r="Q41" s="53">
        <v>1197.5899999999999</v>
      </c>
      <c r="R41" s="53">
        <v>1197.5899999999999</v>
      </c>
      <c r="S41" s="53">
        <v>0</v>
      </c>
      <c r="T41" s="54">
        <v>0</v>
      </c>
      <c r="U41" s="53">
        <v>1300.3800000000001</v>
      </c>
      <c r="V41" s="53">
        <v>1300.3800000000001</v>
      </c>
      <c r="W41" s="53">
        <v>1300.3800000000001</v>
      </c>
      <c r="X41" s="53">
        <v>0</v>
      </c>
      <c r="Y41" s="54">
        <v>0</v>
      </c>
    </row>
    <row r="42" spans="1:25" x14ac:dyDescent="0.2">
      <c r="A42" s="50" t="s">
        <v>146</v>
      </c>
      <c r="B42" s="51" t="s">
        <v>65</v>
      </c>
      <c r="C42" s="51" t="s">
        <v>65</v>
      </c>
      <c r="D42" s="52">
        <v>35249</v>
      </c>
      <c r="E42" s="51" t="s">
        <v>147</v>
      </c>
      <c r="F42" s="53">
        <v>1202.29</v>
      </c>
      <c r="G42" s="53">
        <v>1202.29</v>
      </c>
      <c r="H42" s="53">
        <v>1202.29</v>
      </c>
      <c r="I42" s="53">
        <v>0</v>
      </c>
      <c r="J42" s="54">
        <v>0</v>
      </c>
      <c r="K42" s="53">
        <v>1213.7</v>
      </c>
      <c r="L42" s="53">
        <v>1213.7</v>
      </c>
      <c r="M42" s="53">
        <v>1213.7</v>
      </c>
      <c r="N42" s="53">
        <v>0</v>
      </c>
      <c r="O42" s="54">
        <v>0</v>
      </c>
      <c r="P42" s="53">
        <v>1221.55</v>
      </c>
      <c r="Q42" s="53">
        <v>1221.55</v>
      </c>
      <c r="R42" s="53">
        <v>1221.55</v>
      </c>
      <c r="S42" s="53">
        <v>0</v>
      </c>
      <c r="T42" s="54">
        <v>0</v>
      </c>
      <c r="U42" s="53">
        <v>1326.39</v>
      </c>
      <c r="V42" s="53">
        <v>1326.39</v>
      </c>
      <c r="W42" s="53">
        <v>1326.39</v>
      </c>
      <c r="X42" s="53">
        <v>0</v>
      </c>
      <c r="Y42" s="54">
        <v>0</v>
      </c>
    </row>
    <row r="43" spans="1:25" ht="16.149999999999999" customHeight="1" x14ac:dyDescent="0.2">
      <c r="A43" s="226" t="s">
        <v>81</v>
      </c>
      <c r="B43" s="227"/>
      <c r="C43" s="227"/>
      <c r="D43" s="227"/>
      <c r="E43" s="227"/>
      <c r="F43" s="211" t="s">
        <v>211</v>
      </c>
      <c r="G43" s="212"/>
      <c r="H43" s="212"/>
      <c r="I43" s="212"/>
      <c r="J43" s="213"/>
      <c r="K43" s="211" t="s">
        <v>213</v>
      </c>
      <c r="L43" s="212"/>
      <c r="M43" s="212"/>
      <c r="N43" s="212"/>
      <c r="O43" s="213"/>
      <c r="P43" s="211" t="s">
        <v>215</v>
      </c>
      <c r="Q43" s="212"/>
      <c r="R43" s="212"/>
      <c r="S43" s="212"/>
      <c r="T43" s="213"/>
      <c r="U43" s="211" t="s">
        <v>217</v>
      </c>
      <c r="V43" s="212"/>
      <c r="W43" s="212"/>
      <c r="X43" s="212"/>
      <c r="Y43" s="213"/>
    </row>
    <row r="44" spans="1:25" ht="13.9" customHeight="1" x14ac:dyDescent="0.2">
      <c r="A44" s="228" t="s">
        <v>82</v>
      </c>
      <c r="B44" s="229"/>
      <c r="C44" s="229"/>
      <c r="D44" s="229"/>
      <c r="E44" s="229"/>
      <c r="F44" s="214">
        <v>23215.01</v>
      </c>
      <c r="G44" s="215"/>
      <c r="H44" s="215"/>
      <c r="I44" s="215"/>
      <c r="J44" s="216"/>
      <c r="K44" s="214">
        <v>23435.45</v>
      </c>
      <c r="L44" s="215"/>
      <c r="M44" s="215"/>
      <c r="N44" s="215"/>
      <c r="O44" s="216"/>
      <c r="P44" s="214">
        <v>23586.84</v>
      </c>
      <c r="Q44" s="215"/>
      <c r="R44" s="215"/>
      <c r="S44" s="215"/>
      <c r="T44" s="216"/>
      <c r="U44" s="214">
        <v>25611.23</v>
      </c>
      <c r="V44" s="215"/>
      <c r="W44" s="215"/>
      <c r="X44" s="215"/>
      <c r="Y44" s="216"/>
    </row>
    <row r="45" spans="1:25" ht="13.9" customHeight="1" x14ac:dyDescent="0.2">
      <c r="A45" s="230" t="s">
        <v>83</v>
      </c>
      <c r="B45" s="231"/>
      <c r="C45" s="231"/>
      <c r="D45" s="231"/>
      <c r="E45" s="231"/>
      <c r="F45" s="208">
        <f>F44*12</f>
        <v>278580.12</v>
      </c>
      <c r="G45" s="209"/>
      <c r="H45" s="209"/>
      <c r="I45" s="209"/>
      <c r="J45" s="210"/>
      <c r="K45" s="208">
        <f>K44*12</f>
        <v>281225.40000000002</v>
      </c>
      <c r="L45" s="209"/>
      <c r="M45" s="209"/>
      <c r="N45" s="209"/>
      <c r="O45" s="210"/>
      <c r="P45" s="208">
        <f>P44*12</f>
        <v>283042.08</v>
      </c>
      <c r="Q45" s="209"/>
      <c r="R45" s="209"/>
      <c r="S45" s="209"/>
      <c r="T45" s="210"/>
      <c r="U45" s="208">
        <f>U44*12</f>
        <v>307334.76</v>
      </c>
      <c r="V45" s="209"/>
      <c r="W45" s="209"/>
      <c r="X45" s="209"/>
      <c r="Y45" s="210"/>
    </row>
    <row r="46" spans="1:25" ht="18" customHeight="1" x14ac:dyDescent="0.2">
      <c r="A46" s="201" t="s">
        <v>30</v>
      </c>
      <c r="B46" s="202"/>
      <c r="C46" s="202"/>
      <c r="D46" s="202"/>
      <c r="E46" s="202"/>
      <c r="F46" s="203" t="s">
        <v>29</v>
      </c>
      <c r="G46" s="206"/>
      <c r="H46" s="206"/>
      <c r="I46" s="206"/>
      <c r="J46" s="207"/>
      <c r="K46" s="203" t="s">
        <v>29</v>
      </c>
      <c r="L46" s="206"/>
      <c r="M46" s="206"/>
      <c r="N46" s="206"/>
      <c r="O46" s="207"/>
      <c r="P46" s="203" t="s">
        <v>29</v>
      </c>
      <c r="Q46" s="206"/>
      <c r="R46" s="206"/>
      <c r="S46" s="206"/>
      <c r="T46" s="207"/>
      <c r="U46" s="203" t="s">
        <v>29</v>
      </c>
      <c r="V46" s="206"/>
      <c r="W46" s="206"/>
      <c r="X46" s="206"/>
      <c r="Y46" s="207"/>
    </row>
    <row r="47" spans="1:25" ht="4.9000000000000004" customHeight="1" x14ac:dyDescent="0.2">
      <c r="A47" s="36"/>
      <c r="B47" s="36"/>
      <c r="C47" s="37"/>
      <c r="D47" s="37"/>
      <c r="E47" s="38"/>
      <c r="F47" s="40"/>
      <c r="G47" s="40"/>
      <c r="H47" s="40"/>
      <c r="I47" s="40"/>
      <c r="J47" s="40"/>
      <c r="K47" s="40"/>
      <c r="L47" s="40"/>
      <c r="M47" s="40"/>
      <c r="N47" s="40"/>
      <c r="O47" s="40"/>
      <c r="P47" s="40"/>
      <c r="Q47" s="40"/>
      <c r="R47" s="40"/>
      <c r="S47" s="40"/>
      <c r="T47" s="40"/>
      <c r="U47" s="40"/>
      <c r="V47" s="40"/>
      <c r="W47" s="40"/>
      <c r="X47" s="40"/>
      <c r="Y47" s="40"/>
    </row>
    <row r="48" spans="1:25" ht="55.15" customHeight="1" x14ac:dyDescent="0.2">
      <c r="A48" s="200" t="s">
        <v>31</v>
      </c>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row>
  </sheetData>
  <mergeCells count="33">
    <mergeCell ref="A5:E7"/>
    <mergeCell ref="A2:Y2"/>
    <mergeCell ref="A3:Y3"/>
    <mergeCell ref="A4:Y4"/>
    <mergeCell ref="F8:J8"/>
    <mergeCell ref="F7:J7"/>
    <mergeCell ref="K8:O8"/>
    <mergeCell ref="K7:O7"/>
    <mergeCell ref="U8:Y8"/>
    <mergeCell ref="U7:Y7"/>
    <mergeCell ref="P8:T8"/>
    <mergeCell ref="P7:T7"/>
    <mergeCell ref="A43:E43"/>
    <mergeCell ref="A44:E44"/>
    <mergeCell ref="A45:E45"/>
    <mergeCell ref="F43:J43"/>
    <mergeCell ref="F44:J44"/>
    <mergeCell ref="F45:J45"/>
    <mergeCell ref="K43:O43"/>
    <mergeCell ref="K44:O44"/>
    <mergeCell ref="K45:O45"/>
    <mergeCell ref="U43:Y43"/>
    <mergeCell ref="U44:Y44"/>
    <mergeCell ref="U45:Y45"/>
    <mergeCell ref="P43:T43"/>
    <mergeCell ref="P44:T44"/>
    <mergeCell ref="P45:T45"/>
    <mergeCell ref="A46:E46"/>
    <mergeCell ref="A48:Y48"/>
    <mergeCell ref="F46:J46"/>
    <mergeCell ref="K46:O46"/>
    <mergeCell ref="U46:Y46"/>
    <mergeCell ref="P46:T46"/>
  </mergeCells>
  <hyperlinks>
    <hyperlink ref="F7" r:id="rId1" xr:uid="{00000000-0004-0000-5D00-000000000000}"/>
    <hyperlink ref="F46" r:id="rId2" xr:uid="{00000000-0004-0000-5D00-000001000000}"/>
    <hyperlink ref="K7" r:id="rId3" xr:uid="{00000000-0004-0000-5D00-000002000000}"/>
    <hyperlink ref="K46" r:id="rId4" xr:uid="{00000000-0004-0000-5D00-000003000000}"/>
    <hyperlink ref="P7" r:id="rId5" xr:uid="{00000000-0004-0000-5D00-000004000000}"/>
    <hyperlink ref="P46" r:id="rId6" xr:uid="{00000000-0004-0000-5D00-000005000000}"/>
    <hyperlink ref="U7" r:id="rId7" xr:uid="{00000000-0004-0000-5D00-000006000000}"/>
    <hyperlink ref="U46" r:id="rId8" xr:uid="{00000000-0004-0000-5D00-000007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18B6-E032-4D0E-B788-05F66CC19125}">
  <sheetPr>
    <pageSetUpPr fitToPage="1"/>
  </sheetPr>
  <dimension ref="A1:J48"/>
  <sheetViews>
    <sheetView zoomScaleNormal="100" zoomScaleSheetLayoutView="100" workbookViewId="0">
      <selection activeCell="A5" sqref="A5:E7"/>
    </sheetView>
  </sheetViews>
  <sheetFormatPr defaultColWidth="8.75" defaultRowHeight="14.25" x14ac:dyDescent="0.2"/>
  <cols>
    <col min="1" max="1" width="18.75" style="29" customWidth="1" collapsed="1"/>
    <col min="2" max="2" width="5.25" style="29" customWidth="1" collapsed="1"/>
    <col min="3" max="3" width="19" style="29" customWidth="1" collapsed="1"/>
    <col min="4" max="5" width="10.25" style="29" customWidth="1" collapsed="1"/>
    <col min="6" max="6" width="10.75" style="29" customWidth="1" collapsed="1"/>
    <col min="7" max="20" width="10.25" style="29" customWidth="1" collapsed="1"/>
    <col min="21" max="16384" width="8.75" style="29" collapsed="1"/>
  </cols>
  <sheetData>
    <row r="1" spans="1:10" ht="4.9000000000000004" customHeight="1" x14ac:dyDescent="0.2">
      <c r="A1" s="35" t="s">
        <v>56</v>
      </c>
      <c r="B1" s="35"/>
      <c r="C1" s="35"/>
      <c r="D1" s="35"/>
      <c r="E1" s="35"/>
      <c r="F1" s="35"/>
      <c r="G1" s="35"/>
      <c r="H1" s="35"/>
      <c r="I1" s="35"/>
      <c r="J1" s="35"/>
    </row>
    <row r="2" spans="1:10" s="30" customFormat="1" ht="31.15" customHeight="1" x14ac:dyDescent="0.25">
      <c r="A2" s="238" t="str">
        <f>group_name</f>
        <v>Tuckerton Lumber Company</v>
      </c>
      <c r="B2" s="239"/>
      <c r="C2" s="239"/>
      <c r="D2" s="239"/>
      <c r="E2" s="239"/>
      <c r="F2" s="239"/>
      <c r="G2" s="239"/>
      <c r="H2" s="239"/>
      <c r="I2" s="239"/>
      <c r="J2" s="240"/>
    </row>
    <row r="3" spans="1:10" s="30" customFormat="1" ht="31.15" customHeight="1" x14ac:dyDescent="0.25">
      <c r="A3" s="241" t="s">
        <v>34</v>
      </c>
      <c r="B3" s="242"/>
      <c r="C3" s="242"/>
      <c r="D3" s="242"/>
      <c r="E3" s="242"/>
      <c r="F3" s="242"/>
      <c r="G3" s="242"/>
      <c r="H3" s="242"/>
      <c r="I3" s="242"/>
      <c r="J3" s="243"/>
    </row>
    <row r="4" spans="1:10" s="2" customFormat="1" ht="31.15" customHeight="1" x14ac:dyDescent="0.25">
      <c r="A4" s="244" t="str">
        <f>"Effective Date: "&amp;TEXT(effective_date,"MM/DD/YYYY")</f>
        <v>Effective Date: 06/01/2026</v>
      </c>
      <c r="B4" s="245"/>
      <c r="C4" s="245"/>
      <c r="D4" s="245"/>
      <c r="E4" s="245"/>
      <c r="F4" s="245"/>
      <c r="G4" s="245"/>
      <c r="H4" s="245"/>
      <c r="I4" s="245"/>
      <c r="J4" s="246"/>
    </row>
    <row r="5" spans="1:10" ht="19.899999999999999" customHeight="1" x14ac:dyDescent="0.2">
      <c r="A5" s="247" t="s">
        <v>57</v>
      </c>
      <c r="B5" s="248"/>
      <c r="C5" s="248"/>
      <c r="D5" s="248"/>
      <c r="E5" s="248"/>
      <c r="F5" s="117" t="s">
        <v>101</v>
      </c>
      <c r="G5" s="118"/>
      <c r="H5" s="118"/>
      <c r="I5" s="118"/>
      <c r="J5" s="120"/>
    </row>
    <row r="6" spans="1:10" x14ac:dyDescent="0.2">
      <c r="A6" s="247"/>
      <c r="B6" s="248"/>
      <c r="C6" s="248"/>
      <c r="D6" s="248"/>
      <c r="E6" s="248"/>
      <c r="F6" s="121" t="s">
        <v>218</v>
      </c>
      <c r="G6" s="122"/>
      <c r="H6" s="122"/>
      <c r="I6" s="122"/>
      <c r="J6" s="124"/>
    </row>
    <row r="7" spans="1:10" ht="19.899999999999999" customHeight="1" x14ac:dyDescent="0.2">
      <c r="A7" s="247"/>
      <c r="B7" s="248"/>
      <c r="C7" s="248"/>
      <c r="D7" s="248"/>
      <c r="E7" s="248"/>
      <c r="F7" s="235" t="s">
        <v>58</v>
      </c>
      <c r="G7" s="236"/>
      <c r="H7" s="236"/>
      <c r="I7" s="236"/>
      <c r="J7" s="237"/>
    </row>
    <row r="8" spans="1:10" ht="16.149999999999999" customHeight="1" x14ac:dyDescent="0.2">
      <c r="A8" s="43"/>
      <c r="B8" s="44"/>
      <c r="C8" s="44"/>
      <c r="D8" s="44"/>
      <c r="E8" s="44"/>
      <c r="F8" s="232" t="s">
        <v>219</v>
      </c>
      <c r="G8" s="233"/>
      <c r="H8" s="233"/>
      <c r="I8" s="233"/>
      <c r="J8" s="234"/>
    </row>
    <row r="9" spans="1:10" ht="34.15" customHeight="1" x14ac:dyDescent="0.2">
      <c r="A9" s="41" t="s">
        <v>59</v>
      </c>
      <c r="B9" s="31" t="s">
        <v>60</v>
      </c>
      <c r="C9" s="31" t="s">
        <v>61</v>
      </c>
      <c r="D9" s="31" t="s">
        <v>62</v>
      </c>
      <c r="E9" s="31" t="s">
        <v>63</v>
      </c>
      <c r="F9" s="32" t="s">
        <v>68</v>
      </c>
      <c r="G9" s="33" t="s">
        <v>32</v>
      </c>
      <c r="H9" s="33" t="s">
        <v>64</v>
      </c>
      <c r="I9" s="33" t="s">
        <v>65</v>
      </c>
      <c r="J9" s="42" t="s">
        <v>66</v>
      </c>
    </row>
    <row r="10" spans="1:10" x14ac:dyDescent="0.2">
      <c r="A10" s="50" t="s">
        <v>103</v>
      </c>
      <c r="B10" s="51" t="s">
        <v>65</v>
      </c>
      <c r="C10" s="51" t="s">
        <v>104</v>
      </c>
      <c r="D10" s="52">
        <v>21325</v>
      </c>
      <c r="E10" s="51" t="s">
        <v>105</v>
      </c>
      <c r="F10" s="53">
        <v>5198.6099999999997</v>
      </c>
      <c r="G10" s="53">
        <v>2374.84</v>
      </c>
      <c r="H10" s="53">
        <v>2374.84</v>
      </c>
      <c r="I10" s="53">
        <v>0</v>
      </c>
      <c r="J10" s="54">
        <v>0</v>
      </c>
    </row>
    <row r="11" spans="1:10" x14ac:dyDescent="0.2">
      <c r="A11" s="50" t="s">
        <v>106</v>
      </c>
      <c r="B11" s="51" t="s">
        <v>107</v>
      </c>
      <c r="C11" s="51"/>
      <c r="D11" s="52">
        <v>27837</v>
      </c>
      <c r="E11" s="51" t="s">
        <v>105</v>
      </c>
      <c r="F11" s="53"/>
      <c r="G11" s="53">
        <v>1813.42</v>
      </c>
      <c r="H11" s="53">
        <v>1813.42</v>
      </c>
      <c r="I11" s="53">
        <v>0</v>
      </c>
      <c r="J11" s="54"/>
    </row>
    <row r="12" spans="1:10" x14ac:dyDescent="0.2">
      <c r="A12" s="50" t="s">
        <v>108</v>
      </c>
      <c r="B12" s="51" t="s">
        <v>109</v>
      </c>
      <c r="C12" s="51"/>
      <c r="D12" s="52">
        <v>38648</v>
      </c>
      <c r="E12" s="51" t="s">
        <v>105</v>
      </c>
      <c r="F12" s="53"/>
      <c r="G12" s="53">
        <v>1010.35</v>
      </c>
      <c r="H12" s="53">
        <v>1010.35</v>
      </c>
      <c r="I12" s="53">
        <v>0</v>
      </c>
      <c r="J12" s="54"/>
    </row>
    <row r="13" spans="1:10" x14ac:dyDescent="0.2">
      <c r="A13" s="50" t="s">
        <v>110</v>
      </c>
      <c r="B13" s="51" t="s">
        <v>65</v>
      </c>
      <c r="C13" s="51" t="s">
        <v>65</v>
      </c>
      <c r="D13" s="52">
        <v>36345</v>
      </c>
      <c r="E13" s="51" t="s">
        <v>111</v>
      </c>
      <c r="F13" s="53">
        <v>1302</v>
      </c>
      <c r="G13" s="53">
        <v>1302</v>
      </c>
      <c r="H13" s="53">
        <v>1302</v>
      </c>
      <c r="I13" s="53">
        <v>0</v>
      </c>
      <c r="J13" s="54">
        <v>0</v>
      </c>
    </row>
    <row r="14" spans="1:10" x14ac:dyDescent="0.2">
      <c r="A14" s="50" t="s">
        <v>112</v>
      </c>
      <c r="B14" s="51" t="s">
        <v>65</v>
      </c>
      <c r="C14" s="51" t="s">
        <v>104</v>
      </c>
      <c r="D14" s="52">
        <v>24895</v>
      </c>
      <c r="E14" s="51" t="s">
        <v>113</v>
      </c>
      <c r="F14" s="53">
        <v>5682.96</v>
      </c>
      <c r="G14" s="53">
        <v>2297.77</v>
      </c>
      <c r="H14" s="53">
        <v>2297.77</v>
      </c>
      <c r="I14" s="53">
        <v>0</v>
      </c>
      <c r="J14" s="54">
        <v>0</v>
      </c>
    </row>
    <row r="15" spans="1:10" x14ac:dyDescent="0.2">
      <c r="A15" s="50" t="s">
        <v>114</v>
      </c>
      <c r="B15" s="51" t="s">
        <v>107</v>
      </c>
      <c r="C15" s="51"/>
      <c r="D15" s="52">
        <v>24269</v>
      </c>
      <c r="E15" s="51" t="s">
        <v>113</v>
      </c>
      <c r="F15" s="53"/>
      <c r="G15" s="53">
        <v>2374.84</v>
      </c>
      <c r="H15" s="53">
        <v>2374.84</v>
      </c>
      <c r="I15" s="53">
        <v>0</v>
      </c>
      <c r="J15" s="54"/>
    </row>
    <row r="16" spans="1:10" x14ac:dyDescent="0.2">
      <c r="A16" s="50" t="s">
        <v>115</v>
      </c>
      <c r="B16" s="51" t="s">
        <v>109</v>
      </c>
      <c r="C16" s="51"/>
      <c r="D16" s="52">
        <v>38614</v>
      </c>
      <c r="E16" s="51" t="s">
        <v>113</v>
      </c>
      <c r="F16" s="53"/>
      <c r="G16" s="53">
        <v>1010.35</v>
      </c>
      <c r="H16" s="53">
        <v>1010.35</v>
      </c>
      <c r="I16" s="53">
        <v>0</v>
      </c>
      <c r="J16" s="54"/>
    </row>
    <row r="17" spans="1:10" x14ac:dyDescent="0.2">
      <c r="A17" s="50" t="s">
        <v>116</v>
      </c>
      <c r="B17" s="51" t="s">
        <v>65</v>
      </c>
      <c r="C17" s="51" t="s">
        <v>117</v>
      </c>
      <c r="D17" s="52">
        <v>18453</v>
      </c>
      <c r="E17" s="51" t="s">
        <v>118</v>
      </c>
      <c r="F17" s="53">
        <v>4749.68</v>
      </c>
      <c r="G17" s="53">
        <v>2374.84</v>
      </c>
      <c r="H17" s="53">
        <v>2374.84</v>
      </c>
      <c r="I17" s="53">
        <v>0</v>
      </c>
      <c r="J17" s="54">
        <v>0</v>
      </c>
    </row>
    <row r="18" spans="1:10" x14ac:dyDescent="0.2">
      <c r="A18" s="50" t="s">
        <v>119</v>
      </c>
      <c r="B18" s="51" t="s">
        <v>107</v>
      </c>
      <c r="C18" s="51"/>
      <c r="D18" s="52">
        <v>19761</v>
      </c>
      <c r="E18" s="51" t="s">
        <v>118</v>
      </c>
      <c r="F18" s="53"/>
      <c r="G18" s="53">
        <v>2374.84</v>
      </c>
      <c r="H18" s="53">
        <v>2374.84</v>
      </c>
      <c r="I18" s="53">
        <v>0</v>
      </c>
      <c r="J18" s="54"/>
    </row>
    <row r="19" spans="1:10" x14ac:dyDescent="0.2">
      <c r="A19" s="50" t="s">
        <v>120</v>
      </c>
      <c r="B19" s="51" t="s">
        <v>65</v>
      </c>
      <c r="C19" s="51" t="s">
        <v>65</v>
      </c>
      <c r="D19" s="52">
        <v>35733</v>
      </c>
      <c r="E19" s="51" t="s">
        <v>121</v>
      </c>
      <c r="F19" s="53">
        <v>1302</v>
      </c>
      <c r="G19" s="53">
        <v>1302</v>
      </c>
      <c r="H19" s="53">
        <v>1302</v>
      </c>
      <c r="I19" s="53">
        <v>0</v>
      </c>
      <c r="J19" s="54">
        <v>0</v>
      </c>
    </row>
    <row r="20" spans="1:10" x14ac:dyDescent="0.2">
      <c r="A20" s="50" t="s">
        <v>122</v>
      </c>
      <c r="B20" s="51" t="s">
        <v>65</v>
      </c>
      <c r="C20" s="51" t="s">
        <v>104</v>
      </c>
      <c r="D20" s="52">
        <v>24958</v>
      </c>
      <c r="E20" s="51" t="s">
        <v>123</v>
      </c>
      <c r="F20" s="53">
        <v>6519.36</v>
      </c>
      <c r="G20" s="53">
        <v>2297.77</v>
      </c>
      <c r="H20" s="53">
        <v>2297.77</v>
      </c>
      <c r="I20" s="53">
        <v>0</v>
      </c>
      <c r="J20" s="54">
        <v>0</v>
      </c>
    </row>
    <row r="21" spans="1:10" x14ac:dyDescent="0.2">
      <c r="A21" s="50" t="s">
        <v>124</v>
      </c>
      <c r="B21" s="51" t="s">
        <v>107</v>
      </c>
      <c r="C21" s="51"/>
      <c r="D21" s="52">
        <v>25342</v>
      </c>
      <c r="E21" s="51" t="s">
        <v>123</v>
      </c>
      <c r="F21" s="53"/>
      <c r="G21" s="53">
        <v>2231.1</v>
      </c>
      <c r="H21" s="53">
        <v>2231.1</v>
      </c>
      <c r="I21" s="53">
        <v>0</v>
      </c>
      <c r="J21" s="54"/>
    </row>
    <row r="22" spans="1:10" x14ac:dyDescent="0.2">
      <c r="A22" s="50" t="s">
        <v>125</v>
      </c>
      <c r="B22" s="51" t="s">
        <v>109</v>
      </c>
      <c r="C22" s="51"/>
      <c r="D22" s="52">
        <v>38632</v>
      </c>
      <c r="E22" s="51" t="s">
        <v>123</v>
      </c>
      <c r="F22" s="53"/>
      <c r="G22" s="53">
        <v>1010.35</v>
      </c>
      <c r="H22" s="53">
        <v>1010.35</v>
      </c>
      <c r="I22" s="53">
        <v>0</v>
      </c>
      <c r="J22" s="54"/>
    </row>
    <row r="23" spans="1:10" x14ac:dyDescent="0.2">
      <c r="A23" s="50" t="s">
        <v>126</v>
      </c>
      <c r="B23" s="51" t="s">
        <v>109</v>
      </c>
      <c r="C23" s="51"/>
      <c r="D23" s="52">
        <v>39092</v>
      </c>
      <c r="E23" s="51" t="s">
        <v>123</v>
      </c>
      <c r="F23" s="53"/>
      <c r="G23" s="53">
        <v>980.14</v>
      </c>
      <c r="H23" s="53">
        <v>980.14</v>
      </c>
      <c r="I23" s="53">
        <v>0</v>
      </c>
      <c r="J23" s="54"/>
    </row>
    <row r="24" spans="1:10" x14ac:dyDescent="0.2">
      <c r="A24" s="50" t="s">
        <v>127</v>
      </c>
      <c r="B24" s="51" t="s">
        <v>65</v>
      </c>
      <c r="C24" s="51" t="s">
        <v>117</v>
      </c>
      <c r="D24" s="52">
        <v>21309</v>
      </c>
      <c r="E24" s="51" t="s">
        <v>96</v>
      </c>
      <c r="F24" s="53">
        <v>4749.68</v>
      </c>
      <c r="G24" s="53">
        <v>2374.84</v>
      </c>
      <c r="H24" s="53">
        <v>2374.84</v>
      </c>
      <c r="I24" s="53">
        <v>0</v>
      </c>
      <c r="J24" s="54">
        <v>0</v>
      </c>
    </row>
    <row r="25" spans="1:10" x14ac:dyDescent="0.2">
      <c r="A25" s="50" t="s">
        <v>128</v>
      </c>
      <c r="B25" s="51" t="s">
        <v>107</v>
      </c>
      <c r="C25" s="51"/>
      <c r="D25" s="52">
        <v>23570</v>
      </c>
      <c r="E25" s="51" t="s">
        <v>96</v>
      </c>
      <c r="F25" s="53"/>
      <c r="G25" s="53">
        <v>2374.84</v>
      </c>
      <c r="H25" s="53">
        <v>2374.84</v>
      </c>
      <c r="I25" s="53">
        <v>0</v>
      </c>
      <c r="J25" s="54"/>
    </row>
    <row r="26" spans="1:10" x14ac:dyDescent="0.2">
      <c r="A26" s="50" t="s">
        <v>129</v>
      </c>
      <c r="B26" s="51" t="s">
        <v>65</v>
      </c>
      <c r="C26" s="51" t="s">
        <v>65</v>
      </c>
      <c r="D26" s="52">
        <v>24147</v>
      </c>
      <c r="E26" s="51" t="s">
        <v>113</v>
      </c>
      <c r="F26" s="53">
        <v>2374.84</v>
      </c>
      <c r="G26" s="53">
        <v>2374.84</v>
      </c>
      <c r="H26" s="53">
        <v>2374.84</v>
      </c>
      <c r="I26" s="53">
        <v>0</v>
      </c>
      <c r="J26" s="54">
        <v>0</v>
      </c>
    </row>
    <row r="27" spans="1:10" x14ac:dyDescent="0.2">
      <c r="A27" s="50" t="s">
        <v>130</v>
      </c>
      <c r="B27" s="51" t="s">
        <v>65</v>
      </c>
      <c r="C27" s="51" t="s">
        <v>65</v>
      </c>
      <c r="D27" s="52">
        <v>25210</v>
      </c>
      <c r="E27" s="51" t="s">
        <v>131</v>
      </c>
      <c r="F27" s="53">
        <v>2231.1</v>
      </c>
      <c r="G27" s="53">
        <v>2231.1</v>
      </c>
      <c r="H27" s="53">
        <v>2231.1</v>
      </c>
      <c r="I27" s="53">
        <v>0</v>
      </c>
      <c r="J27" s="54">
        <v>0</v>
      </c>
    </row>
    <row r="28" spans="1:10" x14ac:dyDescent="0.2">
      <c r="A28" s="50" t="s">
        <v>132</v>
      </c>
      <c r="B28" s="51" t="s">
        <v>65</v>
      </c>
      <c r="C28" s="51" t="s">
        <v>65</v>
      </c>
      <c r="D28" s="52">
        <v>35103</v>
      </c>
      <c r="E28" s="51" t="s">
        <v>113</v>
      </c>
      <c r="F28" s="53">
        <v>1340.54</v>
      </c>
      <c r="G28" s="53">
        <v>1340.54</v>
      </c>
      <c r="H28" s="53">
        <v>1340.54</v>
      </c>
      <c r="I28" s="53">
        <v>0</v>
      </c>
      <c r="J28" s="54">
        <v>0</v>
      </c>
    </row>
    <row r="29" spans="1:10" x14ac:dyDescent="0.2">
      <c r="A29" s="50" t="s">
        <v>133</v>
      </c>
      <c r="B29" s="51" t="s">
        <v>65</v>
      </c>
      <c r="C29" s="51" t="s">
        <v>117</v>
      </c>
      <c r="D29" s="52">
        <v>27399</v>
      </c>
      <c r="E29" s="51" t="s">
        <v>113</v>
      </c>
      <c r="F29" s="53">
        <v>3440.39</v>
      </c>
      <c r="G29" s="53">
        <v>1866.54</v>
      </c>
      <c r="H29" s="53">
        <v>1866.54</v>
      </c>
      <c r="I29" s="53">
        <v>0</v>
      </c>
      <c r="J29" s="54">
        <v>0</v>
      </c>
    </row>
    <row r="30" spans="1:10" x14ac:dyDescent="0.2">
      <c r="A30" s="50" t="s">
        <v>134</v>
      </c>
      <c r="B30" s="51" t="s">
        <v>107</v>
      </c>
      <c r="C30" s="51"/>
      <c r="D30" s="52">
        <v>29502</v>
      </c>
      <c r="E30" s="51" t="s">
        <v>113</v>
      </c>
      <c r="F30" s="53"/>
      <c r="G30" s="53">
        <v>1573.85</v>
      </c>
      <c r="H30" s="53">
        <v>1573.85</v>
      </c>
      <c r="I30" s="53">
        <v>0</v>
      </c>
      <c r="J30" s="54"/>
    </row>
    <row r="31" spans="1:10" x14ac:dyDescent="0.2">
      <c r="A31" s="50" t="s">
        <v>135</v>
      </c>
      <c r="B31" s="51" t="s">
        <v>65</v>
      </c>
      <c r="C31" s="51" t="s">
        <v>104</v>
      </c>
      <c r="D31" s="52">
        <v>24592</v>
      </c>
      <c r="E31" s="51" t="s">
        <v>111</v>
      </c>
      <c r="F31" s="53">
        <v>6051.68</v>
      </c>
      <c r="G31" s="53">
        <v>2374.84</v>
      </c>
      <c r="H31" s="53">
        <v>2374.84</v>
      </c>
      <c r="I31" s="53">
        <v>0</v>
      </c>
      <c r="J31" s="54">
        <v>0</v>
      </c>
    </row>
    <row r="32" spans="1:10" x14ac:dyDescent="0.2">
      <c r="A32" s="50" t="s">
        <v>136</v>
      </c>
      <c r="B32" s="51" t="s">
        <v>107</v>
      </c>
      <c r="C32" s="51"/>
      <c r="D32" s="52">
        <v>22616</v>
      </c>
      <c r="E32" s="51" t="s">
        <v>111</v>
      </c>
      <c r="F32" s="53"/>
      <c r="G32" s="53">
        <v>2374.84</v>
      </c>
      <c r="H32" s="53">
        <v>2374.84</v>
      </c>
      <c r="I32" s="53">
        <v>0</v>
      </c>
      <c r="J32" s="54"/>
    </row>
    <row r="33" spans="1:10" x14ac:dyDescent="0.2">
      <c r="A33" s="50" t="s">
        <v>137</v>
      </c>
      <c r="B33" s="51" t="s">
        <v>109</v>
      </c>
      <c r="C33" s="51"/>
      <c r="D33" s="52">
        <v>37842</v>
      </c>
      <c r="E33" s="51" t="s">
        <v>111</v>
      </c>
      <c r="F33" s="53"/>
      <c r="G33" s="53">
        <v>1302</v>
      </c>
      <c r="H33" s="53">
        <v>1302</v>
      </c>
      <c r="I33" s="53">
        <v>0</v>
      </c>
      <c r="J33" s="54"/>
    </row>
    <row r="34" spans="1:10" x14ac:dyDescent="0.2">
      <c r="A34" s="50" t="s">
        <v>138</v>
      </c>
      <c r="B34" s="51" t="s">
        <v>65</v>
      </c>
      <c r="C34" s="51" t="s">
        <v>65</v>
      </c>
      <c r="D34" s="52">
        <v>35401</v>
      </c>
      <c r="E34" s="51" t="s">
        <v>113</v>
      </c>
      <c r="F34" s="53">
        <v>1328.04</v>
      </c>
      <c r="G34" s="53">
        <v>1328.04</v>
      </c>
      <c r="H34" s="53">
        <v>1328.04</v>
      </c>
      <c r="I34" s="53">
        <v>0</v>
      </c>
      <c r="J34" s="54">
        <v>0</v>
      </c>
    </row>
    <row r="35" spans="1:10" x14ac:dyDescent="0.2">
      <c r="A35" s="50" t="s">
        <v>139</v>
      </c>
      <c r="B35" s="51" t="s">
        <v>65</v>
      </c>
      <c r="C35" s="51" t="s">
        <v>65</v>
      </c>
      <c r="D35" s="52">
        <v>35453</v>
      </c>
      <c r="E35" s="51" t="s">
        <v>113</v>
      </c>
      <c r="F35" s="53">
        <v>1328.04</v>
      </c>
      <c r="G35" s="53">
        <v>1328.04</v>
      </c>
      <c r="H35" s="53">
        <v>1328.04</v>
      </c>
      <c r="I35" s="53">
        <v>0</v>
      </c>
      <c r="J35" s="54">
        <v>0</v>
      </c>
    </row>
    <row r="36" spans="1:10" x14ac:dyDescent="0.2">
      <c r="A36" s="50" t="s">
        <v>140</v>
      </c>
      <c r="B36" s="51" t="s">
        <v>65</v>
      </c>
      <c r="C36" s="51" t="s">
        <v>65</v>
      </c>
      <c r="D36" s="52">
        <v>34864</v>
      </c>
      <c r="E36" s="51" t="s">
        <v>118</v>
      </c>
      <c r="F36" s="53">
        <v>1340.54</v>
      </c>
      <c r="G36" s="53">
        <v>1340.54</v>
      </c>
      <c r="H36" s="53">
        <v>1340.54</v>
      </c>
      <c r="I36" s="53">
        <v>0</v>
      </c>
      <c r="J36" s="54">
        <v>0</v>
      </c>
    </row>
    <row r="37" spans="1:10" x14ac:dyDescent="0.2">
      <c r="A37" s="50" t="s">
        <v>141</v>
      </c>
      <c r="B37" s="51" t="s">
        <v>65</v>
      </c>
      <c r="C37" s="51" t="s">
        <v>104</v>
      </c>
      <c r="D37" s="52">
        <v>26666</v>
      </c>
      <c r="E37" s="51" t="s">
        <v>118</v>
      </c>
      <c r="F37" s="53">
        <v>5952.74</v>
      </c>
      <c r="G37" s="53">
        <v>1981.12</v>
      </c>
      <c r="H37" s="53">
        <v>1981.12</v>
      </c>
      <c r="I37" s="53">
        <v>0</v>
      </c>
      <c r="J37" s="54">
        <v>0</v>
      </c>
    </row>
    <row r="38" spans="1:10" x14ac:dyDescent="0.2">
      <c r="A38" s="50" t="s">
        <v>142</v>
      </c>
      <c r="B38" s="51" t="s">
        <v>107</v>
      </c>
      <c r="C38" s="51"/>
      <c r="D38" s="52">
        <v>28717</v>
      </c>
      <c r="E38" s="51" t="s">
        <v>118</v>
      </c>
      <c r="F38" s="53"/>
      <c r="G38" s="53">
        <v>1659.27</v>
      </c>
      <c r="H38" s="53">
        <v>1659.27</v>
      </c>
      <c r="I38" s="53">
        <v>0</v>
      </c>
      <c r="J38" s="54"/>
    </row>
    <row r="39" spans="1:10" x14ac:dyDescent="0.2">
      <c r="A39" s="50" t="s">
        <v>143</v>
      </c>
      <c r="B39" s="51" t="s">
        <v>109</v>
      </c>
      <c r="C39" s="51"/>
      <c r="D39" s="52">
        <v>37384</v>
      </c>
      <c r="E39" s="51" t="s">
        <v>118</v>
      </c>
      <c r="F39" s="53"/>
      <c r="G39" s="53">
        <v>1302</v>
      </c>
      <c r="H39" s="53">
        <v>1302</v>
      </c>
      <c r="I39" s="53">
        <v>0</v>
      </c>
      <c r="J39" s="54"/>
    </row>
    <row r="40" spans="1:10" x14ac:dyDescent="0.2">
      <c r="A40" s="50" t="s">
        <v>144</v>
      </c>
      <c r="B40" s="51" t="s">
        <v>109</v>
      </c>
      <c r="C40" s="51"/>
      <c r="D40" s="52">
        <v>38688</v>
      </c>
      <c r="E40" s="51" t="s">
        <v>118</v>
      </c>
      <c r="F40" s="53"/>
      <c r="G40" s="53">
        <v>1010.35</v>
      </c>
      <c r="H40" s="53">
        <v>1010.35</v>
      </c>
      <c r="I40" s="53">
        <v>0</v>
      </c>
      <c r="J40" s="54"/>
    </row>
    <row r="41" spans="1:10" x14ac:dyDescent="0.2">
      <c r="A41" s="50" t="s">
        <v>145</v>
      </c>
      <c r="B41" s="51" t="s">
        <v>65</v>
      </c>
      <c r="C41" s="51" t="s">
        <v>65</v>
      </c>
      <c r="D41" s="52">
        <v>36146</v>
      </c>
      <c r="E41" s="51" t="s">
        <v>111</v>
      </c>
      <c r="F41" s="53">
        <v>1302</v>
      </c>
      <c r="G41" s="53">
        <v>1302</v>
      </c>
      <c r="H41" s="53">
        <v>1302</v>
      </c>
      <c r="I41" s="53">
        <v>0</v>
      </c>
      <c r="J41" s="54">
        <v>0</v>
      </c>
    </row>
    <row r="42" spans="1:10" x14ac:dyDescent="0.2">
      <c r="A42" s="50" t="s">
        <v>146</v>
      </c>
      <c r="B42" s="51" t="s">
        <v>65</v>
      </c>
      <c r="C42" s="51" t="s">
        <v>65</v>
      </c>
      <c r="D42" s="52">
        <v>35249</v>
      </c>
      <c r="E42" s="51" t="s">
        <v>147</v>
      </c>
      <c r="F42" s="53">
        <v>1328.04</v>
      </c>
      <c r="G42" s="53">
        <v>1328.04</v>
      </c>
      <c r="H42" s="53">
        <v>1328.04</v>
      </c>
      <c r="I42" s="53">
        <v>0</v>
      </c>
      <c r="J42" s="54">
        <v>0</v>
      </c>
    </row>
    <row r="43" spans="1:10" ht="16.149999999999999" customHeight="1" x14ac:dyDescent="0.2">
      <c r="A43" s="226" t="s">
        <v>81</v>
      </c>
      <c r="B43" s="227"/>
      <c r="C43" s="227"/>
      <c r="D43" s="227"/>
      <c r="E43" s="227"/>
      <c r="F43" s="211" t="s">
        <v>219</v>
      </c>
      <c r="G43" s="212"/>
      <c r="H43" s="212"/>
      <c r="I43" s="212"/>
      <c r="J43" s="213"/>
    </row>
    <row r="44" spans="1:10" ht="13.9" customHeight="1" x14ac:dyDescent="0.2">
      <c r="A44" s="228" t="s">
        <v>82</v>
      </c>
      <c r="B44" s="229"/>
      <c r="C44" s="229"/>
      <c r="D44" s="229"/>
      <c r="E44" s="229"/>
      <c r="F44" s="214">
        <v>25643.11</v>
      </c>
      <c r="G44" s="215"/>
      <c r="H44" s="215"/>
      <c r="I44" s="215"/>
      <c r="J44" s="216"/>
    </row>
    <row r="45" spans="1:10" ht="13.9" customHeight="1" x14ac:dyDescent="0.2">
      <c r="A45" s="230" t="s">
        <v>83</v>
      </c>
      <c r="B45" s="231"/>
      <c r="C45" s="231"/>
      <c r="D45" s="231"/>
      <c r="E45" s="231"/>
      <c r="F45" s="208">
        <f>F44*12</f>
        <v>307717.32</v>
      </c>
      <c r="G45" s="209"/>
      <c r="H45" s="209"/>
      <c r="I45" s="209"/>
      <c r="J45" s="210"/>
    </row>
    <row r="46" spans="1:10" ht="18" customHeight="1" x14ac:dyDescent="0.2">
      <c r="A46" s="201" t="s">
        <v>30</v>
      </c>
      <c r="B46" s="202"/>
      <c r="C46" s="202"/>
      <c r="D46" s="202"/>
      <c r="E46" s="202"/>
      <c r="F46" s="203" t="s">
        <v>29</v>
      </c>
      <c r="G46" s="206"/>
      <c r="H46" s="206"/>
      <c r="I46" s="206"/>
      <c r="J46" s="207"/>
    </row>
    <row r="47" spans="1:10" ht="4.9000000000000004" customHeight="1" x14ac:dyDescent="0.2">
      <c r="A47" s="36"/>
      <c r="B47" s="36"/>
      <c r="C47" s="37"/>
      <c r="D47" s="37"/>
      <c r="E47" s="38"/>
      <c r="F47" s="40"/>
      <c r="G47" s="40"/>
      <c r="H47" s="40"/>
      <c r="I47" s="40"/>
      <c r="J47" s="40"/>
    </row>
    <row r="48" spans="1:10" ht="55.15" customHeight="1" x14ac:dyDescent="0.2">
      <c r="A48" s="200" t="s">
        <v>31</v>
      </c>
      <c r="B48" s="200"/>
      <c r="C48" s="200"/>
      <c r="D48" s="200"/>
      <c r="E48" s="200"/>
      <c r="F48" s="200"/>
      <c r="G48" s="200"/>
      <c r="H48" s="200"/>
      <c r="I48" s="200"/>
      <c r="J48" s="200"/>
    </row>
  </sheetData>
  <mergeCells count="15">
    <mergeCell ref="A5:E7"/>
    <mergeCell ref="A2:J2"/>
    <mergeCell ref="A3:J3"/>
    <mergeCell ref="A4:J4"/>
    <mergeCell ref="F8:J8"/>
    <mergeCell ref="F7:J7"/>
    <mergeCell ref="A46:E46"/>
    <mergeCell ref="A48:J48"/>
    <mergeCell ref="F46:J46"/>
    <mergeCell ref="A43:E43"/>
    <mergeCell ref="A44:E44"/>
    <mergeCell ref="A45:E45"/>
    <mergeCell ref="F43:J43"/>
    <mergeCell ref="F44:J44"/>
    <mergeCell ref="F45:J45"/>
  </mergeCells>
  <hyperlinks>
    <hyperlink ref="F7" r:id="rId1" xr:uid="{00000000-0004-0000-5E00-000000000000}"/>
    <hyperlink ref="F46" r:id="rId2" xr:uid="{00000000-0004-0000-5E00-000001000000}"/>
  </hyperlinks>
  <printOptions horizontalCentered="1"/>
  <pageMargins left="0.25" right="0.25" top="0.25" bottom="0.25" header="0" footer="0.3"/>
  <pageSetup scale="56" orientation="landscape"/>
  <headerFooter>
    <oddFooter>&amp;C&amp;"Tahoma,Regular"Page &amp;P of &amp;N</oddFooter>
  </headerFooter>
  <ignoredErrors>
    <ignoredError sqref="A4 A2" unlockedFormula="1"/>
  </ignoredError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3696-5032-4B61-9C1D-1D370E2D6522}">
  <sheetPr>
    <pageSetUpPr fitToPage="1"/>
  </sheetPr>
  <dimension ref="A1:DO61"/>
  <sheetViews>
    <sheetView zoomScaleNormal="100" zoomScaleSheetLayoutView="90" workbookViewId="0">
      <selection activeCell="A5" sqref="A5:B8"/>
    </sheetView>
  </sheetViews>
  <sheetFormatPr defaultColWidth="9.25" defaultRowHeight="15" x14ac:dyDescent="0.25"/>
  <cols>
    <col min="1" max="1" width="22.25" style="1" customWidth="1"/>
    <col min="2" max="2" width="6.25" style="1" customWidth="1"/>
    <col min="3" max="3" width="32.25" style="9" customWidth="1"/>
    <col min="4" max="4" width="32.25" style="1" customWidth="1"/>
    <col min="5" max="119" width="32.25" style="1" customWidth="1" collapsed="1"/>
    <col min="120" max="16384" width="9.25" style="1" collapsed="1"/>
  </cols>
  <sheetData>
    <row r="1" spans="1:119" ht="4.9000000000000004" customHeight="1" x14ac:dyDescent="0.25">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row>
    <row r="2" spans="1:119" ht="31.15" customHeight="1" x14ac:dyDescent="0.25">
      <c r="A2" s="250" t="str">
        <f>group_name</f>
        <v>Tuckerton Lumber Company</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1"/>
      <c r="AV2" s="251"/>
      <c r="AW2" s="251"/>
      <c r="AX2" s="251"/>
      <c r="AY2" s="251"/>
      <c r="AZ2" s="251"/>
      <c r="BA2" s="251"/>
      <c r="BB2" s="251"/>
      <c r="BC2" s="251"/>
      <c r="BD2" s="251"/>
      <c r="BE2" s="251"/>
      <c r="BF2" s="251"/>
      <c r="BG2" s="251"/>
      <c r="BH2" s="251"/>
      <c r="BI2" s="251"/>
      <c r="BJ2" s="251"/>
      <c r="BK2" s="251"/>
      <c r="BL2" s="251"/>
      <c r="BM2" s="251"/>
      <c r="BN2" s="251"/>
      <c r="BO2" s="251"/>
      <c r="BP2" s="251"/>
      <c r="BQ2" s="251"/>
      <c r="BR2" s="251"/>
      <c r="BS2" s="251"/>
      <c r="BT2" s="251"/>
      <c r="BU2" s="251"/>
      <c r="BV2" s="251"/>
      <c r="BW2" s="251"/>
      <c r="BX2" s="251"/>
      <c r="BY2" s="251"/>
      <c r="BZ2" s="251"/>
      <c r="CA2" s="251"/>
      <c r="CB2" s="251"/>
      <c r="CC2" s="251"/>
      <c r="CD2" s="251"/>
      <c r="CE2" s="251"/>
      <c r="CF2" s="251"/>
      <c r="CG2" s="251"/>
      <c r="CH2" s="251"/>
      <c r="CI2" s="251"/>
      <c r="CJ2" s="251"/>
      <c r="CK2" s="251"/>
      <c r="CL2" s="251"/>
      <c r="CM2" s="251"/>
      <c r="CN2" s="251"/>
      <c r="CO2" s="251"/>
      <c r="CP2" s="251"/>
      <c r="CQ2" s="251"/>
      <c r="CR2" s="251"/>
      <c r="CS2" s="251"/>
      <c r="CT2" s="251"/>
      <c r="CU2" s="251"/>
      <c r="CV2" s="251"/>
      <c r="CW2" s="251"/>
      <c r="CX2" s="251"/>
      <c r="CY2" s="251"/>
      <c r="CZ2" s="251"/>
      <c r="DA2" s="251"/>
      <c r="DB2" s="251"/>
      <c r="DC2" s="251"/>
      <c r="DD2" s="251"/>
      <c r="DE2" s="251"/>
      <c r="DF2" s="251"/>
      <c r="DG2" s="251"/>
      <c r="DH2" s="251"/>
      <c r="DI2" s="251"/>
      <c r="DJ2" s="251"/>
      <c r="DK2" s="251"/>
      <c r="DL2" s="251"/>
      <c r="DM2" s="251"/>
      <c r="DN2" s="251"/>
      <c r="DO2" s="251"/>
    </row>
    <row r="3" spans="1:119" ht="31.15" customHeight="1" x14ac:dyDescent="0.25">
      <c r="A3" s="170" t="s">
        <v>84</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71"/>
      <c r="DK3" s="171"/>
      <c r="DL3" s="171"/>
      <c r="DM3" s="171"/>
      <c r="DN3" s="171"/>
      <c r="DO3" s="171"/>
    </row>
    <row r="4" spans="1:119" s="2" customFormat="1" ht="31.15" customHeight="1" x14ac:dyDescent="0.25">
      <c r="A4" s="173" t="str">
        <f>"Effective Date: "&amp;TEXT(effective_date,"MM/DD/YYYY")</f>
        <v>Effective Date: 06/01/2026</v>
      </c>
      <c r="B4" s="174"/>
      <c r="C4" s="174"/>
      <c r="D4" s="174"/>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c r="CD4" s="174"/>
      <c r="CE4" s="174"/>
      <c r="CF4" s="174"/>
      <c r="CG4" s="174"/>
      <c r="CH4" s="174"/>
      <c r="CI4" s="174"/>
      <c r="CJ4" s="174"/>
      <c r="CK4" s="174"/>
      <c r="CL4" s="174"/>
      <c r="CM4" s="174"/>
      <c r="CN4" s="174"/>
      <c r="CO4" s="174"/>
      <c r="CP4" s="174"/>
      <c r="CQ4" s="174"/>
      <c r="CR4" s="174"/>
      <c r="CS4" s="174"/>
      <c r="CT4" s="174"/>
      <c r="CU4" s="174"/>
      <c r="CV4" s="174"/>
      <c r="CW4" s="174"/>
      <c r="CX4" s="174"/>
      <c r="CY4" s="174"/>
      <c r="CZ4" s="174"/>
      <c r="DA4" s="174"/>
      <c r="DB4" s="174"/>
      <c r="DC4" s="174"/>
      <c r="DD4" s="174"/>
      <c r="DE4" s="174"/>
      <c r="DF4" s="174"/>
      <c r="DG4" s="174"/>
      <c r="DH4" s="174"/>
      <c r="DI4" s="174"/>
      <c r="DJ4" s="174"/>
      <c r="DK4" s="174"/>
      <c r="DL4" s="174"/>
      <c r="DM4" s="174"/>
      <c r="DN4" s="174"/>
      <c r="DO4" s="174"/>
    </row>
    <row r="5" spans="1:119" s="2" customFormat="1" ht="14.25" x14ac:dyDescent="0.25">
      <c r="A5" s="254"/>
      <c r="B5" s="255"/>
      <c r="C5" s="109" t="s">
        <v>101</v>
      </c>
      <c r="D5" s="109" t="s">
        <v>101</v>
      </c>
      <c r="E5" s="109" t="s">
        <v>101</v>
      </c>
      <c r="F5" s="109" t="s">
        <v>101</v>
      </c>
      <c r="G5" s="109" t="s">
        <v>101</v>
      </c>
      <c r="H5" s="109" t="s">
        <v>101</v>
      </c>
      <c r="I5" s="109" t="s">
        <v>101</v>
      </c>
      <c r="J5" s="109" t="s">
        <v>101</v>
      </c>
      <c r="K5" s="109" t="s">
        <v>101</v>
      </c>
      <c r="L5" s="109" t="s">
        <v>101</v>
      </c>
      <c r="M5" s="109" t="s">
        <v>101</v>
      </c>
      <c r="N5" s="109" t="s">
        <v>101</v>
      </c>
      <c r="O5" s="109" t="s">
        <v>101</v>
      </c>
      <c r="P5" s="109" t="s">
        <v>167</v>
      </c>
      <c r="Q5" s="109" t="s">
        <v>101</v>
      </c>
      <c r="R5" s="109" t="s">
        <v>172</v>
      </c>
      <c r="S5" s="109" t="s">
        <v>101</v>
      </c>
      <c r="T5" s="109" t="s">
        <v>101</v>
      </c>
      <c r="U5" s="109" t="s">
        <v>101</v>
      </c>
      <c r="V5" s="109" t="s">
        <v>101</v>
      </c>
      <c r="W5" s="109" t="s">
        <v>167</v>
      </c>
      <c r="X5" s="109" t="s">
        <v>167</v>
      </c>
      <c r="Y5" s="109" t="s">
        <v>172</v>
      </c>
      <c r="Z5" s="109" t="s">
        <v>101</v>
      </c>
      <c r="AA5" s="109" t="s">
        <v>101</v>
      </c>
      <c r="AB5" s="109" t="s">
        <v>101</v>
      </c>
      <c r="AC5" s="109" t="s">
        <v>172</v>
      </c>
      <c r="AD5" s="109" t="s">
        <v>167</v>
      </c>
      <c r="AE5" s="109" t="s">
        <v>101</v>
      </c>
      <c r="AF5" s="109" t="s">
        <v>172</v>
      </c>
      <c r="AG5" s="109" t="s">
        <v>167</v>
      </c>
      <c r="AH5" s="109" t="s">
        <v>167</v>
      </c>
      <c r="AI5" s="109" t="s">
        <v>101</v>
      </c>
      <c r="AJ5" s="109" t="s">
        <v>167</v>
      </c>
      <c r="AK5" s="109" t="s">
        <v>167</v>
      </c>
      <c r="AL5" s="109" t="s">
        <v>167</v>
      </c>
      <c r="AM5" s="109" t="s">
        <v>172</v>
      </c>
      <c r="AN5" s="109" t="s">
        <v>167</v>
      </c>
      <c r="AO5" s="109" t="s">
        <v>101</v>
      </c>
      <c r="AP5" s="109" t="s">
        <v>101</v>
      </c>
      <c r="AQ5" s="109" t="s">
        <v>101</v>
      </c>
      <c r="AR5" s="109" t="s">
        <v>101</v>
      </c>
      <c r="AS5" s="109" t="s">
        <v>101</v>
      </c>
      <c r="AT5" s="109" t="s">
        <v>101</v>
      </c>
      <c r="AU5" s="109" t="s">
        <v>101</v>
      </c>
      <c r="AV5" s="109" t="s">
        <v>101</v>
      </c>
      <c r="AW5" s="109" t="s">
        <v>101</v>
      </c>
      <c r="AX5" s="109" t="s">
        <v>101</v>
      </c>
      <c r="AY5" s="109" t="s">
        <v>101</v>
      </c>
      <c r="AZ5" s="109" t="s">
        <v>101</v>
      </c>
      <c r="BA5" s="109" t="s">
        <v>101</v>
      </c>
      <c r="BB5" s="109" t="s">
        <v>101</v>
      </c>
      <c r="BC5" s="109" t="s">
        <v>167</v>
      </c>
      <c r="BD5" s="109" t="s">
        <v>101</v>
      </c>
      <c r="BE5" s="109" t="s">
        <v>172</v>
      </c>
      <c r="BF5" s="109" t="s">
        <v>101</v>
      </c>
      <c r="BG5" s="109" t="s">
        <v>101</v>
      </c>
      <c r="BH5" s="109" t="s">
        <v>101</v>
      </c>
      <c r="BI5" s="109" t="s">
        <v>101</v>
      </c>
      <c r="BJ5" s="109" t="s">
        <v>167</v>
      </c>
      <c r="BK5" s="109" t="s">
        <v>167</v>
      </c>
      <c r="BL5" s="109" t="s">
        <v>172</v>
      </c>
      <c r="BM5" s="109" t="s">
        <v>101</v>
      </c>
      <c r="BN5" s="109" t="s">
        <v>101</v>
      </c>
      <c r="BO5" s="109" t="s">
        <v>101</v>
      </c>
      <c r="BP5" s="109" t="s">
        <v>172</v>
      </c>
      <c r="BQ5" s="109" t="s">
        <v>167</v>
      </c>
      <c r="BR5" s="109" t="s">
        <v>101</v>
      </c>
      <c r="BS5" s="109" t="s">
        <v>172</v>
      </c>
      <c r="BT5" s="109" t="s">
        <v>167</v>
      </c>
      <c r="BU5" s="109" t="s">
        <v>167</v>
      </c>
      <c r="BV5" s="109" t="s">
        <v>101</v>
      </c>
      <c r="BW5" s="109" t="s">
        <v>167</v>
      </c>
      <c r="BX5" s="109" t="s">
        <v>167</v>
      </c>
      <c r="BY5" s="109" t="s">
        <v>167</v>
      </c>
      <c r="BZ5" s="109" t="s">
        <v>172</v>
      </c>
      <c r="CA5" s="109" t="s">
        <v>167</v>
      </c>
      <c r="CB5" s="109" t="s">
        <v>101</v>
      </c>
      <c r="CC5" s="109" t="s">
        <v>101</v>
      </c>
      <c r="CD5" s="109" t="s">
        <v>101</v>
      </c>
      <c r="CE5" s="109" t="s">
        <v>101</v>
      </c>
      <c r="CF5" s="109" t="s">
        <v>101</v>
      </c>
      <c r="CG5" s="109" t="s">
        <v>101</v>
      </c>
      <c r="CH5" s="109" t="s">
        <v>101</v>
      </c>
      <c r="CI5" s="109" t="s">
        <v>101</v>
      </c>
      <c r="CJ5" s="109" t="s">
        <v>101</v>
      </c>
      <c r="CK5" s="109" t="s">
        <v>101</v>
      </c>
      <c r="CL5" s="109" t="s">
        <v>101</v>
      </c>
      <c r="CM5" s="109" t="s">
        <v>101</v>
      </c>
      <c r="CN5" s="109" t="s">
        <v>101</v>
      </c>
      <c r="CO5" s="109" t="s">
        <v>101</v>
      </c>
      <c r="CP5" s="109" t="s">
        <v>167</v>
      </c>
      <c r="CQ5" s="109" t="s">
        <v>101</v>
      </c>
      <c r="CR5" s="109" t="s">
        <v>172</v>
      </c>
      <c r="CS5" s="109" t="s">
        <v>101</v>
      </c>
      <c r="CT5" s="109" t="s">
        <v>101</v>
      </c>
      <c r="CU5" s="109" t="s">
        <v>101</v>
      </c>
      <c r="CV5" s="109" t="s">
        <v>101</v>
      </c>
      <c r="CW5" s="109" t="s">
        <v>167</v>
      </c>
      <c r="CX5" s="109" t="s">
        <v>167</v>
      </c>
      <c r="CY5" s="109" t="s">
        <v>172</v>
      </c>
      <c r="CZ5" s="109" t="s">
        <v>101</v>
      </c>
      <c r="DA5" s="109" t="s">
        <v>101</v>
      </c>
      <c r="DB5" s="109" t="s">
        <v>101</v>
      </c>
      <c r="DC5" s="109" t="s">
        <v>172</v>
      </c>
      <c r="DD5" s="109" t="s">
        <v>167</v>
      </c>
      <c r="DE5" s="109" t="s">
        <v>101</v>
      </c>
      <c r="DF5" s="109" t="s">
        <v>172</v>
      </c>
      <c r="DG5" s="109" t="s">
        <v>167</v>
      </c>
      <c r="DH5" s="109" t="s">
        <v>167</v>
      </c>
      <c r="DI5" s="109" t="s">
        <v>101</v>
      </c>
      <c r="DJ5" s="109" t="s">
        <v>167</v>
      </c>
      <c r="DK5" s="109" t="s">
        <v>167</v>
      </c>
      <c r="DL5" s="109" t="s">
        <v>167</v>
      </c>
      <c r="DM5" s="109" t="s">
        <v>172</v>
      </c>
      <c r="DN5" s="109" t="s">
        <v>167</v>
      </c>
      <c r="DO5" s="109" t="s">
        <v>101</v>
      </c>
    </row>
    <row r="6" spans="1:119" s="2" customFormat="1" ht="42.75" x14ac:dyDescent="0.25">
      <c r="A6" s="256"/>
      <c r="B6" s="257"/>
      <c r="C6" s="110" t="s">
        <v>511</v>
      </c>
      <c r="D6" s="110" t="s">
        <v>512</v>
      </c>
      <c r="E6" s="110" t="s">
        <v>513</v>
      </c>
      <c r="F6" s="110" t="s">
        <v>514</v>
      </c>
      <c r="G6" s="110" t="s">
        <v>515</v>
      </c>
      <c r="H6" s="110" t="s">
        <v>516</v>
      </c>
      <c r="I6" s="110" t="s">
        <v>517</v>
      </c>
      <c r="J6" s="110" t="s">
        <v>518</v>
      </c>
      <c r="K6" s="110" t="s">
        <v>519</v>
      </c>
      <c r="L6" s="110" t="s">
        <v>520</v>
      </c>
      <c r="M6" s="110" t="s">
        <v>521</v>
      </c>
      <c r="N6" s="110" t="s">
        <v>522</v>
      </c>
      <c r="O6" s="110" t="s">
        <v>523</v>
      </c>
      <c r="P6" s="110" t="s">
        <v>524</v>
      </c>
      <c r="Q6" s="110" t="s">
        <v>525</v>
      </c>
      <c r="R6" s="110" t="s">
        <v>526</v>
      </c>
      <c r="S6" s="110" t="s">
        <v>527</v>
      </c>
      <c r="T6" s="110" t="s">
        <v>528</v>
      </c>
      <c r="U6" s="110" t="s">
        <v>529</v>
      </c>
      <c r="V6" s="110" t="s">
        <v>530</v>
      </c>
      <c r="W6" s="110" t="s">
        <v>531</v>
      </c>
      <c r="X6" s="110" t="s">
        <v>532</v>
      </c>
      <c r="Y6" s="110" t="s">
        <v>533</v>
      </c>
      <c r="Z6" s="110" t="s">
        <v>534</v>
      </c>
      <c r="AA6" s="110" t="s">
        <v>535</v>
      </c>
      <c r="AB6" s="110" t="s">
        <v>536</v>
      </c>
      <c r="AC6" s="110" t="s">
        <v>537</v>
      </c>
      <c r="AD6" s="110" t="s">
        <v>538</v>
      </c>
      <c r="AE6" s="110" t="s">
        <v>539</v>
      </c>
      <c r="AF6" s="110" t="s">
        <v>540</v>
      </c>
      <c r="AG6" s="110" t="s">
        <v>541</v>
      </c>
      <c r="AH6" s="110" t="s">
        <v>542</v>
      </c>
      <c r="AI6" s="110" t="s">
        <v>543</v>
      </c>
      <c r="AJ6" s="110" t="s">
        <v>544</v>
      </c>
      <c r="AK6" s="110" t="s">
        <v>545</v>
      </c>
      <c r="AL6" s="110" t="s">
        <v>546</v>
      </c>
      <c r="AM6" s="110" t="s">
        <v>547</v>
      </c>
      <c r="AN6" s="110" t="s">
        <v>548</v>
      </c>
      <c r="AO6" s="110" t="s">
        <v>549</v>
      </c>
      <c r="AP6" s="110" t="s">
        <v>550</v>
      </c>
      <c r="AQ6" s="110" t="s">
        <v>551</v>
      </c>
      <c r="AR6" s="110" t="s">
        <v>552</v>
      </c>
      <c r="AS6" s="110" t="s">
        <v>553</v>
      </c>
      <c r="AT6" s="110" t="s">
        <v>554</v>
      </c>
      <c r="AU6" s="110" t="s">
        <v>555</v>
      </c>
      <c r="AV6" s="110" t="s">
        <v>556</v>
      </c>
      <c r="AW6" s="110" t="s">
        <v>557</v>
      </c>
      <c r="AX6" s="110" t="s">
        <v>558</v>
      </c>
      <c r="AY6" s="110" t="s">
        <v>559</v>
      </c>
      <c r="AZ6" s="110" t="s">
        <v>560</v>
      </c>
      <c r="BA6" s="110" t="s">
        <v>561</v>
      </c>
      <c r="BB6" s="110" t="s">
        <v>562</v>
      </c>
      <c r="BC6" s="110" t="s">
        <v>563</v>
      </c>
      <c r="BD6" s="110" t="s">
        <v>564</v>
      </c>
      <c r="BE6" s="110" t="s">
        <v>565</v>
      </c>
      <c r="BF6" s="110" t="s">
        <v>566</v>
      </c>
      <c r="BG6" s="110" t="s">
        <v>567</v>
      </c>
      <c r="BH6" s="110" t="s">
        <v>568</v>
      </c>
      <c r="BI6" s="110" t="s">
        <v>569</v>
      </c>
      <c r="BJ6" s="110" t="s">
        <v>570</v>
      </c>
      <c r="BK6" s="110" t="s">
        <v>571</v>
      </c>
      <c r="BL6" s="110" t="s">
        <v>572</v>
      </c>
      <c r="BM6" s="110" t="s">
        <v>573</v>
      </c>
      <c r="BN6" s="110" t="s">
        <v>574</v>
      </c>
      <c r="BO6" s="110" t="s">
        <v>575</v>
      </c>
      <c r="BP6" s="110" t="s">
        <v>576</v>
      </c>
      <c r="BQ6" s="110" t="s">
        <v>577</v>
      </c>
      <c r="BR6" s="110" t="s">
        <v>578</v>
      </c>
      <c r="BS6" s="110" t="s">
        <v>579</v>
      </c>
      <c r="BT6" s="110" t="s">
        <v>580</v>
      </c>
      <c r="BU6" s="110" t="s">
        <v>581</v>
      </c>
      <c r="BV6" s="110" t="s">
        <v>582</v>
      </c>
      <c r="BW6" s="110" t="s">
        <v>583</v>
      </c>
      <c r="BX6" s="110" t="s">
        <v>584</v>
      </c>
      <c r="BY6" s="110" t="s">
        <v>585</v>
      </c>
      <c r="BZ6" s="110" t="s">
        <v>586</v>
      </c>
      <c r="CA6" s="110" t="s">
        <v>587</v>
      </c>
      <c r="CB6" s="110" t="s">
        <v>588</v>
      </c>
      <c r="CC6" s="110" t="s">
        <v>589</v>
      </c>
      <c r="CD6" s="110" t="s">
        <v>590</v>
      </c>
      <c r="CE6" s="110" t="s">
        <v>591</v>
      </c>
      <c r="CF6" s="110" t="s">
        <v>592</v>
      </c>
      <c r="CG6" s="110" t="s">
        <v>593</v>
      </c>
      <c r="CH6" s="110" t="s">
        <v>594</v>
      </c>
      <c r="CI6" s="110" t="s">
        <v>595</v>
      </c>
      <c r="CJ6" s="110" t="s">
        <v>596</v>
      </c>
      <c r="CK6" s="110" t="s">
        <v>597</v>
      </c>
      <c r="CL6" s="110" t="s">
        <v>598</v>
      </c>
      <c r="CM6" s="110" t="s">
        <v>599</v>
      </c>
      <c r="CN6" s="110" t="s">
        <v>600</v>
      </c>
      <c r="CO6" s="110" t="s">
        <v>601</v>
      </c>
      <c r="CP6" s="110" t="s">
        <v>602</v>
      </c>
      <c r="CQ6" s="110" t="s">
        <v>603</v>
      </c>
      <c r="CR6" s="110" t="s">
        <v>604</v>
      </c>
      <c r="CS6" s="110" t="s">
        <v>605</v>
      </c>
      <c r="CT6" s="110" t="s">
        <v>606</v>
      </c>
      <c r="CU6" s="110" t="s">
        <v>607</v>
      </c>
      <c r="CV6" s="110" t="s">
        <v>608</v>
      </c>
      <c r="CW6" s="110" t="s">
        <v>609</v>
      </c>
      <c r="CX6" s="110" t="s">
        <v>610</v>
      </c>
      <c r="CY6" s="110" t="s">
        <v>611</v>
      </c>
      <c r="CZ6" s="110" t="s">
        <v>612</v>
      </c>
      <c r="DA6" s="110" t="s">
        <v>613</v>
      </c>
      <c r="DB6" s="110" t="s">
        <v>614</v>
      </c>
      <c r="DC6" s="110" t="s">
        <v>615</v>
      </c>
      <c r="DD6" s="110" t="s">
        <v>616</v>
      </c>
      <c r="DE6" s="110" t="s">
        <v>617</v>
      </c>
      <c r="DF6" s="110" t="s">
        <v>618</v>
      </c>
      <c r="DG6" s="110" t="s">
        <v>619</v>
      </c>
      <c r="DH6" s="110" t="s">
        <v>620</v>
      </c>
      <c r="DI6" s="110" t="s">
        <v>621</v>
      </c>
      <c r="DJ6" s="110" t="s">
        <v>622</v>
      </c>
      <c r="DK6" s="110" t="s">
        <v>623</v>
      </c>
      <c r="DL6" s="110" t="s">
        <v>624</v>
      </c>
      <c r="DM6" s="110" t="s">
        <v>625</v>
      </c>
      <c r="DN6" s="110" t="s">
        <v>626</v>
      </c>
      <c r="DO6" s="110" t="s">
        <v>627</v>
      </c>
    </row>
    <row r="7" spans="1:119" s="2" customFormat="1" ht="14.25" x14ac:dyDescent="0.25">
      <c r="A7" s="256"/>
      <c r="B7" s="257"/>
      <c r="C7" s="111">
        <v>46174</v>
      </c>
      <c r="D7" s="111">
        <v>46174</v>
      </c>
      <c r="E7" s="111">
        <v>46174</v>
      </c>
      <c r="F7" s="111">
        <v>46174</v>
      </c>
      <c r="G7" s="111">
        <v>46174</v>
      </c>
      <c r="H7" s="111">
        <v>46174</v>
      </c>
      <c r="I7" s="111">
        <v>46174</v>
      </c>
      <c r="J7" s="111">
        <v>46174</v>
      </c>
      <c r="K7" s="111">
        <v>46174</v>
      </c>
      <c r="L7" s="111">
        <v>46174</v>
      </c>
      <c r="M7" s="111">
        <v>46174</v>
      </c>
      <c r="N7" s="111">
        <v>46174</v>
      </c>
      <c r="O7" s="111">
        <v>46174</v>
      </c>
      <c r="P7" s="111">
        <v>46174</v>
      </c>
      <c r="Q7" s="111">
        <v>46174</v>
      </c>
      <c r="R7" s="111">
        <v>46174</v>
      </c>
      <c r="S7" s="111">
        <v>46174</v>
      </c>
      <c r="T7" s="111">
        <v>46174</v>
      </c>
      <c r="U7" s="111">
        <v>46174</v>
      </c>
      <c r="V7" s="111">
        <v>46174</v>
      </c>
      <c r="W7" s="111">
        <v>46174</v>
      </c>
      <c r="X7" s="111">
        <v>46174</v>
      </c>
      <c r="Y7" s="111">
        <v>46174</v>
      </c>
      <c r="Z7" s="111">
        <v>46174</v>
      </c>
      <c r="AA7" s="111">
        <v>46174</v>
      </c>
      <c r="AB7" s="111">
        <v>46174</v>
      </c>
      <c r="AC7" s="111">
        <v>46174</v>
      </c>
      <c r="AD7" s="111">
        <v>46174</v>
      </c>
      <c r="AE7" s="111">
        <v>46174</v>
      </c>
      <c r="AF7" s="111">
        <v>46174</v>
      </c>
      <c r="AG7" s="111">
        <v>46174</v>
      </c>
      <c r="AH7" s="111">
        <v>46174</v>
      </c>
      <c r="AI7" s="111">
        <v>46174</v>
      </c>
      <c r="AJ7" s="111">
        <v>46174</v>
      </c>
      <c r="AK7" s="111">
        <v>46174</v>
      </c>
      <c r="AL7" s="111">
        <v>46174</v>
      </c>
      <c r="AM7" s="111">
        <v>46174</v>
      </c>
      <c r="AN7" s="111">
        <v>46174</v>
      </c>
      <c r="AO7" s="111">
        <v>46174</v>
      </c>
      <c r="AP7" s="111">
        <v>46174</v>
      </c>
      <c r="AQ7" s="111">
        <v>46174</v>
      </c>
      <c r="AR7" s="111">
        <v>46174</v>
      </c>
      <c r="AS7" s="111">
        <v>46174</v>
      </c>
      <c r="AT7" s="111">
        <v>46174</v>
      </c>
      <c r="AU7" s="111">
        <v>46174</v>
      </c>
      <c r="AV7" s="111">
        <v>46174</v>
      </c>
      <c r="AW7" s="111">
        <v>46174</v>
      </c>
      <c r="AX7" s="111">
        <v>46174</v>
      </c>
      <c r="AY7" s="111">
        <v>46174</v>
      </c>
      <c r="AZ7" s="111">
        <v>46174</v>
      </c>
      <c r="BA7" s="111">
        <v>46174</v>
      </c>
      <c r="BB7" s="111">
        <v>46174</v>
      </c>
      <c r="BC7" s="111">
        <v>46174</v>
      </c>
      <c r="BD7" s="111">
        <v>46174</v>
      </c>
      <c r="BE7" s="111">
        <v>46174</v>
      </c>
      <c r="BF7" s="111">
        <v>46174</v>
      </c>
      <c r="BG7" s="111">
        <v>46174</v>
      </c>
      <c r="BH7" s="111">
        <v>46174</v>
      </c>
      <c r="BI7" s="111">
        <v>46174</v>
      </c>
      <c r="BJ7" s="111">
        <v>46174</v>
      </c>
      <c r="BK7" s="111">
        <v>46174</v>
      </c>
      <c r="BL7" s="111">
        <v>46174</v>
      </c>
      <c r="BM7" s="111">
        <v>46174</v>
      </c>
      <c r="BN7" s="111">
        <v>46174</v>
      </c>
      <c r="BO7" s="111">
        <v>46174</v>
      </c>
      <c r="BP7" s="111">
        <v>46174</v>
      </c>
      <c r="BQ7" s="111">
        <v>46174</v>
      </c>
      <c r="BR7" s="111">
        <v>46174</v>
      </c>
      <c r="BS7" s="111">
        <v>46174</v>
      </c>
      <c r="BT7" s="111">
        <v>46174</v>
      </c>
      <c r="BU7" s="111">
        <v>46174</v>
      </c>
      <c r="BV7" s="111">
        <v>46174</v>
      </c>
      <c r="BW7" s="111">
        <v>46174</v>
      </c>
      <c r="BX7" s="111">
        <v>46174</v>
      </c>
      <c r="BY7" s="111">
        <v>46174</v>
      </c>
      <c r="BZ7" s="111">
        <v>46174</v>
      </c>
      <c r="CA7" s="111">
        <v>46174</v>
      </c>
      <c r="CB7" s="111">
        <v>46174</v>
      </c>
      <c r="CC7" s="111">
        <v>46174</v>
      </c>
      <c r="CD7" s="111">
        <v>46174</v>
      </c>
      <c r="CE7" s="111">
        <v>46174</v>
      </c>
      <c r="CF7" s="111">
        <v>46174</v>
      </c>
      <c r="CG7" s="111">
        <v>46174</v>
      </c>
      <c r="CH7" s="111">
        <v>46174</v>
      </c>
      <c r="CI7" s="111">
        <v>46174</v>
      </c>
      <c r="CJ7" s="111">
        <v>46174</v>
      </c>
      <c r="CK7" s="111">
        <v>46174</v>
      </c>
      <c r="CL7" s="111">
        <v>46174</v>
      </c>
      <c r="CM7" s="111">
        <v>46174</v>
      </c>
      <c r="CN7" s="111">
        <v>46174</v>
      </c>
      <c r="CO7" s="111">
        <v>46174</v>
      </c>
      <c r="CP7" s="111">
        <v>46174</v>
      </c>
      <c r="CQ7" s="111">
        <v>46174</v>
      </c>
      <c r="CR7" s="111">
        <v>46174</v>
      </c>
      <c r="CS7" s="111">
        <v>46174</v>
      </c>
      <c r="CT7" s="111">
        <v>46174</v>
      </c>
      <c r="CU7" s="111">
        <v>46174</v>
      </c>
      <c r="CV7" s="111">
        <v>46174</v>
      </c>
      <c r="CW7" s="111">
        <v>46174</v>
      </c>
      <c r="CX7" s="111">
        <v>46174</v>
      </c>
      <c r="CY7" s="111">
        <v>46174</v>
      </c>
      <c r="CZ7" s="111">
        <v>46174</v>
      </c>
      <c r="DA7" s="111">
        <v>46174</v>
      </c>
      <c r="DB7" s="111">
        <v>46174</v>
      </c>
      <c r="DC7" s="111">
        <v>46174</v>
      </c>
      <c r="DD7" s="111">
        <v>46174</v>
      </c>
      <c r="DE7" s="111">
        <v>46174</v>
      </c>
      <c r="DF7" s="111">
        <v>46174</v>
      </c>
      <c r="DG7" s="111">
        <v>46174</v>
      </c>
      <c r="DH7" s="111">
        <v>46174</v>
      </c>
      <c r="DI7" s="111">
        <v>46174</v>
      </c>
      <c r="DJ7" s="111">
        <v>46174</v>
      </c>
      <c r="DK7" s="111">
        <v>46174</v>
      </c>
      <c r="DL7" s="111">
        <v>46174</v>
      </c>
      <c r="DM7" s="111">
        <v>46174</v>
      </c>
      <c r="DN7" s="111">
        <v>46174</v>
      </c>
      <c r="DO7" s="111">
        <v>46174</v>
      </c>
    </row>
    <row r="8" spans="1:119" s="2" customFormat="1" ht="14.25" x14ac:dyDescent="0.25">
      <c r="A8" s="258"/>
      <c r="B8" s="259"/>
      <c r="C8" s="130" t="s">
        <v>58</v>
      </c>
      <c r="D8" s="130" t="s">
        <v>58</v>
      </c>
      <c r="E8" s="130" t="s">
        <v>58</v>
      </c>
      <c r="F8" s="130" t="s">
        <v>58</v>
      </c>
      <c r="G8" s="130" t="s">
        <v>58</v>
      </c>
      <c r="H8" s="130" t="s">
        <v>58</v>
      </c>
      <c r="I8" s="130" t="s">
        <v>58</v>
      </c>
      <c r="J8" s="130" t="s">
        <v>58</v>
      </c>
      <c r="K8" s="130" t="s">
        <v>58</v>
      </c>
      <c r="L8" s="130" t="s">
        <v>58</v>
      </c>
      <c r="M8" s="130" t="s">
        <v>58</v>
      </c>
      <c r="N8" s="130" t="s">
        <v>58</v>
      </c>
      <c r="O8" s="130" t="s">
        <v>58</v>
      </c>
      <c r="P8" s="130" t="s">
        <v>58</v>
      </c>
      <c r="Q8" s="130" t="s">
        <v>58</v>
      </c>
      <c r="R8" s="130" t="s">
        <v>58</v>
      </c>
      <c r="S8" s="130" t="s">
        <v>58</v>
      </c>
      <c r="T8" s="130" t="s">
        <v>58</v>
      </c>
      <c r="U8" s="130" t="s">
        <v>58</v>
      </c>
      <c r="V8" s="130" t="s">
        <v>58</v>
      </c>
      <c r="W8" s="130" t="s">
        <v>58</v>
      </c>
      <c r="X8" s="130" t="s">
        <v>58</v>
      </c>
      <c r="Y8" s="130" t="s">
        <v>58</v>
      </c>
      <c r="Z8" s="130" t="s">
        <v>58</v>
      </c>
      <c r="AA8" s="130" t="s">
        <v>58</v>
      </c>
      <c r="AB8" s="130" t="s">
        <v>58</v>
      </c>
      <c r="AC8" s="130" t="s">
        <v>58</v>
      </c>
      <c r="AD8" s="130" t="s">
        <v>58</v>
      </c>
      <c r="AE8" s="130" t="s">
        <v>58</v>
      </c>
      <c r="AF8" s="130" t="s">
        <v>58</v>
      </c>
      <c r="AG8" s="130" t="s">
        <v>58</v>
      </c>
      <c r="AH8" s="130" t="s">
        <v>58</v>
      </c>
      <c r="AI8" s="130" t="s">
        <v>58</v>
      </c>
      <c r="AJ8" s="130" t="s">
        <v>58</v>
      </c>
      <c r="AK8" s="130" t="s">
        <v>58</v>
      </c>
      <c r="AL8" s="130" t="s">
        <v>58</v>
      </c>
      <c r="AM8" s="130" t="s">
        <v>58</v>
      </c>
      <c r="AN8" s="130" t="s">
        <v>58</v>
      </c>
      <c r="AO8" s="130" t="s">
        <v>58</v>
      </c>
      <c r="AP8" s="130" t="s">
        <v>58</v>
      </c>
      <c r="AQ8" s="130" t="s">
        <v>58</v>
      </c>
      <c r="AR8" s="130" t="s">
        <v>58</v>
      </c>
      <c r="AS8" s="130" t="s">
        <v>58</v>
      </c>
      <c r="AT8" s="130" t="s">
        <v>58</v>
      </c>
      <c r="AU8" s="130" t="s">
        <v>58</v>
      </c>
      <c r="AV8" s="130" t="s">
        <v>58</v>
      </c>
      <c r="AW8" s="130" t="s">
        <v>58</v>
      </c>
      <c r="AX8" s="130" t="s">
        <v>58</v>
      </c>
      <c r="AY8" s="130" t="s">
        <v>58</v>
      </c>
      <c r="AZ8" s="130" t="s">
        <v>58</v>
      </c>
      <c r="BA8" s="130" t="s">
        <v>58</v>
      </c>
      <c r="BB8" s="130" t="s">
        <v>58</v>
      </c>
      <c r="BC8" s="130" t="s">
        <v>58</v>
      </c>
      <c r="BD8" s="130" t="s">
        <v>58</v>
      </c>
      <c r="BE8" s="130" t="s">
        <v>58</v>
      </c>
      <c r="BF8" s="130" t="s">
        <v>58</v>
      </c>
      <c r="BG8" s="130" t="s">
        <v>58</v>
      </c>
      <c r="BH8" s="130" t="s">
        <v>58</v>
      </c>
      <c r="BI8" s="130" t="s">
        <v>58</v>
      </c>
      <c r="BJ8" s="130" t="s">
        <v>58</v>
      </c>
      <c r="BK8" s="130" t="s">
        <v>58</v>
      </c>
      <c r="BL8" s="130" t="s">
        <v>58</v>
      </c>
      <c r="BM8" s="130" t="s">
        <v>58</v>
      </c>
      <c r="BN8" s="130" t="s">
        <v>58</v>
      </c>
      <c r="BO8" s="130" t="s">
        <v>58</v>
      </c>
      <c r="BP8" s="130" t="s">
        <v>58</v>
      </c>
      <c r="BQ8" s="130" t="s">
        <v>58</v>
      </c>
      <c r="BR8" s="130" t="s">
        <v>58</v>
      </c>
      <c r="BS8" s="130" t="s">
        <v>58</v>
      </c>
      <c r="BT8" s="130" t="s">
        <v>58</v>
      </c>
      <c r="BU8" s="130" t="s">
        <v>58</v>
      </c>
      <c r="BV8" s="130" t="s">
        <v>58</v>
      </c>
      <c r="BW8" s="130" t="s">
        <v>58</v>
      </c>
      <c r="BX8" s="130" t="s">
        <v>58</v>
      </c>
      <c r="BY8" s="130" t="s">
        <v>58</v>
      </c>
      <c r="BZ8" s="130" t="s">
        <v>58</v>
      </c>
      <c r="CA8" s="130" t="s">
        <v>58</v>
      </c>
      <c r="CB8" s="130" t="s">
        <v>58</v>
      </c>
      <c r="CC8" s="130" t="s">
        <v>58</v>
      </c>
      <c r="CD8" s="130" t="s">
        <v>58</v>
      </c>
      <c r="CE8" s="130" t="s">
        <v>58</v>
      </c>
      <c r="CF8" s="130" t="s">
        <v>58</v>
      </c>
      <c r="CG8" s="130" t="s">
        <v>58</v>
      </c>
      <c r="CH8" s="130" t="s">
        <v>58</v>
      </c>
      <c r="CI8" s="130" t="s">
        <v>58</v>
      </c>
      <c r="CJ8" s="130" t="s">
        <v>58</v>
      </c>
      <c r="CK8" s="130" t="s">
        <v>58</v>
      </c>
      <c r="CL8" s="130" t="s">
        <v>58</v>
      </c>
      <c r="CM8" s="130" t="s">
        <v>58</v>
      </c>
      <c r="CN8" s="130" t="s">
        <v>58</v>
      </c>
      <c r="CO8" s="130" t="s">
        <v>58</v>
      </c>
      <c r="CP8" s="130" t="s">
        <v>58</v>
      </c>
      <c r="CQ8" s="130" t="s">
        <v>58</v>
      </c>
      <c r="CR8" s="130" t="s">
        <v>58</v>
      </c>
      <c r="CS8" s="130" t="s">
        <v>58</v>
      </c>
      <c r="CT8" s="130" t="s">
        <v>58</v>
      </c>
      <c r="CU8" s="130" t="s">
        <v>58</v>
      </c>
      <c r="CV8" s="130" t="s">
        <v>58</v>
      </c>
      <c r="CW8" s="130" t="s">
        <v>58</v>
      </c>
      <c r="CX8" s="130" t="s">
        <v>58</v>
      </c>
      <c r="CY8" s="130" t="s">
        <v>58</v>
      </c>
      <c r="CZ8" s="130" t="s">
        <v>58</v>
      </c>
      <c r="DA8" s="130" t="s">
        <v>58</v>
      </c>
      <c r="DB8" s="130" t="s">
        <v>58</v>
      </c>
      <c r="DC8" s="130" t="s">
        <v>58</v>
      </c>
      <c r="DD8" s="130" t="s">
        <v>58</v>
      </c>
      <c r="DE8" s="130" t="s">
        <v>58</v>
      </c>
      <c r="DF8" s="130" t="s">
        <v>58</v>
      </c>
      <c r="DG8" s="130" t="s">
        <v>58</v>
      </c>
      <c r="DH8" s="130" t="s">
        <v>58</v>
      </c>
      <c r="DI8" s="130" t="s">
        <v>58</v>
      </c>
      <c r="DJ8" s="130" t="s">
        <v>58</v>
      </c>
      <c r="DK8" s="130" t="s">
        <v>58</v>
      </c>
      <c r="DL8" s="130" t="s">
        <v>58</v>
      </c>
      <c r="DM8" s="130" t="s">
        <v>58</v>
      </c>
      <c r="DN8" s="130" t="s">
        <v>58</v>
      </c>
      <c r="DO8" s="130" t="s">
        <v>58</v>
      </c>
    </row>
    <row r="9" spans="1:119" s="2" customFormat="1" ht="14.25" x14ac:dyDescent="0.25">
      <c r="A9" s="260" t="s">
        <v>85</v>
      </c>
      <c r="B9" s="261"/>
      <c r="C9" s="108">
        <v>1</v>
      </c>
      <c r="D9" s="108">
        <v>2</v>
      </c>
      <c r="E9" s="108">
        <v>3</v>
      </c>
      <c r="F9" s="108">
        <v>4</v>
      </c>
      <c r="G9" s="108">
        <v>5</v>
      </c>
      <c r="H9" s="108">
        <v>6</v>
      </c>
      <c r="I9" s="108">
        <v>7</v>
      </c>
      <c r="J9" s="108">
        <v>8</v>
      </c>
      <c r="K9" s="108">
        <v>9</v>
      </c>
      <c r="L9" s="108">
        <v>10</v>
      </c>
      <c r="M9" s="108">
        <v>11</v>
      </c>
      <c r="N9" s="108">
        <v>12</v>
      </c>
      <c r="O9" s="108">
        <v>13</v>
      </c>
      <c r="P9" s="108">
        <v>14</v>
      </c>
      <c r="Q9" s="108">
        <v>15</v>
      </c>
      <c r="R9" s="108">
        <v>16</v>
      </c>
      <c r="S9" s="108">
        <v>17</v>
      </c>
      <c r="T9" s="108">
        <v>18</v>
      </c>
      <c r="U9" s="108">
        <v>19</v>
      </c>
      <c r="V9" s="108">
        <v>20</v>
      </c>
      <c r="W9" s="108">
        <v>21</v>
      </c>
      <c r="X9" s="108">
        <v>22</v>
      </c>
      <c r="Y9" s="108">
        <v>23</v>
      </c>
      <c r="Z9" s="108">
        <v>24</v>
      </c>
      <c r="AA9" s="108">
        <v>25</v>
      </c>
      <c r="AB9" s="108">
        <v>26</v>
      </c>
      <c r="AC9" s="108">
        <v>27</v>
      </c>
      <c r="AD9" s="108">
        <v>28</v>
      </c>
      <c r="AE9" s="108">
        <v>29</v>
      </c>
      <c r="AF9" s="108">
        <v>30</v>
      </c>
      <c r="AG9" s="108">
        <v>31</v>
      </c>
      <c r="AH9" s="108">
        <v>32</v>
      </c>
      <c r="AI9" s="108">
        <v>33</v>
      </c>
      <c r="AJ9" s="108">
        <v>34</v>
      </c>
      <c r="AK9" s="108">
        <v>35</v>
      </c>
      <c r="AL9" s="108">
        <v>36</v>
      </c>
      <c r="AM9" s="108">
        <v>37</v>
      </c>
      <c r="AN9" s="108">
        <v>38</v>
      </c>
      <c r="AO9" s="108">
        <v>39</v>
      </c>
      <c r="AP9" s="108">
        <v>40</v>
      </c>
      <c r="AQ9" s="108">
        <v>41</v>
      </c>
      <c r="AR9" s="108">
        <v>42</v>
      </c>
      <c r="AS9" s="108">
        <v>43</v>
      </c>
      <c r="AT9" s="108">
        <v>44</v>
      </c>
      <c r="AU9" s="108">
        <v>45</v>
      </c>
      <c r="AV9" s="108">
        <v>46</v>
      </c>
      <c r="AW9" s="108">
        <v>47</v>
      </c>
      <c r="AX9" s="108">
        <v>48</v>
      </c>
      <c r="AY9" s="108">
        <v>49</v>
      </c>
      <c r="AZ9" s="108">
        <v>50</v>
      </c>
      <c r="BA9" s="108">
        <v>51</v>
      </c>
      <c r="BB9" s="108">
        <v>52</v>
      </c>
      <c r="BC9" s="108">
        <v>53</v>
      </c>
      <c r="BD9" s="108">
        <v>54</v>
      </c>
      <c r="BE9" s="108">
        <v>55</v>
      </c>
      <c r="BF9" s="108">
        <v>56</v>
      </c>
      <c r="BG9" s="108">
        <v>57</v>
      </c>
      <c r="BH9" s="108">
        <v>58</v>
      </c>
      <c r="BI9" s="108">
        <v>59</v>
      </c>
      <c r="BJ9" s="108">
        <v>60</v>
      </c>
      <c r="BK9" s="108">
        <v>61</v>
      </c>
      <c r="BL9" s="108">
        <v>62</v>
      </c>
      <c r="BM9" s="108">
        <v>63</v>
      </c>
      <c r="BN9" s="108">
        <v>64</v>
      </c>
      <c r="BO9" s="108">
        <v>65</v>
      </c>
      <c r="BP9" s="108">
        <v>66</v>
      </c>
      <c r="BQ9" s="108">
        <v>67</v>
      </c>
      <c r="BR9" s="108">
        <v>68</v>
      </c>
      <c r="BS9" s="108">
        <v>69</v>
      </c>
      <c r="BT9" s="108">
        <v>70</v>
      </c>
      <c r="BU9" s="108">
        <v>71</v>
      </c>
      <c r="BV9" s="108">
        <v>72</v>
      </c>
      <c r="BW9" s="108">
        <v>73</v>
      </c>
      <c r="BX9" s="108">
        <v>74</v>
      </c>
      <c r="BY9" s="108">
        <v>75</v>
      </c>
      <c r="BZ9" s="108">
        <v>76</v>
      </c>
      <c r="CA9" s="108">
        <v>77</v>
      </c>
      <c r="CB9" s="108">
        <v>78</v>
      </c>
      <c r="CC9" s="108">
        <v>79</v>
      </c>
      <c r="CD9" s="108">
        <v>80</v>
      </c>
      <c r="CE9" s="108">
        <v>81</v>
      </c>
      <c r="CF9" s="108">
        <v>82</v>
      </c>
      <c r="CG9" s="108">
        <v>83</v>
      </c>
      <c r="CH9" s="108">
        <v>84</v>
      </c>
      <c r="CI9" s="108">
        <v>85</v>
      </c>
      <c r="CJ9" s="108">
        <v>86</v>
      </c>
      <c r="CK9" s="108">
        <v>87</v>
      </c>
      <c r="CL9" s="108">
        <v>88</v>
      </c>
      <c r="CM9" s="108">
        <v>89</v>
      </c>
      <c r="CN9" s="108">
        <v>90</v>
      </c>
      <c r="CO9" s="108">
        <v>91</v>
      </c>
      <c r="CP9" s="108">
        <v>92</v>
      </c>
      <c r="CQ9" s="108">
        <v>93</v>
      </c>
      <c r="CR9" s="108">
        <v>94</v>
      </c>
      <c r="CS9" s="108">
        <v>95</v>
      </c>
      <c r="CT9" s="108">
        <v>96</v>
      </c>
      <c r="CU9" s="108">
        <v>97</v>
      </c>
      <c r="CV9" s="108">
        <v>98</v>
      </c>
      <c r="CW9" s="108">
        <v>99</v>
      </c>
      <c r="CX9" s="108">
        <v>100</v>
      </c>
      <c r="CY9" s="108">
        <v>101</v>
      </c>
      <c r="CZ9" s="108">
        <v>102</v>
      </c>
      <c r="DA9" s="108">
        <v>103</v>
      </c>
      <c r="DB9" s="108">
        <v>104</v>
      </c>
      <c r="DC9" s="108">
        <v>105</v>
      </c>
      <c r="DD9" s="108">
        <v>106</v>
      </c>
      <c r="DE9" s="108">
        <v>107</v>
      </c>
      <c r="DF9" s="108">
        <v>108</v>
      </c>
      <c r="DG9" s="108">
        <v>109</v>
      </c>
      <c r="DH9" s="108">
        <v>110</v>
      </c>
      <c r="DI9" s="108">
        <v>111</v>
      </c>
      <c r="DJ9" s="108">
        <v>112</v>
      </c>
      <c r="DK9" s="108">
        <v>113</v>
      </c>
      <c r="DL9" s="108">
        <v>114</v>
      </c>
      <c r="DM9" s="108">
        <v>115</v>
      </c>
      <c r="DN9" s="108">
        <v>116</v>
      </c>
      <c r="DO9" s="108">
        <v>117</v>
      </c>
    </row>
    <row r="10" spans="1:119" s="2" customFormat="1" ht="14.25" x14ac:dyDescent="0.25">
      <c r="A10" s="252" t="s">
        <v>86</v>
      </c>
      <c r="B10" s="253"/>
      <c r="C10" s="45">
        <v>212.56</v>
      </c>
      <c r="D10" s="45">
        <v>231.52</v>
      </c>
      <c r="E10" s="45">
        <v>233.21</v>
      </c>
      <c r="F10" s="45">
        <v>243.49</v>
      </c>
      <c r="G10" s="45">
        <v>257.51</v>
      </c>
      <c r="H10" s="45">
        <v>265.31</v>
      </c>
      <c r="I10" s="45">
        <v>268.85000000000002</v>
      </c>
      <c r="J10" s="45">
        <v>292.93</v>
      </c>
      <c r="K10" s="45">
        <v>329.92</v>
      </c>
      <c r="L10" s="45">
        <v>341.5</v>
      </c>
      <c r="M10" s="45">
        <v>354.06</v>
      </c>
      <c r="N10" s="45">
        <v>359.48</v>
      </c>
      <c r="O10" s="45">
        <v>372.1</v>
      </c>
      <c r="P10" s="45">
        <v>425.73</v>
      </c>
      <c r="Q10" s="45">
        <v>454.08</v>
      </c>
      <c r="R10" s="45">
        <v>483.61</v>
      </c>
      <c r="S10" s="45">
        <v>488.37</v>
      </c>
      <c r="T10" s="45">
        <v>494.96</v>
      </c>
      <c r="U10" s="45">
        <v>499.63</v>
      </c>
      <c r="V10" s="45">
        <v>520.44000000000005</v>
      </c>
      <c r="W10" s="45">
        <v>534.5</v>
      </c>
      <c r="X10" s="45">
        <v>534.66999999999996</v>
      </c>
      <c r="Y10" s="45">
        <v>537.94000000000005</v>
      </c>
      <c r="Z10" s="45">
        <v>539.29</v>
      </c>
      <c r="AA10" s="45">
        <v>567.09</v>
      </c>
      <c r="AB10" s="45">
        <v>571.11</v>
      </c>
      <c r="AC10" s="45">
        <v>582.08000000000004</v>
      </c>
      <c r="AD10" s="45">
        <v>593.92999999999995</v>
      </c>
      <c r="AE10" s="45">
        <v>603.77</v>
      </c>
      <c r="AF10" s="45">
        <v>625.47</v>
      </c>
      <c r="AG10" s="45">
        <v>637.23</v>
      </c>
      <c r="AH10" s="45">
        <v>648.5</v>
      </c>
      <c r="AI10" s="45">
        <v>657.9</v>
      </c>
      <c r="AJ10" s="45">
        <v>664.15</v>
      </c>
      <c r="AK10" s="45">
        <v>721.37</v>
      </c>
      <c r="AL10" s="45">
        <v>728.22</v>
      </c>
      <c r="AM10" s="45">
        <v>732.93</v>
      </c>
      <c r="AN10" s="45">
        <v>795.83</v>
      </c>
      <c r="AO10" s="45">
        <v>796.82</v>
      </c>
      <c r="AP10" s="45">
        <v>212.56</v>
      </c>
      <c r="AQ10" s="45">
        <v>231.52</v>
      </c>
      <c r="AR10" s="45">
        <v>233.21</v>
      </c>
      <c r="AS10" s="45">
        <v>243.49</v>
      </c>
      <c r="AT10" s="45">
        <v>257.51</v>
      </c>
      <c r="AU10" s="45">
        <v>265.31</v>
      </c>
      <c r="AV10" s="45">
        <v>268.85000000000002</v>
      </c>
      <c r="AW10" s="45">
        <v>292.93</v>
      </c>
      <c r="AX10" s="45">
        <v>329.92</v>
      </c>
      <c r="AY10" s="45">
        <v>341.5</v>
      </c>
      <c r="AZ10" s="45">
        <v>354.06</v>
      </c>
      <c r="BA10" s="45">
        <v>359.48</v>
      </c>
      <c r="BB10" s="45">
        <v>372.1</v>
      </c>
      <c r="BC10" s="45">
        <v>425.73</v>
      </c>
      <c r="BD10" s="45">
        <v>454.08</v>
      </c>
      <c r="BE10" s="45">
        <v>483.61</v>
      </c>
      <c r="BF10" s="45">
        <v>488.37</v>
      </c>
      <c r="BG10" s="45">
        <v>494.96</v>
      </c>
      <c r="BH10" s="45">
        <v>499.63</v>
      </c>
      <c r="BI10" s="45">
        <v>520.44000000000005</v>
      </c>
      <c r="BJ10" s="45">
        <v>534.5</v>
      </c>
      <c r="BK10" s="45">
        <v>534.66999999999996</v>
      </c>
      <c r="BL10" s="45">
        <v>537.94000000000005</v>
      </c>
      <c r="BM10" s="45">
        <v>539.29</v>
      </c>
      <c r="BN10" s="45">
        <v>567.09</v>
      </c>
      <c r="BO10" s="45">
        <v>571.11</v>
      </c>
      <c r="BP10" s="45">
        <v>582.08000000000004</v>
      </c>
      <c r="BQ10" s="45">
        <v>593.92999999999995</v>
      </c>
      <c r="BR10" s="45">
        <v>603.77</v>
      </c>
      <c r="BS10" s="45">
        <v>625.47</v>
      </c>
      <c r="BT10" s="45">
        <v>637.23</v>
      </c>
      <c r="BU10" s="45">
        <v>648.5</v>
      </c>
      <c r="BV10" s="45">
        <v>657.9</v>
      </c>
      <c r="BW10" s="45">
        <v>664.15</v>
      </c>
      <c r="BX10" s="45">
        <v>721.37</v>
      </c>
      <c r="BY10" s="45">
        <v>728.22</v>
      </c>
      <c r="BZ10" s="45">
        <v>732.93</v>
      </c>
      <c r="CA10" s="45">
        <v>795.83</v>
      </c>
      <c r="CB10" s="45">
        <v>796.82</v>
      </c>
      <c r="CC10" s="45">
        <v>212.56</v>
      </c>
      <c r="CD10" s="45">
        <v>231.52</v>
      </c>
      <c r="CE10" s="45">
        <v>233.21</v>
      </c>
      <c r="CF10" s="45">
        <v>243.49</v>
      </c>
      <c r="CG10" s="45">
        <v>257.51</v>
      </c>
      <c r="CH10" s="45">
        <v>265.31</v>
      </c>
      <c r="CI10" s="45">
        <v>268.85000000000002</v>
      </c>
      <c r="CJ10" s="45">
        <v>292.93</v>
      </c>
      <c r="CK10" s="45">
        <v>329.92</v>
      </c>
      <c r="CL10" s="45">
        <v>341.5</v>
      </c>
      <c r="CM10" s="45">
        <v>354.06</v>
      </c>
      <c r="CN10" s="45">
        <v>359.48</v>
      </c>
      <c r="CO10" s="45">
        <v>372.1</v>
      </c>
      <c r="CP10" s="45">
        <v>425.73</v>
      </c>
      <c r="CQ10" s="45">
        <v>454.08</v>
      </c>
      <c r="CR10" s="45">
        <v>483.61</v>
      </c>
      <c r="CS10" s="45">
        <v>488.37</v>
      </c>
      <c r="CT10" s="45">
        <v>494.96</v>
      </c>
      <c r="CU10" s="45">
        <v>499.63</v>
      </c>
      <c r="CV10" s="45">
        <v>520.44000000000005</v>
      </c>
      <c r="CW10" s="45">
        <v>534.5</v>
      </c>
      <c r="CX10" s="45">
        <v>534.66999999999996</v>
      </c>
      <c r="CY10" s="45">
        <v>537.94000000000005</v>
      </c>
      <c r="CZ10" s="45">
        <v>539.29</v>
      </c>
      <c r="DA10" s="45">
        <v>567.09</v>
      </c>
      <c r="DB10" s="45">
        <v>571.11</v>
      </c>
      <c r="DC10" s="45">
        <v>582.08000000000004</v>
      </c>
      <c r="DD10" s="45">
        <v>593.92999999999995</v>
      </c>
      <c r="DE10" s="45">
        <v>603.77</v>
      </c>
      <c r="DF10" s="45">
        <v>625.47</v>
      </c>
      <c r="DG10" s="45">
        <v>637.23</v>
      </c>
      <c r="DH10" s="45">
        <v>648.5</v>
      </c>
      <c r="DI10" s="45">
        <v>657.9</v>
      </c>
      <c r="DJ10" s="45">
        <v>664.15</v>
      </c>
      <c r="DK10" s="45">
        <v>721.37</v>
      </c>
      <c r="DL10" s="45">
        <v>728.22</v>
      </c>
      <c r="DM10" s="45">
        <v>732.93</v>
      </c>
      <c r="DN10" s="45">
        <v>795.83</v>
      </c>
      <c r="DO10" s="45">
        <v>796.82</v>
      </c>
    </row>
    <row r="11" spans="1:119" s="2" customFormat="1" ht="14.25" x14ac:dyDescent="0.25">
      <c r="A11" s="252">
        <v>15</v>
      </c>
      <c r="B11" s="253"/>
      <c r="C11" s="45">
        <v>231.46</v>
      </c>
      <c r="D11" s="45">
        <v>252.1</v>
      </c>
      <c r="E11" s="45">
        <v>253.94</v>
      </c>
      <c r="F11" s="45">
        <v>265.14</v>
      </c>
      <c r="G11" s="45">
        <v>280.39999999999998</v>
      </c>
      <c r="H11" s="45">
        <v>288.89999999999998</v>
      </c>
      <c r="I11" s="45">
        <v>292.74</v>
      </c>
      <c r="J11" s="45">
        <v>318.95999999999998</v>
      </c>
      <c r="K11" s="45">
        <v>359.24</v>
      </c>
      <c r="L11" s="45">
        <v>371.86</v>
      </c>
      <c r="M11" s="45">
        <v>385.53</v>
      </c>
      <c r="N11" s="45">
        <v>391.44</v>
      </c>
      <c r="O11" s="45">
        <v>405.17</v>
      </c>
      <c r="P11" s="45">
        <v>463.57</v>
      </c>
      <c r="Q11" s="45">
        <v>494.44</v>
      </c>
      <c r="R11" s="45">
        <v>526.6</v>
      </c>
      <c r="S11" s="45">
        <v>531.78</v>
      </c>
      <c r="T11" s="45">
        <v>538.95000000000005</v>
      </c>
      <c r="U11" s="45">
        <v>544.04999999999995</v>
      </c>
      <c r="V11" s="45">
        <v>566.71</v>
      </c>
      <c r="W11" s="45">
        <v>582.01</v>
      </c>
      <c r="X11" s="45">
        <v>582.20000000000005</v>
      </c>
      <c r="Y11" s="45">
        <v>585.76</v>
      </c>
      <c r="Z11" s="45">
        <v>587.23</v>
      </c>
      <c r="AA11" s="45">
        <v>617.49</v>
      </c>
      <c r="AB11" s="45">
        <v>621.87</v>
      </c>
      <c r="AC11" s="45">
        <v>633.82000000000005</v>
      </c>
      <c r="AD11" s="45">
        <v>646.73</v>
      </c>
      <c r="AE11" s="45">
        <v>657.44</v>
      </c>
      <c r="AF11" s="45">
        <v>681.07</v>
      </c>
      <c r="AG11" s="45">
        <v>693.88</v>
      </c>
      <c r="AH11" s="45">
        <v>706.14</v>
      </c>
      <c r="AI11" s="45">
        <v>716.38</v>
      </c>
      <c r="AJ11" s="45">
        <v>723.18</v>
      </c>
      <c r="AK11" s="45">
        <v>785.5</v>
      </c>
      <c r="AL11" s="45">
        <v>792.95</v>
      </c>
      <c r="AM11" s="45">
        <v>798.08</v>
      </c>
      <c r="AN11" s="45">
        <v>866.57</v>
      </c>
      <c r="AO11" s="45">
        <v>867.65</v>
      </c>
      <c r="AP11" s="45">
        <v>231.46</v>
      </c>
      <c r="AQ11" s="45">
        <v>252.1</v>
      </c>
      <c r="AR11" s="45">
        <v>253.94</v>
      </c>
      <c r="AS11" s="45">
        <v>265.14</v>
      </c>
      <c r="AT11" s="45">
        <v>280.39999999999998</v>
      </c>
      <c r="AU11" s="45">
        <v>288.89999999999998</v>
      </c>
      <c r="AV11" s="45">
        <v>292.74</v>
      </c>
      <c r="AW11" s="45">
        <v>318.95999999999998</v>
      </c>
      <c r="AX11" s="45">
        <v>359.24</v>
      </c>
      <c r="AY11" s="45">
        <v>371.86</v>
      </c>
      <c r="AZ11" s="45">
        <v>385.53</v>
      </c>
      <c r="BA11" s="45">
        <v>391.44</v>
      </c>
      <c r="BB11" s="45">
        <v>405.17</v>
      </c>
      <c r="BC11" s="45">
        <v>463.57</v>
      </c>
      <c r="BD11" s="45">
        <v>494.44</v>
      </c>
      <c r="BE11" s="45">
        <v>526.6</v>
      </c>
      <c r="BF11" s="45">
        <v>531.78</v>
      </c>
      <c r="BG11" s="45">
        <v>538.95000000000005</v>
      </c>
      <c r="BH11" s="45">
        <v>544.04999999999995</v>
      </c>
      <c r="BI11" s="45">
        <v>566.71</v>
      </c>
      <c r="BJ11" s="45">
        <v>582.01</v>
      </c>
      <c r="BK11" s="45">
        <v>582.20000000000005</v>
      </c>
      <c r="BL11" s="45">
        <v>585.76</v>
      </c>
      <c r="BM11" s="45">
        <v>587.23</v>
      </c>
      <c r="BN11" s="45">
        <v>617.49</v>
      </c>
      <c r="BO11" s="45">
        <v>621.87</v>
      </c>
      <c r="BP11" s="45">
        <v>633.82000000000005</v>
      </c>
      <c r="BQ11" s="45">
        <v>646.73</v>
      </c>
      <c r="BR11" s="45">
        <v>657.44</v>
      </c>
      <c r="BS11" s="45">
        <v>681.07</v>
      </c>
      <c r="BT11" s="45">
        <v>693.88</v>
      </c>
      <c r="BU11" s="45">
        <v>706.14</v>
      </c>
      <c r="BV11" s="45">
        <v>716.38</v>
      </c>
      <c r="BW11" s="45">
        <v>723.18</v>
      </c>
      <c r="BX11" s="45">
        <v>785.5</v>
      </c>
      <c r="BY11" s="45">
        <v>792.95</v>
      </c>
      <c r="BZ11" s="45">
        <v>798.08</v>
      </c>
      <c r="CA11" s="45">
        <v>866.57</v>
      </c>
      <c r="CB11" s="45">
        <v>867.65</v>
      </c>
      <c r="CC11" s="45">
        <v>231.46</v>
      </c>
      <c r="CD11" s="45">
        <v>252.1</v>
      </c>
      <c r="CE11" s="45">
        <v>253.94</v>
      </c>
      <c r="CF11" s="45">
        <v>265.14</v>
      </c>
      <c r="CG11" s="45">
        <v>280.39999999999998</v>
      </c>
      <c r="CH11" s="45">
        <v>288.89999999999998</v>
      </c>
      <c r="CI11" s="45">
        <v>292.74</v>
      </c>
      <c r="CJ11" s="45">
        <v>318.95999999999998</v>
      </c>
      <c r="CK11" s="45">
        <v>359.24</v>
      </c>
      <c r="CL11" s="45">
        <v>371.86</v>
      </c>
      <c r="CM11" s="45">
        <v>385.53</v>
      </c>
      <c r="CN11" s="45">
        <v>391.44</v>
      </c>
      <c r="CO11" s="45">
        <v>405.17</v>
      </c>
      <c r="CP11" s="45">
        <v>463.57</v>
      </c>
      <c r="CQ11" s="45">
        <v>494.44</v>
      </c>
      <c r="CR11" s="45">
        <v>526.6</v>
      </c>
      <c r="CS11" s="45">
        <v>531.78</v>
      </c>
      <c r="CT11" s="45">
        <v>538.95000000000005</v>
      </c>
      <c r="CU11" s="45">
        <v>544.04999999999995</v>
      </c>
      <c r="CV11" s="45">
        <v>566.71</v>
      </c>
      <c r="CW11" s="45">
        <v>582.01</v>
      </c>
      <c r="CX11" s="45">
        <v>582.20000000000005</v>
      </c>
      <c r="CY11" s="45">
        <v>585.76</v>
      </c>
      <c r="CZ11" s="45">
        <v>587.23</v>
      </c>
      <c r="DA11" s="45">
        <v>617.49</v>
      </c>
      <c r="DB11" s="45">
        <v>621.87</v>
      </c>
      <c r="DC11" s="45">
        <v>633.82000000000005</v>
      </c>
      <c r="DD11" s="45">
        <v>646.73</v>
      </c>
      <c r="DE11" s="45">
        <v>657.44</v>
      </c>
      <c r="DF11" s="45">
        <v>681.07</v>
      </c>
      <c r="DG11" s="45">
        <v>693.88</v>
      </c>
      <c r="DH11" s="45">
        <v>706.14</v>
      </c>
      <c r="DI11" s="45">
        <v>716.38</v>
      </c>
      <c r="DJ11" s="45">
        <v>723.18</v>
      </c>
      <c r="DK11" s="45">
        <v>785.5</v>
      </c>
      <c r="DL11" s="45">
        <v>792.95</v>
      </c>
      <c r="DM11" s="45">
        <v>798.08</v>
      </c>
      <c r="DN11" s="45">
        <v>866.57</v>
      </c>
      <c r="DO11" s="45">
        <v>867.65</v>
      </c>
    </row>
    <row r="12" spans="1:119" s="2" customFormat="1" ht="14.25" x14ac:dyDescent="0.25">
      <c r="A12" s="252">
        <v>16</v>
      </c>
      <c r="B12" s="253"/>
      <c r="C12" s="45">
        <v>238.68</v>
      </c>
      <c r="D12" s="45">
        <v>259.97000000000003</v>
      </c>
      <c r="E12" s="45">
        <v>261.87</v>
      </c>
      <c r="F12" s="45">
        <v>273.41000000000003</v>
      </c>
      <c r="G12" s="45">
        <v>289.14999999999998</v>
      </c>
      <c r="H12" s="45">
        <v>297.91000000000003</v>
      </c>
      <c r="I12" s="45">
        <v>301.88</v>
      </c>
      <c r="J12" s="45">
        <v>328.92</v>
      </c>
      <c r="K12" s="45">
        <v>370.46</v>
      </c>
      <c r="L12" s="45">
        <v>383.47</v>
      </c>
      <c r="M12" s="45">
        <v>397.57</v>
      </c>
      <c r="N12" s="45">
        <v>403.65</v>
      </c>
      <c r="O12" s="45">
        <v>417.82</v>
      </c>
      <c r="P12" s="45">
        <v>478.04</v>
      </c>
      <c r="Q12" s="45">
        <v>509.87</v>
      </c>
      <c r="R12" s="45">
        <v>543.04</v>
      </c>
      <c r="S12" s="45">
        <v>548.38</v>
      </c>
      <c r="T12" s="45">
        <v>555.78</v>
      </c>
      <c r="U12" s="45">
        <v>561.03</v>
      </c>
      <c r="V12" s="45">
        <v>584.39</v>
      </c>
      <c r="W12" s="45">
        <v>600.17999999999995</v>
      </c>
      <c r="X12" s="45">
        <v>600.37</v>
      </c>
      <c r="Y12" s="45">
        <v>604.04</v>
      </c>
      <c r="Z12" s="45">
        <v>605.55999999999995</v>
      </c>
      <c r="AA12" s="45">
        <v>636.77</v>
      </c>
      <c r="AB12" s="45">
        <v>641.28</v>
      </c>
      <c r="AC12" s="45">
        <v>653.6</v>
      </c>
      <c r="AD12" s="45">
        <v>666.91</v>
      </c>
      <c r="AE12" s="45">
        <v>677.96</v>
      </c>
      <c r="AF12" s="45">
        <v>702.32</v>
      </c>
      <c r="AG12" s="45">
        <v>715.53</v>
      </c>
      <c r="AH12" s="45">
        <v>728.18</v>
      </c>
      <c r="AI12" s="45">
        <v>738.74</v>
      </c>
      <c r="AJ12" s="45">
        <v>745.75</v>
      </c>
      <c r="AK12" s="45">
        <v>810.01</v>
      </c>
      <c r="AL12" s="45">
        <v>817.7</v>
      </c>
      <c r="AM12" s="45">
        <v>822.99</v>
      </c>
      <c r="AN12" s="45">
        <v>893.62</v>
      </c>
      <c r="AO12" s="45">
        <v>894.73</v>
      </c>
      <c r="AP12" s="45">
        <v>238.68</v>
      </c>
      <c r="AQ12" s="45">
        <v>259.97000000000003</v>
      </c>
      <c r="AR12" s="45">
        <v>261.87</v>
      </c>
      <c r="AS12" s="45">
        <v>273.41000000000003</v>
      </c>
      <c r="AT12" s="45">
        <v>289.14999999999998</v>
      </c>
      <c r="AU12" s="45">
        <v>297.91000000000003</v>
      </c>
      <c r="AV12" s="45">
        <v>301.88</v>
      </c>
      <c r="AW12" s="45">
        <v>328.92</v>
      </c>
      <c r="AX12" s="45">
        <v>370.46</v>
      </c>
      <c r="AY12" s="45">
        <v>383.47</v>
      </c>
      <c r="AZ12" s="45">
        <v>397.57</v>
      </c>
      <c r="BA12" s="45">
        <v>403.65</v>
      </c>
      <c r="BB12" s="45">
        <v>417.82</v>
      </c>
      <c r="BC12" s="45">
        <v>478.04</v>
      </c>
      <c r="BD12" s="45">
        <v>509.87</v>
      </c>
      <c r="BE12" s="45">
        <v>543.04</v>
      </c>
      <c r="BF12" s="45">
        <v>548.38</v>
      </c>
      <c r="BG12" s="45">
        <v>555.78</v>
      </c>
      <c r="BH12" s="45">
        <v>561.03</v>
      </c>
      <c r="BI12" s="45">
        <v>584.39</v>
      </c>
      <c r="BJ12" s="45">
        <v>600.17999999999995</v>
      </c>
      <c r="BK12" s="45">
        <v>600.37</v>
      </c>
      <c r="BL12" s="45">
        <v>604.04</v>
      </c>
      <c r="BM12" s="45">
        <v>605.55999999999995</v>
      </c>
      <c r="BN12" s="45">
        <v>636.77</v>
      </c>
      <c r="BO12" s="45">
        <v>641.28</v>
      </c>
      <c r="BP12" s="45">
        <v>653.6</v>
      </c>
      <c r="BQ12" s="45">
        <v>666.91</v>
      </c>
      <c r="BR12" s="45">
        <v>677.96</v>
      </c>
      <c r="BS12" s="45">
        <v>702.32</v>
      </c>
      <c r="BT12" s="45">
        <v>715.53</v>
      </c>
      <c r="BU12" s="45">
        <v>728.18</v>
      </c>
      <c r="BV12" s="45">
        <v>738.74</v>
      </c>
      <c r="BW12" s="45">
        <v>745.75</v>
      </c>
      <c r="BX12" s="45">
        <v>810.01</v>
      </c>
      <c r="BY12" s="45">
        <v>817.7</v>
      </c>
      <c r="BZ12" s="45">
        <v>822.99</v>
      </c>
      <c r="CA12" s="45">
        <v>893.62</v>
      </c>
      <c r="CB12" s="45">
        <v>894.73</v>
      </c>
      <c r="CC12" s="45">
        <v>238.68</v>
      </c>
      <c r="CD12" s="45">
        <v>259.97000000000003</v>
      </c>
      <c r="CE12" s="45">
        <v>261.87</v>
      </c>
      <c r="CF12" s="45">
        <v>273.41000000000003</v>
      </c>
      <c r="CG12" s="45">
        <v>289.14999999999998</v>
      </c>
      <c r="CH12" s="45">
        <v>297.91000000000003</v>
      </c>
      <c r="CI12" s="45">
        <v>301.88</v>
      </c>
      <c r="CJ12" s="45">
        <v>328.92</v>
      </c>
      <c r="CK12" s="45">
        <v>370.46</v>
      </c>
      <c r="CL12" s="45">
        <v>383.47</v>
      </c>
      <c r="CM12" s="45">
        <v>397.57</v>
      </c>
      <c r="CN12" s="45">
        <v>403.65</v>
      </c>
      <c r="CO12" s="45">
        <v>417.82</v>
      </c>
      <c r="CP12" s="45">
        <v>478.04</v>
      </c>
      <c r="CQ12" s="45">
        <v>509.87</v>
      </c>
      <c r="CR12" s="45">
        <v>543.04</v>
      </c>
      <c r="CS12" s="45">
        <v>548.38</v>
      </c>
      <c r="CT12" s="45">
        <v>555.78</v>
      </c>
      <c r="CU12" s="45">
        <v>561.03</v>
      </c>
      <c r="CV12" s="45">
        <v>584.39</v>
      </c>
      <c r="CW12" s="45">
        <v>600.17999999999995</v>
      </c>
      <c r="CX12" s="45">
        <v>600.37</v>
      </c>
      <c r="CY12" s="45">
        <v>604.04</v>
      </c>
      <c r="CZ12" s="45">
        <v>605.55999999999995</v>
      </c>
      <c r="DA12" s="45">
        <v>636.77</v>
      </c>
      <c r="DB12" s="45">
        <v>641.28</v>
      </c>
      <c r="DC12" s="45">
        <v>653.6</v>
      </c>
      <c r="DD12" s="45">
        <v>666.91</v>
      </c>
      <c r="DE12" s="45">
        <v>677.96</v>
      </c>
      <c r="DF12" s="45">
        <v>702.32</v>
      </c>
      <c r="DG12" s="45">
        <v>715.53</v>
      </c>
      <c r="DH12" s="45">
        <v>728.18</v>
      </c>
      <c r="DI12" s="45">
        <v>738.74</v>
      </c>
      <c r="DJ12" s="45">
        <v>745.75</v>
      </c>
      <c r="DK12" s="45">
        <v>810.01</v>
      </c>
      <c r="DL12" s="45">
        <v>817.7</v>
      </c>
      <c r="DM12" s="45">
        <v>822.99</v>
      </c>
      <c r="DN12" s="45">
        <v>893.62</v>
      </c>
      <c r="DO12" s="45">
        <v>894.73</v>
      </c>
    </row>
    <row r="13" spans="1:119" s="2" customFormat="1" ht="14.25" x14ac:dyDescent="0.25">
      <c r="A13" s="252">
        <v>17</v>
      </c>
      <c r="B13" s="253"/>
      <c r="C13" s="45">
        <v>245.9</v>
      </c>
      <c r="D13" s="45">
        <v>267.83999999999997</v>
      </c>
      <c r="E13" s="45">
        <v>269.8</v>
      </c>
      <c r="F13" s="45">
        <v>281.69</v>
      </c>
      <c r="G13" s="45">
        <v>297.89999999999998</v>
      </c>
      <c r="H13" s="45">
        <v>306.93</v>
      </c>
      <c r="I13" s="45">
        <v>311.02</v>
      </c>
      <c r="J13" s="45">
        <v>338.87</v>
      </c>
      <c r="K13" s="45">
        <v>381.67</v>
      </c>
      <c r="L13" s="45">
        <v>395.07</v>
      </c>
      <c r="M13" s="45">
        <v>409.6</v>
      </c>
      <c r="N13" s="45">
        <v>415.87</v>
      </c>
      <c r="O13" s="45">
        <v>430.47</v>
      </c>
      <c r="P13" s="45">
        <v>492.51</v>
      </c>
      <c r="Q13" s="45">
        <v>525.29999999999995</v>
      </c>
      <c r="R13" s="45">
        <v>559.47</v>
      </c>
      <c r="S13" s="45">
        <v>564.98</v>
      </c>
      <c r="T13" s="45">
        <v>572.6</v>
      </c>
      <c r="U13" s="45">
        <v>578.01</v>
      </c>
      <c r="V13" s="45">
        <v>602.08000000000004</v>
      </c>
      <c r="W13" s="45">
        <v>618.34</v>
      </c>
      <c r="X13" s="45">
        <v>618.54</v>
      </c>
      <c r="Y13" s="45">
        <v>622.33000000000004</v>
      </c>
      <c r="Z13" s="45">
        <v>623.89</v>
      </c>
      <c r="AA13" s="45">
        <v>656.04</v>
      </c>
      <c r="AB13" s="45">
        <v>660.69</v>
      </c>
      <c r="AC13" s="45">
        <v>673.38</v>
      </c>
      <c r="AD13" s="45">
        <v>687.1</v>
      </c>
      <c r="AE13" s="45">
        <v>698.48</v>
      </c>
      <c r="AF13" s="45">
        <v>723.58</v>
      </c>
      <c r="AG13" s="45">
        <v>737.19</v>
      </c>
      <c r="AH13" s="45">
        <v>750.22</v>
      </c>
      <c r="AI13" s="45">
        <v>761.1</v>
      </c>
      <c r="AJ13" s="45">
        <v>768.33</v>
      </c>
      <c r="AK13" s="45">
        <v>834.53</v>
      </c>
      <c r="AL13" s="45">
        <v>842.45</v>
      </c>
      <c r="AM13" s="45">
        <v>847.9</v>
      </c>
      <c r="AN13" s="45">
        <v>920.67</v>
      </c>
      <c r="AO13" s="45">
        <v>921.81</v>
      </c>
      <c r="AP13" s="45">
        <v>245.9</v>
      </c>
      <c r="AQ13" s="45">
        <v>267.83999999999997</v>
      </c>
      <c r="AR13" s="45">
        <v>269.8</v>
      </c>
      <c r="AS13" s="45">
        <v>281.69</v>
      </c>
      <c r="AT13" s="45">
        <v>297.89999999999998</v>
      </c>
      <c r="AU13" s="45">
        <v>306.93</v>
      </c>
      <c r="AV13" s="45">
        <v>311.02</v>
      </c>
      <c r="AW13" s="45">
        <v>338.87</v>
      </c>
      <c r="AX13" s="45">
        <v>381.67</v>
      </c>
      <c r="AY13" s="45">
        <v>395.07</v>
      </c>
      <c r="AZ13" s="45">
        <v>409.6</v>
      </c>
      <c r="BA13" s="45">
        <v>415.87</v>
      </c>
      <c r="BB13" s="45">
        <v>430.47</v>
      </c>
      <c r="BC13" s="45">
        <v>492.51</v>
      </c>
      <c r="BD13" s="45">
        <v>525.29999999999995</v>
      </c>
      <c r="BE13" s="45">
        <v>559.47</v>
      </c>
      <c r="BF13" s="45">
        <v>564.98</v>
      </c>
      <c r="BG13" s="45">
        <v>572.6</v>
      </c>
      <c r="BH13" s="45">
        <v>578.01</v>
      </c>
      <c r="BI13" s="45">
        <v>602.08000000000004</v>
      </c>
      <c r="BJ13" s="45">
        <v>618.34</v>
      </c>
      <c r="BK13" s="45">
        <v>618.54</v>
      </c>
      <c r="BL13" s="45">
        <v>622.33000000000004</v>
      </c>
      <c r="BM13" s="45">
        <v>623.89</v>
      </c>
      <c r="BN13" s="45">
        <v>656.04</v>
      </c>
      <c r="BO13" s="45">
        <v>660.69</v>
      </c>
      <c r="BP13" s="45">
        <v>673.38</v>
      </c>
      <c r="BQ13" s="45">
        <v>687.1</v>
      </c>
      <c r="BR13" s="45">
        <v>698.48</v>
      </c>
      <c r="BS13" s="45">
        <v>723.58</v>
      </c>
      <c r="BT13" s="45">
        <v>737.19</v>
      </c>
      <c r="BU13" s="45">
        <v>750.22</v>
      </c>
      <c r="BV13" s="45">
        <v>761.1</v>
      </c>
      <c r="BW13" s="45">
        <v>768.33</v>
      </c>
      <c r="BX13" s="45">
        <v>834.53</v>
      </c>
      <c r="BY13" s="45">
        <v>842.45</v>
      </c>
      <c r="BZ13" s="45">
        <v>847.9</v>
      </c>
      <c r="CA13" s="45">
        <v>920.67</v>
      </c>
      <c r="CB13" s="45">
        <v>921.81</v>
      </c>
      <c r="CC13" s="45">
        <v>245.9</v>
      </c>
      <c r="CD13" s="45">
        <v>267.83999999999997</v>
      </c>
      <c r="CE13" s="45">
        <v>269.8</v>
      </c>
      <c r="CF13" s="45">
        <v>281.69</v>
      </c>
      <c r="CG13" s="45">
        <v>297.89999999999998</v>
      </c>
      <c r="CH13" s="45">
        <v>306.93</v>
      </c>
      <c r="CI13" s="45">
        <v>311.02</v>
      </c>
      <c r="CJ13" s="45">
        <v>338.87</v>
      </c>
      <c r="CK13" s="45">
        <v>381.67</v>
      </c>
      <c r="CL13" s="45">
        <v>395.07</v>
      </c>
      <c r="CM13" s="45">
        <v>409.6</v>
      </c>
      <c r="CN13" s="45">
        <v>415.87</v>
      </c>
      <c r="CO13" s="45">
        <v>430.47</v>
      </c>
      <c r="CP13" s="45">
        <v>492.51</v>
      </c>
      <c r="CQ13" s="45">
        <v>525.29999999999995</v>
      </c>
      <c r="CR13" s="45">
        <v>559.47</v>
      </c>
      <c r="CS13" s="45">
        <v>564.98</v>
      </c>
      <c r="CT13" s="45">
        <v>572.6</v>
      </c>
      <c r="CU13" s="45">
        <v>578.01</v>
      </c>
      <c r="CV13" s="45">
        <v>602.08000000000004</v>
      </c>
      <c r="CW13" s="45">
        <v>618.34</v>
      </c>
      <c r="CX13" s="45">
        <v>618.54</v>
      </c>
      <c r="CY13" s="45">
        <v>622.33000000000004</v>
      </c>
      <c r="CZ13" s="45">
        <v>623.89</v>
      </c>
      <c r="DA13" s="45">
        <v>656.04</v>
      </c>
      <c r="DB13" s="45">
        <v>660.69</v>
      </c>
      <c r="DC13" s="45">
        <v>673.38</v>
      </c>
      <c r="DD13" s="45">
        <v>687.1</v>
      </c>
      <c r="DE13" s="45">
        <v>698.48</v>
      </c>
      <c r="DF13" s="45">
        <v>723.58</v>
      </c>
      <c r="DG13" s="45">
        <v>737.19</v>
      </c>
      <c r="DH13" s="45">
        <v>750.22</v>
      </c>
      <c r="DI13" s="45">
        <v>761.1</v>
      </c>
      <c r="DJ13" s="45">
        <v>768.33</v>
      </c>
      <c r="DK13" s="45">
        <v>834.53</v>
      </c>
      <c r="DL13" s="45">
        <v>842.45</v>
      </c>
      <c r="DM13" s="45">
        <v>847.9</v>
      </c>
      <c r="DN13" s="45">
        <v>920.67</v>
      </c>
      <c r="DO13" s="45">
        <v>921.81</v>
      </c>
    </row>
    <row r="14" spans="1:119" s="2" customFormat="1" ht="14.25" x14ac:dyDescent="0.25">
      <c r="A14" s="252">
        <v>18</v>
      </c>
      <c r="B14" s="253"/>
      <c r="C14" s="46">
        <v>253.68</v>
      </c>
      <c r="D14" s="46">
        <v>276.32</v>
      </c>
      <c r="E14" s="46">
        <v>278.33</v>
      </c>
      <c r="F14" s="46">
        <v>290.60000000000002</v>
      </c>
      <c r="G14" s="46">
        <v>307.33</v>
      </c>
      <c r="H14" s="46">
        <v>316.64</v>
      </c>
      <c r="I14" s="46">
        <v>320.86</v>
      </c>
      <c r="J14" s="46">
        <v>349.6</v>
      </c>
      <c r="K14" s="46">
        <v>393.74</v>
      </c>
      <c r="L14" s="46">
        <v>407.57</v>
      </c>
      <c r="M14" s="46">
        <v>422.56</v>
      </c>
      <c r="N14" s="46">
        <v>429.03</v>
      </c>
      <c r="O14" s="46">
        <v>444.09</v>
      </c>
      <c r="P14" s="46">
        <v>508.09</v>
      </c>
      <c r="Q14" s="46">
        <v>541.91999999999996</v>
      </c>
      <c r="R14" s="46">
        <v>577.16999999999996</v>
      </c>
      <c r="S14" s="46">
        <v>582.85</v>
      </c>
      <c r="T14" s="46">
        <v>590.71</v>
      </c>
      <c r="U14" s="46">
        <v>596.29999999999995</v>
      </c>
      <c r="V14" s="46">
        <v>621.13</v>
      </c>
      <c r="W14" s="46">
        <v>637.91</v>
      </c>
      <c r="X14" s="46">
        <v>638.11</v>
      </c>
      <c r="Y14" s="46">
        <v>642.02</v>
      </c>
      <c r="Z14" s="46">
        <v>643.62</v>
      </c>
      <c r="AA14" s="46">
        <v>676.8</v>
      </c>
      <c r="AB14" s="46">
        <v>681.6</v>
      </c>
      <c r="AC14" s="46">
        <v>694.69</v>
      </c>
      <c r="AD14" s="46">
        <v>708.84</v>
      </c>
      <c r="AE14" s="46">
        <v>720.58</v>
      </c>
      <c r="AF14" s="46">
        <v>746.47</v>
      </c>
      <c r="AG14" s="46">
        <v>760.52</v>
      </c>
      <c r="AH14" s="46">
        <v>773.96</v>
      </c>
      <c r="AI14" s="46">
        <v>785.18</v>
      </c>
      <c r="AJ14" s="46">
        <v>792.63</v>
      </c>
      <c r="AK14" s="46">
        <v>860.93</v>
      </c>
      <c r="AL14" s="46">
        <v>869.11</v>
      </c>
      <c r="AM14" s="46">
        <v>874.72</v>
      </c>
      <c r="AN14" s="46">
        <v>949.8</v>
      </c>
      <c r="AO14" s="46">
        <v>950.98</v>
      </c>
      <c r="AP14" s="46">
        <v>253.68</v>
      </c>
      <c r="AQ14" s="46">
        <v>276.32</v>
      </c>
      <c r="AR14" s="46">
        <v>278.33</v>
      </c>
      <c r="AS14" s="46">
        <v>290.60000000000002</v>
      </c>
      <c r="AT14" s="46">
        <v>307.33</v>
      </c>
      <c r="AU14" s="46">
        <v>316.64</v>
      </c>
      <c r="AV14" s="46">
        <v>320.86</v>
      </c>
      <c r="AW14" s="46">
        <v>349.6</v>
      </c>
      <c r="AX14" s="46">
        <v>393.74</v>
      </c>
      <c r="AY14" s="46">
        <v>407.57</v>
      </c>
      <c r="AZ14" s="46">
        <v>422.56</v>
      </c>
      <c r="BA14" s="46">
        <v>429.03</v>
      </c>
      <c r="BB14" s="46">
        <v>444.09</v>
      </c>
      <c r="BC14" s="46">
        <v>508.09</v>
      </c>
      <c r="BD14" s="46">
        <v>541.91999999999996</v>
      </c>
      <c r="BE14" s="46">
        <v>577.16999999999996</v>
      </c>
      <c r="BF14" s="46">
        <v>582.85</v>
      </c>
      <c r="BG14" s="46">
        <v>590.71</v>
      </c>
      <c r="BH14" s="46">
        <v>596.29999999999995</v>
      </c>
      <c r="BI14" s="46">
        <v>621.13</v>
      </c>
      <c r="BJ14" s="46">
        <v>637.91</v>
      </c>
      <c r="BK14" s="46">
        <v>638.11</v>
      </c>
      <c r="BL14" s="46">
        <v>642.02</v>
      </c>
      <c r="BM14" s="46">
        <v>643.62</v>
      </c>
      <c r="BN14" s="46">
        <v>676.8</v>
      </c>
      <c r="BO14" s="46">
        <v>681.6</v>
      </c>
      <c r="BP14" s="46">
        <v>694.69</v>
      </c>
      <c r="BQ14" s="46">
        <v>708.84</v>
      </c>
      <c r="BR14" s="46">
        <v>720.58</v>
      </c>
      <c r="BS14" s="46">
        <v>746.47</v>
      </c>
      <c r="BT14" s="46">
        <v>760.52</v>
      </c>
      <c r="BU14" s="46">
        <v>773.96</v>
      </c>
      <c r="BV14" s="46">
        <v>785.18</v>
      </c>
      <c r="BW14" s="46">
        <v>792.63</v>
      </c>
      <c r="BX14" s="46">
        <v>860.93</v>
      </c>
      <c r="BY14" s="46">
        <v>869.11</v>
      </c>
      <c r="BZ14" s="46">
        <v>874.72</v>
      </c>
      <c r="CA14" s="46">
        <v>949.8</v>
      </c>
      <c r="CB14" s="46">
        <v>950.98</v>
      </c>
      <c r="CC14" s="46">
        <v>253.68</v>
      </c>
      <c r="CD14" s="46">
        <v>276.32</v>
      </c>
      <c r="CE14" s="46">
        <v>278.33</v>
      </c>
      <c r="CF14" s="46">
        <v>290.60000000000002</v>
      </c>
      <c r="CG14" s="46">
        <v>307.33</v>
      </c>
      <c r="CH14" s="46">
        <v>316.64</v>
      </c>
      <c r="CI14" s="46">
        <v>320.86</v>
      </c>
      <c r="CJ14" s="46">
        <v>349.6</v>
      </c>
      <c r="CK14" s="46">
        <v>393.74</v>
      </c>
      <c r="CL14" s="46">
        <v>407.57</v>
      </c>
      <c r="CM14" s="46">
        <v>422.56</v>
      </c>
      <c r="CN14" s="46">
        <v>429.03</v>
      </c>
      <c r="CO14" s="46">
        <v>444.09</v>
      </c>
      <c r="CP14" s="46">
        <v>508.09</v>
      </c>
      <c r="CQ14" s="46">
        <v>541.91999999999996</v>
      </c>
      <c r="CR14" s="46">
        <v>577.16999999999996</v>
      </c>
      <c r="CS14" s="46">
        <v>582.85</v>
      </c>
      <c r="CT14" s="46">
        <v>590.71</v>
      </c>
      <c r="CU14" s="46">
        <v>596.29999999999995</v>
      </c>
      <c r="CV14" s="46">
        <v>621.13</v>
      </c>
      <c r="CW14" s="46">
        <v>637.91</v>
      </c>
      <c r="CX14" s="46">
        <v>638.11</v>
      </c>
      <c r="CY14" s="46">
        <v>642.02</v>
      </c>
      <c r="CZ14" s="46">
        <v>643.62</v>
      </c>
      <c r="DA14" s="46">
        <v>676.8</v>
      </c>
      <c r="DB14" s="46">
        <v>681.6</v>
      </c>
      <c r="DC14" s="46">
        <v>694.69</v>
      </c>
      <c r="DD14" s="46">
        <v>708.84</v>
      </c>
      <c r="DE14" s="46">
        <v>720.58</v>
      </c>
      <c r="DF14" s="46">
        <v>746.47</v>
      </c>
      <c r="DG14" s="46">
        <v>760.52</v>
      </c>
      <c r="DH14" s="46">
        <v>773.96</v>
      </c>
      <c r="DI14" s="46">
        <v>785.18</v>
      </c>
      <c r="DJ14" s="46">
        <v>792.63</v>
      </c>
      <c r="DK14" s="46">
        <v>860.93</v>
      </c>
      <c r="DL14" s="46">
        <v>869.11</v>
      </c>
      <c r="DM14" s="46">
        <v>874.72</v>
      </c>
      <c r="DN14" s="46">
        <v>949.8</v>
      </c>
      <c r="DO14" s="46">
        <v>950.98</v>
      </c>
    </row>
    <row r="15" spans="1:119" s="2" customFormat="1" ht="14.25" x14ac:dyDescent="0.25">
      <c r="A15" s="252">
        <v>19</v>
      </c>
      <c r="B15" s="253"/>
      <c r="C15" s="46">
        <v>261.45999999999998</v>
      </c>
      <c r="D15" s="46">
        <v>284.79000000000002</v>
      </c>
      <c r="E15" s="46">
        <v>286.87</v>
      </c>
      <c r="F15" s="46">
        <v>299.51</v>
      </c>
      <c r="G15" s="46">
        <v>316.75</v>
      </c>
      <c r="H15" s="46">
        <v>326.35000000000002</v>
      </c>
      <c r="I15" s="46">
        <v>330.7</v>
      </c>
      <c r="J15" s="46">
        <v>360.32</v>
      </c>
      <c r="K15" s="46">
        <v>405.82</v>
      </c>
      <c r="L15" s="46">
        <v>420.07</v>
      </c>
      <c r="M15" s="46">
        <v>435.52</v>
      </c>
      <c r="N15" s="46">
        <v>442.19</v>
      </c>
      <c r="O15" s="46">
        <v>457.7</v>
      </c>
      <c r="P15" s="46">
        <v>523.66999999999996</v>
      </c>
      <c r="Q15" s="46">
        <v>558.54</v>
      </c>
      <c r="R15" s="46">
        <v>594.87</v>
      </c>
      <c r="S15" s="46">
        <v>600.73</v>
      </c>
      <c r="T15" s="46">
        <v>608.83000000000004</v>
      </c>
      <c r="U15" s="46">
        <v>614.58000000000004</v>
      </c>
      <c r="V15" s="46">
        <v>640.17999999999995</v>
      </c>
      <c r="W15" s="46">
        <v>657.47</v>
      </c>
      <c r="X15" s="46">
        <v>657.68</v>
      </c>
      <c r="Y15" s="46">
        <v>661.71</v>
      </c>
      <c r="Z15" s="46">
        <v>663.36</v>
      </c>
      <c r="AA15" s="46">
        <v>697.55</v>
      </c>
      <c r="AB15" s="46">
        <v>702.5</v>
      </c>
      <c r="AC15" s="46">
        <v>715.99</v>
      </c>
      <c r="AD15" s="46">
        <v>730.57</v>
      </c>
      <c r="AE15" s="46">
        <v>742.68</v>
      </c>
      <c r="AF15" s="46">
        <v>769.37</v>
      </c>
      <c r="AG15" s="46">
        <v>783.84</v>
      </c>
      <c r="AH15" s="46">
        <v>797.7</v>
      </c>
      <c r="AI15" s="46">
        <v>809.26</v>
      </c>
      <c r="AJ15" s="46">
        <v>816.94</v>
      </c>
      <c r="AK15" s="46">
        <v>887.34</v>
      </c>
      <c r="AL15" s="46">
        <v>895.76</v>
      </c>
      <c r="AM15" s="46">
        <v>901.55</v>
      </c>
      <c r="AN15" s="46">
        <v>978.93</v>
      </c>
      <c r="AO15" s="46">
        <v>980.14</v>
      </c>
      <c r="AP15" s="46">
        <v>261.45999999999998</v>
      </c>
      <c r="AQ15" s="46">
        <v>284.79000000000002</v>
      </c>
      <c r="AR15" s="46">
        <v>286.87</v>
      </c>
      <c r="AS15" s="46">
        <v>299.51</v>
      </c>
      <c r="AT15" s="46">
        <v>316.75</v>
      </c>
      <c r="AU15" s="46">
        <v>326.35000000000002</v>
      </c>
      <c r="AV15" s="46">
        <v>330.7</v>
      </c>
      <c r="AW15" s="46">
        <v>360.32</v>
      </c>
      <c r="AX15" s="46">
        <v>405.82</v>
      </c>
      <c r="AY15" s="46">
        <v>420.07</v>
      </c>
      <c r="AZ15" s="46">
        <v>435.52</v>
      </c>
      <c r="BA15" s="46">
        <v>442.19</v>
      </c>
      <c r="BB15" s="46">
        <v>457.7</v>
      </c>
      <c r="BC15" s="46">
        <v>523.66999999999996</v>
      </c>
      <c r="BD15" s="46">
        <v>558.54</v>
      </c>
      <c r="BE15" s="46">
        <v>594.87</v>
      </c>
      <c r="BF15" s="46">
        <v>600.73</v>
      </c>
      <c r="BG15" s="46">
        <v>608.83000000000004</v>
      </c>
      <c r="BH15" s="46">
        <v>614.58000000000004</v>
      </c>
      <c r="BI15" s="46">
        <v>640.17999999999995</v>
      </c>
      <c r="BJ15" s="46">
        <v>657.47</v>
      </c>
      <c r="BK15" s="46">
        <v>657.68</v>
      </c>
      <c r="BL15" s="46">
        <v>661.71</v>
      </c>
      <c r="BM15" s="46">
        <v>663.36</v>
      </c>
      <c r="BN15" s="46">
        <v>697.55</v>
      </c>
      <c r="BO15" s="46">
        <v>702.5</v>
      </c>
      <c r="BP15" s="46">
        <v>715.99</v>
      </c>
      <c r="BQ15" s="46">
        <v>730.57</v>
      </c>
      <c r="BR15" s="46">
        <v>742.68</v>
      </c>
      <c r="BS15" s="46">
        <v>769.37</v>
      </c>
      <c r="BT15" s="46">
        <v>783.84</v>
      </c>
      <c r="BU15" s="46">
        <v>797.7</v>
      </c>
      <c r="BV15" s="46">
        <v>809.26</v>
      </c>
      <c r="BW15" s="46">
        <v>816.94</v>
      </c>
      <c r="BX15" s="46">
        <v>887.34</v>
      </c>
      <c r="BY15" s="46">
        <v>895.76</v>
      </c>
      <c r="BZ15" s="46">
        <v>901.55</v>
      </c>
      <c r="CA15" s="46">
        <v>978.93</v>
      </c>
      <c r="CB15" s="46">
        <v>980.14</v>
      </c>
      <c r="CC15" s="46">
        <v>261.45999999999998</v>
      </c>
      <c r="CD15" s="46">
        <v>284.79000000000002</v>
      </c>
      <c r="CE15" s="46">
        <v>286.87</v>
      </c>
      <c r="CF15" s="46">
        <v>299.51</v>
      </c>
      <c r="CG15" s="46">
        <v>316.75</v>
      </c>
      <c r="CH15" s="46">
        <v>326.35000000000002</v>
      </c>
      <c r="CI15" s="46">
        <v>330.7</v>
      </c>
      <c r="CJ15" s="46">
        <v>360.32</v>
      </c>
      <c r="CK15" s="46">
        <v>405.82</v>
      </c>
      <c r="CL15" s="46">
        <v>420.07</v>
      </c>
      <c r="CM15" s="46">
        <v>435.52</v>
      </c>
      <c r="CN15" s="46">
        <v>442.19</v>
      </c>
      <c r="CO15" s="46">
        <v>457.7</v>
      </c>
      <c r="CP15" s="46">
        <v>523.66999999999996</v>
      </c>
      <c r="CQ15" s="46">
        <v>558.54</v>
      </c>
      <c r="CR15" s="46">
        <v>594.87</v>
      </c>
      <c r="CS15" s="46">
        <v>600.73</v>
      </c>
      <c r="CT15" s="46">
        <v>608.83000000000004</v>
      </c>
      <c r="CU15" s="46">
        <v>614.58000000000004</v>
      </c>
      <c r="CV15" s="46">
        <v>640.17999999999995</v>
      </c>
      <c r="CW15" s="46">
        <v>657.47</v>
      </c>
      <c r="CX15" s="46">
        <v>657.68</v>
      </c>
      <c r="CY15" s="46">
        <v>661.71</v>
      </c>
      <c r="CZ15" s="46">
        <v>663.36</v>
      </c>
      <c r="DA15" s="46">
        <v>697.55</v>
      </c>
      <c r="DB15" s="46">
        <v>702.5</v>
      </c>
      <c r="DC15" s="46">
        <v>715.99</v>
      </c>
      <c r="DD15" s="46">
        <v>730.57</v>
      </c>
      <c r="DE15" s="46">
        <v>742.68</v>
      </c>
      <c r="DF15" s="46">
        <v>769.37</v>
      </c>
      <c r="DG15" s="46">
        <v>783.84</v>
      </c>
      <c r="DH15" s="46">
        <v>797.7</v>
      </c>
      <c r="DI15" s="46">
        <v>809.26</v>
      </c>
      <c r="DJ15" s="46">
        <v>816.94</v>
      </c>
      <c r="DK15" s="46">
        <v>887.34</v>
      </c>
      <c r="DL15" s="46">
        <v>895.76</v>
      </c>
      <c r="DM15" s="46">
        <v>901.55</v>
      </c>
      <c r="DN15" s="46">
        <v>978.93</v>
      </c>
      <c r="DO15" s="46">
        <v>980.14</v>
      </c>
    </row>
    <row r="16" spans="1:119" s="2" customFormat="1" ht="14.25" x14ac:dyDescent="0.25">
      <c r="A16" s="252">
        <v>20</v>
      </c>
      <c r="B16" s="253"/>
      <c r="C16" s="47">
        <v>269.52</v>
      </c>
      <c r="D16" s="47">
        <v>293.57</v>
      </c>
      <c r="E16" s="47">
        <v>295.70999999999998</v>
      </c>
      <c r="F16" s="47">
        <v>308.74</v>
      </c>
      <c r="G16" s="47">
        <v>326.51</v>
      </c>
      <c r="H16" s="47">
        <v>336.41</v>
      </c>
      <c r="I16" s="47">
        <v>340.89</v>
      </c>
      <c r="J16" s="47">
        <v>371.42</v>
      </c>
      <c r="K16" s="47">
        <v>418.33</v>
      </c>
      <c r="L16" s="47">
        <v>433.02</v>
      </c>
      <c r="M16" s="47">
        <v>448.94</v>
      </c>
      <c r="N16" s="47">
        <v>455.82</v>
      </c>
      <c r="O16" s="47">
        <v>471.81</v>
      </c>
      <c r="P16" s="47">
        <v>539.80999999999995</v>
      </c>
      <c r="Q16" s="47">
        <v>575.76</v>
      </c>
      <c r="R16" s="47">
        <v>613.21</v>
      </c>
      <c r="S16" s="47">
        <v>619.24</v>
      </c>
      <c r="T16" s="47">
        <v>627.59</v>
      </c>
      <c r="U16" s="47">
        <v>633.52</v>
      </c>
      <c r="V16" s="47">
        <v>659.91</v>
      </c>
      <c r="W16" s="47">
        <v>677.73</v>
      </c>
      <c r="X16" s="47">
        <v>677.95</v>
      </c>
      <c r="Y16" s="47">
        <v>682.1</v>
      </c>
      <c r="Z16" s="47">
        <v>683.81</v>
      </c>
      <c r="AA16" s="47">
        <v>719.05</v>
      </c>
      <c r="AB16" s="47">
        <v>724.15</v>
      </c>
      <c r="AC16" s="47">
        <v>738.06</v>
      </c>
      <c r="AD16" s="47">
        <v>753.09</v>
      </c>
      <c r="AE16" s="47">
        <v>765.57</v>
      </c>
      <c r="AF16" s="47">
        <v>793.08</v>
      </c>
      <c r="AG16" s="47">
        <v>808</v>
      </c>
      <c r="AH16" s="47">
        <v>822.28</v>
      </c>
      <c r="AI16" s="47">
        <v>834.2</v>
      </c>
      <c r="AJ16" s="47">
        <v>842.12</v>
      </c>
      <c r="AK16" s="47">
        <v>914.68</v>
      </c>
      <c r="AL16" s="47">
        <v>923.37</v>
      </c>
      <c r="AM16" s="47">
        <v>929.33</v>
      </c>
      <c r="AN16" s="47">
        <v>1009.09</v>
      </c>
      <c r="AO16" s="47">
        <v>1010.35</v>
      </c>
      <c r="AP16" s="47">
        <v>269.52</v>
      </c>
      <c r="AQ16" s="47">
        <v>293.57</v>
      </c>
      <c r="AR16" s="47">
        <v>295.70999999999998</v>
      </c>
      <c r="AS16" s="47">
        <v>308.74</v>
      </c>
      <c r="AT16" s="47">
        <v>326.51</v>
      </c>
      <c r="AU16" s="47">
        <v>336.41</v>
      </c>
      <c r="AV16" s="47">
        <v>340.89</v>
      </c>
      <c r="AW16" s="47">
        <v>371.42</v>
      </c>
      <c r="AX16" s="47">
        <v>418.33</v>
      </c>
      <c r="AY16" s="47">
        <v>433.02</v>
      </c>
      <c r="AZ16" s="47">
        <v>448.94</v>
      </c>
      <c r="BA16" s="47">
        <v>455.82</v>
      </c>
      <c r="BB16" s="47">
        <v>471.81</v>
      </c>
      <c r="BC16" s="47">
        <v>539.80999999999995</v>
      </c>
      <c r="BD16" s="47">
        <v>575.76</v>
      </c>
      <c r="BE16" s="47">
        <v>613.21</v>
      </c>
      <c r="BF16" s="47">
        <v>619.24</v>
      </c>
      <c r="BG16" s="47">
        <v>627.59</v>
      </c>
      <c r="BH16" s="47">
        <v>633.52</v>
      </c>
      <c r="BI16" s="47">
        <v>659.91</v>
      </c>
      <c r="BJ16" s="47">
        <v>677.73</v>
      </c>
      <c r="BK16" s="47">
        <v>677.95</v>
      </c>
      <c r="BL16" s="47">
        <v>682.1</v>
      </c>
      <c r="BM16" s="47">
        <v>683.81</v>
      </c>
      <c r="BN16" s="47">
        <v>719.05</v>
      </c>
      <c r="BO16" s="47">
        <v>724.15</v>
      </c>
      <c r="BP16" s="47">
        <v>738.06</v>
      </c>
      <c r="BQ16" s="47">
        <v>753.09</v>
      </c>
      <c r="BR16" s="47">
        <v>765.57</v>
      </c>
      <c r="BS16" s="47">
        <v>793.08</v>
      </c>
      <c r="BT16" s="47">
        <v>808</v>
      </c>
      <c r="BU16" s="47">
        <v>822.28</v>
      </c>
      <c r="BV16" s="47">
        <v>834.2</v>
      </c>
      <c r="BW16" s="47">
        <v>842.12</v>
      </c>
      <c r="BX16" s="47">
        <v>914.68</v>
      </c>
      <c r="BY16" s="47">
        <v>923.37</v>
      </c>
      <c r="BZ16" s="47">
        <v>929.33</v>
      </c>
      <c r="CA16" s="47">
        <v>1009.09</v>
      </c>
      <c r="CB16" s="47">
        <v>1010.35</v>
      </c>
      <c r="CC16" s="47">
        <v>269.52</v>
      </c>
      <c r="CD16" s="47">
        <v>293.57</v>
      </c>
      <c r="CE16" s="47">
        <v>295.70999999999998</v>
      </c>
      <c r="CF16" s="47">
        <v>308.74</v>
      </c>
      <c r="CG16" s="47">
        <v>326.51</v>
      </c>
      <c r="CH16" s="47">
        <v>336.41</v>
      </c>
      <c r="CI16" s="47">
        <v>340.89</v>
      </c>
      <c r="CJ16" s="47">
        <v>371.42</v>
      </c>
      <c r="CK16" s="47">
        <v>418.33</v>
      </c>
      <c r="CL16" s="47">
        <v>433.02</v>
      </c>
      <c r="CM16" s="47">
        <v>448.94</v>
      </c>
      <c r="CN16" s="47">
        <v>455.82</v>
      </c>
      <c r="CO16" s="47">
        <v>471.81</v>
      </c>
      <c r="CP16" s="47">
        <v>539.80999999999995</v>
      </c>
      <c r="CQ16" s="47">
        <v>575.76</v>
      </c>
      <c r="CR16" s="47">
        <v>613.21</v>
      </c>
      <c r="CS16" s="47">
        <v>619.24</v>
      </c>
      <c r="CT16" s="47">
        <v>627.59</v>
      </c>
      <c r="CU16" s="47">
        <v>633.52</v>
      </c>
      <c r="CV16" s="47">
        <v>659.91</v>
      </c>
      <c r="CW16" s="47">
        <v>677.73</v>
      </c>
      <c r="CX16" s="47">
        <v>677.95</v>
      </c>
      <c r="CY16" s="47">
        <v>682.1</v>
      </c>
      <c r="CZ16" s="47">
        <v>683.81</v>
      </c>
      <c r="DA16" s="47">
        <v>719.05</v>
      </c>
      <c r="DB16" s="47">
        <v>724.15</v>
      </c>
      <c r="DC16" s="47">
        <v>738.06</v>
      </c>
      <c r="DD16" s="47">
        <v>753.09</v>
      </c>
      <c r="DE16" s="47">
        <v>765.57</v>
      </c>
      <c r="DF16" s="47">
        <v>793.08</v>
      </c>
      <c r="DG16" s="47">
        <v>808</v>
      </c>
      <c r="DH16" s="47">
        <v>822.28</v>
      </c>
      <c r="DI16" s="47">
        <v>834.2</v>
      </c>
      <c r="DJ16" s="47">
        <v>842.12</v>
      </c>
      <c r="DK16" s="47">
        <v>914.68</v>
      </c>
      <c r="DL16" s="47">
        <v>923.37</v>
      </c>
      <c r="DM16" s="47">
        <v>929.33</v>
      </c>
      <c r="DN16" s="47">
        <v>1009.09</v>
      </c>
      <c r="DO16" s="47">
        <v>1010.35</v>
      </c>
    </row>
    <row r="17" spans="1:119" s="3" customFormat="1" ht="14.25" x14ac:dyDescent="0.25">
      <c r="A17" s="252">
        <v>21</v>
      </c>
      <c r="B17" s="253"/>
      <c r="C17" s="48">
        <v>347.32</v>
      </c>
      <c r="D17" s="48">
        <v>378.31</v>
      </c>
      <c r="E17" s="48">
        <v>381.07</v>
      </c>
      <c r="F17" s="48">
        <v>397.86</v>
      </c>
      <c r="G17" s="48">
        <v>420.76</v>
      </c>
      <c r="H17" s="48">
        <v>433.52</v>
      </c>
      <c r="I17" s="48">
        <v>439.29</v>
      </c>
      <c r="J17" s="48">
        <v>478.64</v>
      </c>
      <c r="K17" s="48">
        <v>539.08000000000004</v>
      </c>
      <c r="L17" s="48">
        <v>558.01</v>
      </c>
      <c r="M17" s="48">
        <v>578.53</v>
      </c>
      <c r="N17" s="48">
        <v>587.39</v>
      </c>
      <c r="O17" s="48">
        <v>608</v>
      </c>
      <c r="P17" s="48">
        <v>695.63</v>
      </c>
      <c r="Q17" s="48">
        <v>741.95</v>
      </c>
      <c r="R17" s="48">
        <v>790.22</v>
      </c>
      <c r="S17" s="48">
        <v>797.99</v>
      </c>
      <c r="T17" s="48">
        <v>808.75</v>
      </c>
      <c r="U17" s="48">
        <v>816.4</v>
      </c>
      <c r="V17" s="48">
        <v>850.4</v>
      </c>
      <c r="W17" s="48">
        <v>873.37</v>
      </c>
      <c r="X17" s="48">
        <v>873.65</v>
      </c>
      <c r="Y17" s="48">
        <v>878.99</v>
      </c>
      <c r="Z17" s="48">
        <v>881.19</v>
      </c>
      <c r="AA17" s="48">
        <v>926.61</v>
      </c>
      <c r="AB17" s="48">
        <v>933.18</v>
      </c>
      <c r="AC17" s="48">
        <v>951.11</v>
      </c>
      <c r="AD17" s="48">
        <v>970.48</v>
      </c>
      <c r="AE17" s="48">
        <v>986.55</v>
      </c>
      <c r="AF17" s="48">
        <v>1022.01</v>
      </c>
      <c r="AG17" s="48">
        <v>1041.23</v>
      </c>
      <c r="AH17" s="48">
        <v>1059.6400000000001</v>
      </c>
      <c r="AI17" s="48">
        <v>1074.99</v>
      </c>
      <c r="AJ17" s="48">
        <v>1085.21</v>
      </c>
      <c r="AK17" s="48">
        <v>1178.71</v>
      </c>
      <c r="AL17" s="48">
        <v>1189.9100000000001</v>
      </c>
      <c r="AM17" s="48">
        <v>1197.5899999999999</v>
      </c>
      <c r="AN17" s="48">
        <v>1300.3800000000001</v>
      </c>
      <c r="AO17" s="48">
        <v>1302</v>
      </c>
      <c r="AP17" s="48">
        <v>347.32</v>
      </c>
      <c r="AQ17" s="48">
        <v>378.31</v>
      </c>
      <c r="AR17" s="48">
        <v>381.07</v>
      </c>
      <c r="AS17" s="48">
        <v>397.86</v>
      </c>
      <c r="AT17" s="48">
        <v>420.76</v>
      </c>
      <c r="AU17" s="48">
        <v>433.52</v>
      </c>
      <c r="AV17" s="48">
        <v>439.29</v>
      </c>
      <c r="AW17" s="48">
        <v>478.64</v>
      </c>
      <c r="AX17" s="48">
        <v>539.08000000000004</v>
      </c>
      <c r="AY17" s="48">
        <v>558.01</v>
      </c>
      <c r="AZ17" s="48">
        <v>578.53</v>
      </c>
      <c r="BA17" s="48">
        <v>587.39</v>
      </c>
      <c r="BB17" s="48">
        <v>608</v>
      </c>
      <c r="BC17" s="48">
        <v>695.63</v>
      </c>
      <c r="BD17" s="48">
        <v>741.95</v>
      </c>
      <c r="BE17" s="48">
        <v>790.22</v>
      </c>
      <c r="BF17" s="48">
        <v>797.99</v>
      </c>
      <c r="BG17" s="48">
        <v>808.75</v>
      </c>
      <c r="BH17" s="48">
        <v>816.4</v>
      </c>
      <c r="BI17" s="48">
        <v>850.4</v>
      </c>
      <c r="BJ17" s="48">
        <v>873.37</v>
      </c>
      <c r="BK17" s="48">
        <v>873.65</v>
      </c>
      <c r="BL17" s="48">
        <v>878.99</v>
      </c>
      <c r="BM17" s="48">
        <v>881.19</v>
      </c>
      <c r="BN17" s="48">
        <v>926.61</v>
      </c>
      <c r="BO17" s="48">
        <v>933.18</v>
      </c>
      <c r="BP17" s="48">
        <v>951.11</v>
      </c>
      <c r="BQ17" s="48">
        <v>970.48</v>
      </c>
      <c r="BR17" s="48">
        <v>986.55</v>
      </c>
      <c r="BS17" s="48">
        <v>1022.01</v>
      </c>
      <c r="BT17" s="48">
        <v>1041.23</v>
      </c>
      <c r="BU17" s="48">
        <v>1059.6400000000001</v>
      </c>
      <c r="BV17" s="48">
        <v>1074.99</v>
      </c>
      <c r="BW17" s="48">
        <v>1085.21</v>
      </c>
      <c r="BX17" s="48">
        <v>1178.71</v>
      </c>
      <c r="BY17" s="48">
        <v>1189.9100000000001</v>
      </c>
      <c r="BZ17" s="48">
        <v>1197.5899999999999</v>
      </c>
      <c r="CA17" s="48">
        <v>1300.3800000000001</v>
      </c>
      <c r="CB17" s="48">
        <v>1302</v>
      </c>
      <c r="CC17" s="48">
        <v>347.32</v>
      </c>
      <c r="CD17" s="48">
        <v>378.31</v>
      </c>
      <c r="CE17" s="48">
        <v>381.07</v>
      </c>
      <c r="CF17" s="48">
        <v>397.86</v>
      </c>
      <c r="CG17" s="48">
        <v>420.76</v>
      </c>
      <c r="CH17" s="48">
        <v>433.52</v>
      </c>
      <c r="CI17" s="48">
        <v>439.29</v>
      </c>
      <c r="CJ17" s="48">
        <v>478.64</v>
      </c>
      <c r="CK17" s="48">
        <v>539.08000000000004</v>
      </c>
      <c r="CL17" s="48">
        <v>558.01</v>
      </c>
      <c r="CM17" s="48">
        <v>578.53</v>
      </c>
      <c r="CN17" s="48">
        <v>587.39</v>
      </c>
      <c r="CO17" s="48">
        <v>608</v>
      </c>
      <c r="CP17" s="48">
        <v>695.63</v>
      </c>
      <c r="CQ17" s="48">
        <v>741.95</v>
      </c>
      <c r="CR17" s="48">
        <v>790.22</v>
      </c>
      <c r="CS17" s="48">
        <v>797.99</v>
      </c>
      <c r="CT17" s="48">
        <v>808.75</v>
      </c>
      <c r="CU17" s="48">
        <v>816.4</v>
      </c>
      <c r="CV17" s="48">
        <v>850.4</v>
      </c>
      <c r="CW17" s="48">
        <v>873.37</v>
      </c>
      <c r="CX17" s="48">
        <v>873.65</v>
      </c>
      <c r="CY17" s="48">
        <v>878.99</v>
      </c>
      <c r="CZ17" s="48">
        <v>881.19</v>
      </c>
      <c r="DA17" s="48">
        <v>926.61</v>
      </c>
      <c r="DB17" s="48">
        <v>933.18</v>
      </c>
      <c r="DC17" s="48">
        <v>951.11</v>
      </c>
      <c r="DD17" s="48">
        <v>970.48</v>
      </c>
      <c r="DE17" s="48">
        <v>986.55</v>
      </c>
      <c r="DF17" s="48">
        <v>1022.01</v>
      </c>
      <c r="DG17" s="48">
        <v>1041.23</v>
      </c>
      <c r="DH17" s="48">
        <v>1059.6400000000001</v>
      </c>
      <c r="DI17" s="48">
        <v>1074.99</v>
      </c>
      <c r="DJ17" s="48">
        <v>1085.21</v>
      </c>
      <c r="DK17" s="48">
        <v>1178.71</v>
      </c>
      <c r="DL17" s="48">
        <v>1189.9100000000001</v>
      </c>
      <c r="DM17" s="48">
        <v>1197.5899999999999</v>
      </c>
      <c r="DN17" s="48">
        <v>1300.3800000000001</v>
      </c>
      <c r="DO17" s="48">
        <v>1302</v>
      </c>
    </row>
    <row r="18" spans="1:119" s="3" customFormat="1" ht="14.25" x14ac:dyDescent="0.25">
      <c r="A18" s="252">
        <v>22</v>
      </c>
      <c r="B18" s="253"/>
      <c r="C18" s="48">
        <v>347.32</v>
      </c>
      <c r="D18" s="48">
        <v>378.31</v>
      </c>
      <c r="E18" s="48">
        <v>381.07</v>
      </c>
      <c r="F18" s="48">
        <v>397.86</v>
      </c>
      <c r="G18" s="48">
        <v>420.76</v>
      </c>
      <c r="H18" s="48">
        <v>433.52</v>
      </c>
      <c r="I18" s="48">
        <v>439.29</v>
      </c>
      <c r="J18" s="48">
        <v>478.64</v>
      </c>
      <c r="K18" s="48">
        <v>539.08000000000004</v>
      </c>
      <c r="L18" s="48">
        <v>558.01</v>
      </c>
      <c r="M18" s="48">
        <v>578.53</v>
      </c>
      <c r="N18" s="48">
        <v>587.39</v>
      </c>
      <c r="O18" s="48">
        <v>608</v>
      </c>
      <c r="P18" s="48">
        <v>695.63</v>
      </c>
      <c r="Q18" s="48">
        <v>741.95</v>
      </c>
      <c r="R18" s="48">
        <v>790.22</v>
      </c>
      <c r="S18" s="48">
        <v>797.99</v>
      </c>
      <c r="T18" s="48">
        <v>808.75</v>
      </c>
      <c r="U18" s="48">
        <v>816.4</v>
      </c>
      <c r="V18" s="48">
        <v>850.4</v>
      </c>
      <c r="W18" s="48">
        <v>873.37</v>
      </c>
      <c r="X18" s="48">
        <v>873.65</v>
      </c>
      <c r="Y18" s="48">
        <v>878.99</v>
      </c>
      <c r="Z18" s="48">
        <v>881.19</v>
      </c>
      <c r="AA18" s="48">
        <v>926.61</v>
      </c>
      <c r="AB18" s="48">
        <v>933.18</v>
      </c>
      <c r="AC18" s="48">
        <v>951.11</v>
      </c>
      <c r="AD18" s="48">
        <v>970.48</v>
      </c>
      <c r="AE18" s="48">
        <v>986.55</v>
      </c>
      <c r="AF18" s="48">
        <v>1022.01</v>
      </c>
      <c r="AG18" s="48">
        <v>1041.23</v>
      </c>
      <c r="AH18" s="48">
        <v>1059.6400000000001</v>
      </c>
      <c r="AI18" s="48">
        <v>1074.99</v>
      </c>
      <c r="AJ18" s="48">
        <v>1085.21</v>
      </c>
      <c r="AK18" s="48">
        <v>1178.71</v>
      </c>
      <c r="AL18" s="48">
        <v>1189.9100000000001</v>
      </c>
      <c r="AM18" s="48">
        <v>1197.5899999999999</v>
      </c>
      <c r="AN18" s="48">
        <v>1300.3800000000001</v>
      </c>
      <c r="AO18" s="48">
        <v>1302</v>
      </c>
      <c r="AP18" s="48">
        <v>347.32</v>
      </c>
      <c r="AQ18" s="48">
        <v>378.31</v>
      </c>
      <c r="AR18" s="48">
        <v>381.07</v>
      </c>
      <c r="AS18" s="48">
        <v>397.86</v>
      </c>
      <c r="AT18" s="48">
        <v>420.76</v>
      </c>
      <c r="AU18" s="48">
        <v>433.52</v>
      </c>
      <c r="AV18" s="48">
        <v>439.29</v>
      </c>
      <c r="AW18" s="48">
        <v>478.64</v>
      </c>
      <c r="AX18" s="48">
        <v>539.08000000000004</v>
      </c>
      <c r="AY18" s="48">
        <v>558.01</v>
      </c>
      <c r="AZ18" s="48">
        <v>578.53</v>
      </c>
      <c r="BA18" s="48">
        <v>587.39</v>
      </c>
      <c r="BB18" s="48">
        <v>608</v>
      </c>
      <c r="BC18" s="48">
        <v>695.63</v>
      </c>
      <c r="BD18" s="48">
        <v>741.95</v>
      </c>
      <c r="BE18" s="48">
        <v>790.22</v>
      </c>
      <c r="BF18" s="48">
        <v>797.99</v>
      </c>
      <c r="BG18" s="48">
        <v>808.75</v>
      </c>
      <c r="BH18" s="48">
        <v>816.4</v>
      </c>
      <c r="BI18" s="48">
        <v>850.4</v>
      </c>
      <c r="BJ18" s="48">
        <v>873.37</v>
      </c>
      <c r="BK18" s="48">
        <v>873.65</v>
      </c>
      <c r="BL18" s="48">
        <v>878.99</v>
      </c>
      <c r="BM18" s="48">
        <v>881.19</v>
      </c>
      <c r="BN18" s="48">
        <v>926.61</v>
      </c>
      <c r="BO18" s="48">
        <v>933.18</v>
      </c>
      <c r="BP18" s="48">
        <v>951.11</v>
      </c>
      <c r="BQ18" s="48">
        <v>970.48</v>
      </c>
      <c r="BR18" s="48">
        <v>986.55</v>
      </c>
      <c r="BS18" s="48">
        <v>1022.01</v>
      </c>
      <c r="BT18" s="48">
        <v>1041.23</v>
      </c>
      <c r="BU18" s="48">
        <v>1059.6400000000001</v>
      </c>
      <c r="BV18" s="48">
        <v>1074.99</v>
      </c>
      <c r="BW18" s="48">
        <v>1085.21</v>
      </c>
      <c r="BX18" s="48">
        <v>1178.71</v>
      </c>
      <c r="BY18" s="48">
        <v>1189.9100000000001</v>
      </c>
      <c r="BZ18" s="48">
        <v>1197.5899999999999</v>
      </c>
      <c r="CA18" s="48">
        <v>1300.3800000000001</v>
      </c>
      <c r="CB18" s="48">
        <v>1302</v>
      </c>
      <c r="CC18" s="48">
        <v>347.32</v>
      </c>
      <c r="CD18" s="48">
        <v>378.31</v>
      </c>
      <c r="CE18" s="48">
        <v>381.07</v>
      </c>
      <c r="CF18" s="48">
        <v>397.86</v>
      </c>
      <c r="CG18" s="48">
        <v>420.76</v>
      </c>
      <c r="CH18" s="48">
        <v>433.52</v>
      </c>
      <c r="CI18" s="48">
        <v>439.29</v>
      </c>
      <c r="CJ18" s="48">
        <v>478.64</v>
      </c>
      <c r="CK18" s="48">
        <v>539.08000000000004</v>
      </c>
      <c r="CL18" s="48">
        <v>558.01</v>
      </c>
      <c r="CM18" s="48">
        <v>578.53</v>
      </c>
      <c r="CN18" s="48">
        <v>587.39</v>
      </c>
      <c r="CO18" s="48">
        <v>608</v>
      </c>
      <c r="CP18" s="48">
        <v>695.63</v>
      </c>
      <c r="CQ18" s="48">
        <v>741.95</v>
      </c>
      <c r="CR18" s="48">
        <v>790.22</v>
      </c>
      <c r="CS18" s="48">
        <v>797.99</v>
      </c>
      <c r="CT18" s="48">
        <v>808.75</v>
      </c>
      <c r="CU18" s="48">
        <v>816.4</v>
      </c>
      <c r="CV18" s="48">
        <v>850.4</v>
      </c>
      <c r="CW18" s="48">
        <v>873.37</v>
      </c>
      <c r="CX18" s="48">
        <v>873.65</v>
      </c>
      <c r="CY18" s="48">
        <v>878.99</v>
      </c>
      <c r="CZ18" s="48">
        <v>881.19</v>
      </c>
      <c r="DA18" s="48">
        <v>926.61</v>
      </c>
      <c r="DB18" s="48">
        <v>933.18</v>
      </c>
      <c r="DC18" s="48">
        <v>951.11</v>
      </c>
      <c r="DD18" s="48">
        <v>970.48</v>
      </c>
      <c r="DE18" s="48">
        <v>986.55</v>
      </c>
      <c r="DF18" s="48">
        <v>1022.01</v>
      </c>
      <c r="DG18" s="48">
        <v>1041.23</v>
      </c>
      <c r="DH18" s="48">
        <v>1059.6400000000001</v>
      </c>
      <c r="DI18" s="48">
        <v>1074.99</v>
      </c>
      <c r="DJ18" s="48">
        <v>1085.21</v>
      </c>
      <c r="DK18" s="48">
        <v>1178.71</v>
      </c>
      <c r="DL18" s="48">
        <v>1189.9100000000001</v>
      </c>
      <c r="DM18" s="48">
        <v>1197.5899999999999</v>
      </c>
      <c r="DN18" s="48">
        <v>1300.3800000000001</v>
      </c>
      <c r="DO18" s="48">
        <v>1302</v>
      </c>
    </row>
    <row r="19" spans="1:119" s="3" customFormat="1" ht="14.25" x14ac:dyDescent="0.25">
      <c r="A19" s="252">
        <v>23</v>
      </c>
      <c r="B19" s="253"/>
      <c r="C19" s="48">
        <v>347.32</v>
      </c>
      <c r="D19" s="48">
        <v>378.31</v>
      </c>
      <c r="E19" s="48">
        <v>381.07</v>
      </c>
      <c r="F19" s="48">
        <v>397.86</v>
      </c>
      <c r="G19" s="48">
        <v>420.76</v>
      </c>
      <c r="H19" s="48">
        <v>433.52</v>
      </c>
      <c r="I19" s="48">
        <v>439.29</v>
      </c>
      <c r="J19" s="48">
        <v>478.64</v>
      </c>
      <c r="K19" s="48">
        <v>539.08000000000004</v>
      </c>
      <c r="L19" s="48">
        <v>558.01</v>
      </c>
      <c r="M19" s="48">
        <v>578.53</v>
      </c>
      <c r="N19" s="48">
        <v>587.39</v>
      </c>
      <c r="O19" s="48">
        <v>608</v>
      </c>
      <c r="P19" s="48">
        <v>695.63</v>
      </c>
      <c r="Q19" s="48">
        <v>741.95</v>
      </c>
      <c r="R19" s="48">
        <v>790.22</v>
      </c>
      <c r="S19" s="48">
        <v>797.99</v>
      </c>
      <c r="T19" s="48">
        <v>808.75</v>
      </c>
      <c r="U19" s="48">
        <v>816.4</v>
      </c>
      <c r="V19" s="48">
        <v>850.4</v>
      </c>
      <c r="W19" s="48">
        <v>873.37</v>
      </c>
      <c r="X19" s="48">
        <v>873.65</v>
      </c>
      <c r="Y19" s="48">
        <v>878.99</v>
      </c>
      <c r="Z19" s="48">
        <v>881.19</v>
      </c>
      <c r="AA19" s="48">
        <v>926.61</v>
      </c>
      <c r="AB19" s="48">
        <v>933.18</v>
      </c>
      <c r="AC19" s="48">
        <v>951.11</v>
      </c>
      <c r="AD19" s="48">
        <v>970.48</v>
      </c>
      <c r="AE19" s="48">
        <v>986.55</v>
      </c>
      <c r="AF19" s="48">
        <v>1022.01</v>
      </c>
      <c r="AG19" s="48">
        <v>1041.23</v>
      </c>
      <c r="AH19" s="48">
        <v>1059.6400000000001</v>
      </c>
      <c r="AI19" s="48">
        <v>1074.99</v>
      </c>
      <c r="AJ19" s="48">
        <v>1085.21</v>
      </c>
      <c r="AK19" s="48">
        <v>1178.71</v>
      </c>
      <c r="AL19" s="48">
        <v>1189.9100000000001</v>
      </c>
      <c r="AM19" s="48">
        <v>1197.5899999999999</v>
      </c>
      <c r="AN19" s="48">
        <v>1300.3800000000001</v>
      </c>
      <c r="AO19" s="48">
        <v>1302</v>
      </c>
      <c r="AP19" s="48">
        <v>347.32</v>
      </c>
      <c r="AQ19" s="48">
        <v>378.31</v>
      </c>
      <c r="AR19" s="48">
        <v>381.07</v>
      </c>
      <c r="AS19" s="48">
        <v>397.86</v>
      </c>
      <c r="AT19" s="48">
        <v>420.76</v>
      </c>
      <c r="AU19" s="48">
        <v>433.52</v>
      </c>
      <c r="AV19" s="48">
        <v>439.29</v>
      </c>
      <c r="AW19" s="48">
        <v>478.64</v>
      </c>
      <c r="AX19" s="48">
        <v>539.08000000000004</v>
      </c>
      <c r="AY19" s="48">
        <v>558.01</v>
      </c>
      <c r="AZ19" s="48">
        <v>578.53</v>
      </c>
      <c r="BA19" s="48">
        <v>587.39</v>
      </c>
      <c r="BB19" s="48">
        <v>608</v>
      </c>
      <c r="BC19" s="48">
        <v>695.63</v>
      </c>
      <c r="BD19" s="48">
        <v>741.95</v>
      </c>
      <c r="BE19" s="48">
        <v>790.22</v>
      </c>
      <c r="BF19" s="48">
        <v>797.99</v>
      </c>
      <c r="BG19" s="48">
        <v>808.75</v>
      </c>
      <c r="BH19" s="48">
        <v>816.4</v>
      </c>
      <c r="BI19" s="48">
        <v>850.4</v>
      </c>
      <c r="BJ19" s="48">
        <v>873.37</v>
      </c>
      <c r="BK19" s="48">
        <v>873.65</v>
      </c>
      <c r="BL19" s="48">
        <v>878.99</v>
      </c>
      <c r="BM19" s="48">
        <v>881.19</v>
      </c>
      <c r="BN19" s="48">
        <v>926.61</v>
      </c>
      <c r="BO19" s="48">
        <v>933.18</v>
      </c>
      <c r="BP19" s="48">
        <v>951.11</v>
      </c>
      <c r="BQ19" s="48">
        <v>970.48</v>
      </c>
      <c r="BR19" s="48">
        <v>986.55</v>
      </c>
      <c r="BS19" s="48">
        <v>1022.01</v>
      </c>
      <c r="BT19" s="48">
        <v>1041.23</v>
      </c>
      <c r="BU19" s="48">
        <v>1059.6400000000001</v>
      </c>
      <c r="BV19" s="48">
        <v>1074.99</v>
      </c>
      <c r="BW19" s="48">
        <v>1085.21</v>
      </c>
      <c r="BX19" s="48">
        <v>1178.71</v>
      </c>
      <c r="BY19" s="48">
        <v>1189.9100000000001</v>
      </c>
      <c r="BZ19" s="48">
        <v>1197.5899999999999</v>
      </c>
      <c r="CA19" s="48">
        <v>1300.3800000000001</v>
      </c>
      <c r="CB19" s="48">
        <v>1302</v>
      </c>
      <c r="CC19" s="48">
        <v>347.32</v>
      </c>
      <c r="CD19" s="48">
        <v>378.31</v>
      </c>
      <c r="CE19" s="48">
        <v>381.07</v>
      </c>
      <c r="CF19" s="48">
        <v>397.86</v>
      </c>
      <c r="CG19" s="48">
        <v>420.76</v>
      </c>
      <c r="CH19" s="48">
        <v>433.52</v>
      </c>
      <c r="CI19" s="48">
        <v>439.29</v>
      </c>
      <c r="CJ19" s="48">
        <v>478.64</v>
      </c>
      <c r="CK19" s="48">
        <v>539.08000000000004</v>
      </c>
      <c r="CL19" s="48">
        <v>558.01</v>
      </c>
      <c r="CM19" s="48">
        <v>578.53</v>
      </c>
      <c r="CN19" s="48">
        <v>587.39</v>
      </c>
      <c r="CO19" s="48">
        <v>608</v>
      </c>
      <c r="CP19" s="48">
        <v>695.63</v>
      </c>
      <c r="CQ19" s="48">
        <v>741.95</v>
      </c>
      <c r="CR19" s="48">
        <v>790.22</v>
      </c>
      <c r="CS19" s="48">
        <v>797.99</v>
      </c>
      <c r="CT19" s="48">
        <v>808.75</v>
      </c>
      <c r="CU19" s="48">
        <v>816.4</v>
      </c>
      <c r="CV19" s="48">
        <v>850.4</v>
      </c>
      <c r="CW19" s="48">
        <v>873.37</v>
      </c>
      <c r="CX19" s="48">
        <v>873.65</v>
      </c>
      <c r="CY19" s="48">
        <v>878.99</v>
      </c>
      <c r="CZ19" s="48">
        <v>881.19</v>
      </c>
      <c r="DA19" s="48">
        <v>926.61</v>
      </c>
      <c r="DB19" s="48">
        <v>933.18</v>
      </c>
      <c r="DC19" s="48">
        <v>951.11</v>
      </c>
      <c r="DD19" s="48">
        <v>970.48</v>
      </c>
      <c r="DE19" s="48">
        <v>986.55</v>
      </c>
      <c r="DF19" s="48">
        <v>1022.01</v>
      </c>
      <c r="DG19" s="48">
        <v>1041.23</v>
      </c>
      <c r="DH19" s="48">
        <v>1059.6400000000001</v>
      </c>
      <c r="DI19" s="48">
        <v>1074.99</v>
      </c>
      <c r="DJ19" s="48">
        <v>1085.21</v>
      </c>
      <c r="DK19" s="48">
        <v>1178.71</v>
      </c>
      <c r="DL19" s="48">
        <v>1189.9100000000001</v>
      </c>
      <c r="DM19" s="48">
        <v>1197.5899999999999</v>
      </c>
      <c r="DN19" s="48">
        <v>1300.3800000000001</v>
      </c>
      <c r="DO19" s="48">
        <v>1302</v>
      </c>
    </row>
    <row r="20" spans="1:119" s="3" customFormat="1" ht="15.75" x14ac:dyDescent="0.25">
      <c r="A20" s="252">
        <v>24</v>
      </c>
      <c r="B20" s="253"/>
      <c r="C20" s="49">
        <v>347.32</v>
      </c>
      <c r="D20" s="49">
        <v>378.31</v>
      </c>
      <c r="E20" s="49">
        <v>381.07</v>
      </c>
      <c r="F20" s="49">
        <v>397.86</v>
      </c>
      <c r="G20" s="49">
        <v>420.76</v>
      </c>
      <c r="H20" s="49">
        <v>433.52</v>
      </c>
      <c r="I20" s="49">
        <v>439.29</v>
      </c>
      <c r="J20" s="49">
        <v>478.64</v>
      </c>
      <c r="K20" s="49">
        <v>539.08000000000004</v>
      </c>
      <c r="L20" s="49">
        <v>558.01</v>
      </c>
      <c r="M20" s="49">
        <v>578.53</v>
      </c>
      <c r="N20" s="49">
        <v>587.39</v>
      </c>
      <c r="O20" s="49">
        <v>608</v>
      </c>
      <c r="P20" s="49">
        <v>695.63</v>
      </c>
      <c r="Q20" s="49">
        <v>741.95</v>
      </c>
      <c r="R20" s="49">
        <v>790.22</v>
      </c>
      <c r="S20" s="49">
        <v>797.99</v>
      </c>
      <c r="T20" s="49">
        <v>808.75</v>
      </c>
      <c r="U20" s="49">
        <v>816.4</v>
      </c>
      <c r="V20" s="49">
        <v>850.4</v>
      </c>
      <c r="W20" s="49">
        <v>873.37</v>
      </c>
      <c r="X20" s="49">
        <v>873.65</v>
      </c>
      <c r="Y20" s="49">
        <v>878.99</v>
      </c>
      <c r="Z20" s="49">
        <v>881.19</v>
      </c>
      <c r="AA20" s="49">
        <v>926.61</v>
      </c>
      <c r="AB20" s="49">
        <v>933.18</v>
      </c>
      <c r="AC20" s="49">
        <v>951.11</v>
      </c>
      <c r="AD20" s="49">
        <v>970.48</v>
      </c>
      <c r="AE20" s="49">
        <v>986.55</v>
      </c>
      <c r="AF20" s="49">
        <v>1022.01</v>
      </c>
      <c r="AG20" s="49">
        <v>1041.23</v>
      </c>
      <c r="AH20" s="49">
        <v>1059.6400000000001</v>
      </c>
      <c r="AI20" s="49">
        <v>1074.99</v>
      </c>
      <c r="AJ20" s="49">
        <v>1085.21</v>
      </c>
      <c r="AK20" s="49">
        <v>1178.71</v>
      </c>
      <c r="AL20" s="49">
        <v>1189.9100000000001</v>
      </c>
      <c r="AM20" s="49">
        <v>1197.5899999999999</v>
      </c>
      <c r="AN20" s="49">
        <v>1300.3800000000001</v>
      </c>
      <c r="AO20" s="49">
        <v>1302</v>
      </c>
      <c r="AP20" s="49">
        <v>347.32</v>
      </c>
      <c r="AQ20" s="49">
        <v>378.31</v>
      </c>
      <c r="AR20" s="49">
        <v>381.07</v>
      </c>
      <c r="AS20" s="49">
        <v>397.86</v>
      </c>
      <c r="AT20" s="49">
        <v>420.76</v>
      </c>
      <c r="AU20" s="49">
        <v>433.52</v>
      </c>
      <c r="AV20" s="49">
        <v>439.29</v>
      </c>
      <c r="AW20" s="49">
        <v>478.64</v>
      </c>
      <c r="AX20" s="49">
        <v>539.08000000000004</v>
      </c>
      <c r="AY20" s="49">
        <v>558.01</v>
      </c>
      <c r="AZ20" s="49">
        <v>578.53</v>
      </c>
      <c r="BA20" s="49">
        <v>587.39</v>
      </c>
      <c r="BB20" s="49">
        <v>608</v>
      </c>
      <c r="BC20" s="49">
        <v>695.63</v>
      </c>
      <c r="BD20" s="49">
        <v>741.95</v>
      </c>
      <c r="BE20" s="49">
        <v>790.22</v>
      </c>
      <c r="BF20" s="49">
        <v>797.99</v>
      </c>
      <c r="BG20" s="49">
        <v>808.75</v>
      </c>
      <c r="BH20" s="49">
        <v>816.4</v>
      </c>
      <c r="BI20" s="49">
        <v>850.4</v>
      </c>
      <c r="BJ20" s="49">
        <v>873.37</v>
      </c>
      <c r="BK20" s="49">
        <v>873.65</v>
      </c>
      <c r="BL20" s="49">
        <v>878.99</v>
      </c>
      <c r="BM20" s="49">
        <v>881.19</v>
      </c>
      <c r="BN20" s="49">
        <v>926.61</v>
      </c>
      <c r="BO20" s="49">
        <v>933.18</v>
      </c>
      <c r="BP20" s="49">
        <v>951.11</v>
      </c>
      <c r="BQ20" s="49">
        <v>970.48</v>
      </c>
      <c r="BR20" s="49">
        <v>986.55</v>
      </c>
      <c r="BS20" s="49">
        <v>1022.01</v>
      </c>
      <c r="BT20" s="49">
        <v>1041.23</v>
      </c>
      <c r="BU20" s="49">
        <v>1059.6400000000001</v>
      </c>
      <c r="BV20" s="49">
        <v>1074.99</v>
      </c>
      <c r="BW20" s="49">
        <v>1085.21</v>
      </c>
      <c r="BX20" s="49">
        <v>1178.71</v>
      </c>
      <c r="BY20" s="49">
        <v>1189.9100000000001</v>
      </c>
      <c r="BZ20" s="49">
        <v>1197.5899999999999</v>
      </c>
      <c r="CA20" s="49">
        <v>1300.3800000000001</v>
      </c>
      <c r="CB20" s="49">
        <v>1302</v>
      </c>
      <c r="CC20" s="49">
        <v>347.32</v>
      </c>
      <c r="CD20" s="49">
        <v>378.31</v>
      </c>
      <c r="CE20" s="49">
        <v>381.07</v>
      </c>
      <c r="CF20" s="49">
        <v>397.86</v>
      </c>
      <c r="CG20" s="49">
        <v>420.76</v>
      </c>
      <c r="CH20" s="49">
        <v>433.52</v>
      </c>
      <c r="CI20" s="49">
        <v>439.29</v>
      </c>
      <c r="CJ20" s="49">
        <v>478.64</v>
      </c>
      <c r="CK20" s="49">
        <v>539.08000000000004</v>
      </c>
      <c r="CL20" s="49">
        <v>558.01</v>
      </c>
      <c r="CM20" s="49">
        <v>578.53</v>
      </c>
      <c r="CN20" s="49">
        <v>587.39</v>
      </c>
      <c r="CO20" s="49">
        <v>608</v>
      </c>
      <c r="CP20" s="49">
        <v>695.63</v>
      </c>
      <c r="CQ20" s="49">
        <v>741.95</v>
      </c>
      <c r="CR20" s="49">
        <v>790.22</v>
      </c>
      <c r="CS20" s="49">
        <v>797.99</v>
      </c>
      <c r="CT20" s="49">
        <v>808.75</v>
      </c>
      <c r="CU20" s="49">
        <v>816.4</v>
      </c>
      <c r="CV20" s="49">
        <v>850.4</v>
      </c>
      <c r="CW20" s="49">
        <v>873.37</v>
      </c>
      <c r="CX20" s="49">
        <v>873.65</v>
      </c>
      <c r="CY20" s="49">
        <v>878.99</v>
      </c>
      <c r="CZ20" s="49">
        <v>881.19</v>
      </c>
      <c r="DA20" s="49">
        <v>926.61</v>
      </c>
      <c r="DB20" s="49">
        <v>933.18</v>
      </c>
      <c r="DC20" s="49">
        <v>951.11</v>
      </c>
      <c r="DD20" s="49">
        <v>970.48</v>
      </c>
      <c r="DE20" s="49">
        <v>986.55</v>
      </c>
      <c r="DF20" s="49">
        <v>1022.01</v>
      </c>
      <c r="DG20" s="49">
        <v>1041.23</v>
      </c>
      <c r="DH20" s="49">
        <v>1059.6400000000001</v>
      </c>
      <c r="DI20" s="49">
        <v>1074.99</v>
      </c>
      <c r="DJ20" s="49">
        <v>1085.21</v>
      </c>
      <c r="DK20" s="49">
        <v>1178.71</v>
      </c>
      <c r="DL20" s="49">
        <v>1189.9100000000001</v>
      </c>
      <c r="DM20" s="49">
        <v>1197.5899999999999</v>
      </c>
      <c r="DN20" s="49">
        <v>1300.3800000000001</v>
      </c>
      <c r="DO20" s="49">
        <v>1302</v>
      </c>
    </row>
    <row r="21" spans="1:119" s="3" customFormat="1" ht="14.25" x14ac:dyDescent="0.25">
      <c r="A21" s="252">
        <v>25</v>
      </c>
      <c r="B21" s="253"/>
      <c r="C21" s="46">
        <v>347.32</v>
      </c>
      <c r="D21" s="46">
        <v>378.31</v>
      </c>
      <c r="E21" s="46">
        <v>381.07</v>
      </c>
      <c r="F21" s="46">
        <v>397.86</v>
      </c>
      <c r="G21" s="46">
        <v>420.76</v>
      </c>
      <c r="H21" s="46">
        <v>433.52</v>
      </c>
      <c r="I21" s="46">
        <v>439.29</v>
      </c>
      <c r="J21" s="46">
        <v>478.64</v>
      </c>
      <c r="K21" s="46">
        <v>539.08000000000004</v>
      </c>
      <c r="L21" s="46">
        <v>558.01</v>
      </c>
      <c r="M21" s="46">
        <v>578.53</v>
      </c>
      <c r="N21" s="46">
        <v>587.39</v>
      </c>
      <c r="O21" s="46">
        <v>608</v>
      </c>
      <c r="P21" s="46">
        <v>695.63</v>
      </c>
      <c r="Q21" s="46">
        <v>741.95</v>
      </c>
      <c r="R21" s="46">
        <v>790.22</v>
      </c>
      <c r="S21" s="46">
        <v>797.99</v>
      </c>
      <c r="T21" s="46">
        <v>808.75</v>
      </c>
      <c r="U21" s="46">
        <v>816.4</v>
      </c>
      <c r="V21" s="46">
        <v>850.4</v>
      </c>
      <c r="W21" s="46">
        <v>873.37</v>
      </c>
      <c r="X21" s="46">
        <v>873.65</v>
      </c>
      <c r="Y21" s="46">
        <v>878.99</v>
      </c>
      <c r="Z21" s="46">
        <v>881.19</v>
      </c>
      <c r="AA21" s="46">
        <v>926.61</v>
      </c>
      <c r="AB21" s="46">
        <v>933.18</v>
      </c>
      <c r="AC21" s="46">
        <v>951.11</v>
      </c>
      <c r="AD21" s="46">
        <v>970.48</v>
      </c>
      <c r="AE21" s="46">
        <v>986.55</v>
      </c>
      <c r="AF21" s="46">
        <v>1022.01</v>
      </c>
      <c r="AG21" s="46">
        <v>1041.23</v>
      </c>
      <c r="AH21" s="46">
        <v>1059.6400000000001</v>
      </c>
      <c r="AI21" s="46">
        <v>1074.99</v>
      </c>
      <c r="AJ21" s="46">
        <v>1085.21</v>
      </c>
      <c r="AK21" s="46">
        <v>1178.71</v>
      </c>
      <c r="AL21" s="46">
        <v>1189.9100000000001</v>
      </c>
      <c r="AM21" s="46">
        <v>1197.5899999999999</v>
      </c>
      <c r="AN21" s="46">
        <v>1300.3800000000001</v>
      </c>
      <c r="AO21" s="46">
        <v>1302</v>
      </c>
      <c r="AP21" s="46">
        <v>347.32</v>
      </c>
      <c r="AQ21" s="46">
        <v>378.31</v>
      </c>
      <c r="AR21" s="46">
        <v>381.07</v>
      </c>
      <c r="AS21" s="46">
        <v>397.86</v>
      </c>
      <c r="AT21" s="46">
        <v>420.76</v>
      </c>
      <c r="AU21" s="46">
        <v>433.52</v>
      </c>
      <c r="AV21" s="46">
        <v>439.29</v>
      </c>
      <c r="AW21" s="46">
        <v>478.64</v>
      </c>
      <c r="AX21" s="46">
        <v>539.08000000000004</v>
      </c>
      <c r="AY21" s="46">
        <v>558.01</v>
      </c>
      <c r="AZ21" s="46">
        <v>578.53</v>
      </c>
      <c r="BA21" s="46">
        <v>587.39</v>
      </c>
      <c r="BB21" s="46">
        <v>608</v>
      </c>
      <c r="BC21" s="46">
        <v>695.63</v>
      </c>
      <c r="BD21" s="46">
        <v>741.95</v>
      </c>
      <c r="BE21" s="46">
        <v>790.22</v>
      </c>
      <c r="BF21" s="46">
        <v>797.99</v>
      </c>
      <c r="BG21" s="46">
        <v>808.75</v>
      </c>
      <c r="BH21" s="46">
        <v>816.4</v>
      </c>
      <c r="BI21" s="46">
        <v>850.4</v>
      </c>
      <c r="BJ21" s="46">
        <v>873.37</v>
      </c>
      <c r="BK21" s="46">
        <v>873.65</v>
      </c>
      <c r="BL21" s="46">
        <v>878.99</v>
      </c>
      <c r="BM21" s="46">
        <v>881.19</v>
      </c>
      <c r="BN21" s="46">
        <v>926.61</v>
      </c>
      <c r="BO21" s="46">
        <v>933.18</v>
      </c>
      <c r="BP21" s="46">
        <v>951.11</v>
      </c>
      <c r="BQ21" s="46">
        <v>970.48</v>
      </c>
      <c r="BR21" s="46">
        <v>986.55</v>
      </c>
      <c r="BS21" s="46">
        <v>1022.01</v>
      </c>
      <c r="BT21" s="46">
        <v>1041.23</v>
      </c>
      <c r="BU21" s="46">
        <v>1059.6400000000001</v>
      </c>
      <c r="BV21" s="46">
        <v>1074.99</v>
      </c>
      <c r="BW21" s="46">
        <v>1085.21</v>
      </c>
      <c r="BX21" s="46">
        <v>1178.71</v>
      </c>
      <c r="BY21" s="46">
        <v>1189.9100000000001</v>
      </c>
      <c r="BZ21" s="46">
        <v>1197.5899999999999</v>
      </c>
      <c r="CA21" s="46">
        <v>1300.3800000000001</v>
      </c>
      <c r="CB21" s="46">
        <v>1302</v>
      </c>
      <c r="CC21" s="46">
        <v>347.32</v>
      </c>
      <c r="CD21" s="46">
        <v>378.31</v>
      </c>
      <c r="CE21" s="46">
        <v>381.07</v>
      </c>
      <c r="CF21" s="46">
        <v>397.86</v>
      </c>
      <c r="CG21" s="46">
        <v>420.76</v>
      </c>
      <c r="CH21" s="46">
        <v>433.52</v>
      </c>
      <c r="CI21" s="46">
        <v>439.29</v>
      </c>
      <c r="CJ21" s="46">
        <v>478.64</v>
      </c>
      <c r="CK21" s="46">
        <v>539.08000000000004</v>
      </c>
      <c r="CL21" s="46">
        <v>558.01</v>
      </c>
      <c r="CM21" s="46">
        <v>578.53</v>
      </c>
      <c r="CN21" s="46">
        <v>587.39</v>
      </c>
      <c r="CO21" s="46">
        <v>608</v>
      </c>
      <c r="CP21" s="46">
        <v>695.63</v>
      </c>
      <c r="CQ21" s="46">
        <v>741.95</v>
      </c>
      <c r="CR21" s="46">
        <v>790.22</v>
      </c>
      <c r="CS21" s="46">
        <v>797.99</v>
      </c>
      <c r="CT21" s="46">
        <v>808.75</v>
      </c>
      <c r="CU21" s="46">
        <v>816.4</v>
      </c>
      <c r="CV21" s="46">
        <v>850.4</v>
      </c>
      <c r="CW21" s="46">
        <v>873.37</v>
      </c>
      <c r="CX21" s="46">
        <v>873.65</v>
      </c>
      <c r="CY21" s="46">
        <v>878.99</v>
      </c>
      <c r="CZ21" s="46">
        <v>881.19</v>
      </c>
      <c r="DA21" s="46">
        <v>926.61</v>
      </c>
      <c r="DB21" s="46">
        <v>933.18</v>
      </c>
      <c r="DC21" s="46">
        <v>951.11</v>
      </c>
      <c r="DD21" s="46">
        <v>970.48</v>
      </c>
      <c r="DE21" s="46">
        <v>986.55</v>
      </c>
      <c r="DF21" s="46">
        <v>1022.01</v>
      </c>
      <c r="DG21" s="46">
        <v>1041.23</v>
      </c>
      <c r="DH21" s="46">
        <v>1059.6400000000001</v>
      </c>
      <c r="DI21" s="46">
        <v>1074.99</v>
      </c>
      <c r="DJ21" s="46">
        <v>1085.21</v>
      </c>
      <c r="DK21" s="46">
        <v>1178.71</v>
      </c>
      <c r="DL21" s="46">
        <v>1189.9100000000001</v>
      </c>
      <c r="DM21" s="46">
        <v>1197.5899999999999</v>
      </c>
      <c r="DN21" s="46">
        <v>1300.3800000000001</v>
      </c>
      <c r="DO21" s="46">
        <v>1302</v>
      </c>
    </row>
    <row r="22" spans="1:119" s="4" customFormat="1" ht="14.25" x14ac:dyDescent="0.25">
      <c r="A22" s="252">
        <v>26</v>
      </c>
      <c r="B22" s="253"/>
      <c r="C22" s="46">
        <v>347.32</v>
      </c>
      <c r="D22" s="46">
        <v>378.31</v>
      </c>
      <c r="E22" s="46">
        <v>381.07</v>
      </c>
      <c r="F22" s="46">
        <v>397.86</v>
      </c>
      <c r="G22" s="46">
        <v>420.76</v>
      </c>
      <c r="H22" s="46">
        <v>433.52</v>
      </c>
      <c r="I22" s="46">
        <v>439.29</v>
      </c>
      <c r="J22" s="46">
        <v>478.64</v>
      </c>
      <c r="K22" s="46">
        <v>539.08000000000004</v>
      </c>
      <c r="L22" s="46">
        <v>558.01</v>
      </c>
      <c r="M22" s="46">
        <v>578.53</v>
      </c>
      <c r="N22" s="46">
        <v>587.39</v>
      </c>
      <c r="O22" s="46">
        <v>608</v>
      </c>
      <c r="P22" s="46">
        <v>695.63</v>
      </c>
      <c r="Q22" s="46">
        <v>741.95</v>
      </c>
      <c r="R22" s="46">
        <v>790.22</v>
      </c>
      <c r="S22" s="46">
        <v>797.99</v>
      </c>
      <c r="T22" s="46">
        <v>808.75</v>
      </c>
      <c r="U22" s="46">
        <v>816.4</v>
      </c>
      <c r="V22" s="46">
        <v>850.4</v>
      </c>
      <c r="W22" s="46">
        <v>873.37</v>
      </c>
      <c r="X22" s="46">
        <v>873.65</v>
      </c>
      <c r="Y22" s="46">
        <v>878.99</v>
      </c>
      <c r="Z22" s="46">
        <v>881.19</v>
      </c>
      <c r="AA22" s="46">
        <v>926.61</v>
      </c>
      <c r="AB22" s="46">
        <v>933.18</v>
      </c>
      <c r="AC22" s="46">
        <v>951.11</v>
      </c>
      <c r="AD22" s="46">
        <v>970.48</v>
      </c>
      <c r="AE22" s="46">
        <v>986.55</v>
      </c>
      <c r="AF22" s="46">
        <v>1022.01</v>
      </c>
      <c r="AG22" s="46">
        <v>1041.23</v>
      </c>
      <c r="AH22" s="46">
        <v>1059.6400000000001</v>
      </c>
      <c r="AI22" s="46">
        <v>1074.99</v>
      </c>
      <c r="AJ22" s="46">
        <v>1085.21</v>
      </c>
      <c r="AK22" s="46">
        <v>1178.71</v>
      </c>
      <c r="AL22" s="46">
        <v>1189.9100000000001</v>
      </c>
      <c r="AM22" s="46">
        <v>1197.5899999999999</v>
      </c>
      <c r="AN22" s="46">
        <v>1300.3800000000001</v>
      </c>
      <c r="AO22" s="46">
        <v>1302</v>
      </c>
      <c r="AP22" s="46">
        <v>347.32</v>
      </c>
      <c r="AQ22" s="46">
        <v>378.31</v>
      </c>
      <c r="AR22" s="46">
        <v>381.07</v>
      </c>
      <c r="AS22" s="46">
        <v>397.86</v>
      </c>
      <c r="AT22" s="46">
        <v>420.76</v>
      </c>
      <c r="AU22" s="46">
        <v>433.52</v>
      </c>
      <c r="AV22" s="46">
        <v>439.29</v>
      </c>
      <c r="AW22" s="46">
        <v>478.64</v>
      </c>
      <c r="AX22" s="46">
        <v>539.08000000000004</v>
      </c>
      <c r="AY22" s="46">
        <v>558.01</v>
      </c>
      <c r="AZ22" s="46">
        <v>578.53</v>
      </c>
      <c r="BA22" s="46">
        <v>587.39</v>
      </c>
      <c r="BB22" s="46">
        <v>608</v>
      </c>
      <c r="BC22" s="46">
        <v>695.63</v>
      </c>
      <c r="BD22" s="46">
        <v>741.95</v>
      </c>
      <c r="BE22" s="46">
        <v>790.22</v>
      </c>
      <c r="BF22" s="46">
        <v>797.99</v>
      </c>
      <c r="BG22" s="46">
        <v>808.75</v>
      </c>
      <c r="BH22" s="46">
        <v>816.4</v>
      </c>
      <c r="BI22" s="46">
        <v>850.4</v>
      </c>
      <c r="BJ22" s="46">
        <v>873.37</v>
      </c>
      <c r="BK22" s="46">
        <v>873.65</v>
      </c>
      <c r="BL22" s="46">
        <v>878.99</v>
      </c>
      <c r="BM22" s="46">
        <v>881.19</v>
      </c>
      <c r="BN22" s="46">
        <v>926.61</v>
      </c>
      <c r="BO22" s="46">
        <v>933.18</v>
      </c>
      <c r="BP22" s="46">
        <v>951.11</v>
      </c>
      <c r="BQ22" s="46">
        <v>970.48</v>
      </c>
      <c r="BR22" s="46">
        <v>986.55</v>
      </c>
      <c r="BS22" s="46">
        <v>1022.01</v>
      </c>
      <c r="BT22" s="46">
        <v>1041.23</v>
      </c>
      <c r="BU22" s="46">
        <v>1059.6400000000001</v>
      </c>
      <c r="BV22" s="46">
        <v>1074.99</v>
      </c>
      <c r="BW22" s="46">
        <v>1085.21</v>
      </c>
      <c r="BX22" s="46">
        <v>1178.71</v>
      </c>
      <c r="BY22" s="46">
        <v>1189.9100000000001</v>
      </c>
      <c r="BZ22" s="46">
        <v>1197.5899999999999</v>
      </c>
      <c r="CA22" s="46">
        <v>1300.3800000000001</v>
      </c>
      <c r="CB22" s="46">
        <v>1302</v>
      </c>
      <c r="CC22" s="46">
        <v>347.32</v>
      </c>
      <c r="CD22" s="46">
        <v>378.31</v>
      </c>
      <c r="CE22" s="46">
        <v>381.07</v>
      </c>
      <c r="CF22" s="46">
        <v>397.86</v>
      </c>
      <c r="CG22" s="46">
        <v>420.76</v>
      </c>
      <c r="CH22" s="46">
        <v>433.52</v>
      </c>
      <c r="CI22" s="46">
        <v>439.29</v>
      </c>
      <c r="CJ22" s="46">
        <v>478.64</v>
      </c>
      <c r="CK22" s="46">
        <v>539.08000000000004</v>
      </c>
      <c r="CL22" s="46">
        <v>558.01</v>
      </c>
      <c r="CM22" s="46">
        <v>578.53</v>
      </c>
      <c r="CN22" s="46">
        <v>587.39</v>
      </c>
      <c r="CO22" s="46">
        <v>608</v>
      </c>
      <c r="CP22" s="46">
        <v>695.63</v>
      </c>
      <c r="CQ22" s="46">
        <v>741.95</v>
      </c>
      <c r="CR22" s="46">
        <v>790.22</v>
      </c>
      <c r="CS22" s="46">
        <v>797.99</v>
      </c>
      <c r="CT22" s="46">
        <v>808.75</v>
      </c>
      <c r="CU22" s="46">
        <v>816.4</v>
      </c>
      <c r="CV22" s="46">
        <v>850.4</v>
      </c>
      <c r="CW22" s="46">
        <v>873.37</v>
      </c>
      <c r="CX22" s="46">
        <v>873.65</v>
      </c>
      <c r="CY22" s="46">
        <v>878.99</v>
      </c>
      <c r="CZ22" s="46">
        <v>881.19</v>
      </c>
      <c r="DA22" s="46">
        <v>926.61</v>
      </c>
      <c r="DB22" s="46">
        <v>933.18</v>
      </c>
      <c r="DC22" s="46">
        <v>951.11</v>
      </c>
      <c r="DD22" s="46">
        <v>970.48</v>
      </c>
      <c r="DE22" s="46">
        <v>986.55</v>
      </c>
      <c r="DF22" s="46">
        <v>1022.01</v>
      </c>
      <c r="DG22" s="46">
        <v>1041.23</v>
      </c>
      <c r="DH22" s="46">
        <v>1059.6400000000001</v>
      </c>
      <c r="DI22" s="46">
        <v>1074.99</v>
      </c>
      <c r="DJ22" s="46">
        <v>1085.21</v>
      </c>
      <c r="DK22" s="46">
        <v>1178.71</v>
      </c>
      <c r="DL22" s="46">
        <v>1189.9100000000001</v>
      </c>
      <c r="DM22" s="46">
        <v>1197.5899999999999</v>
      </c>
      <c r="DN22" s="46">
        <v>1300.3800000000001</v>
      </c>
      <c r="DO22" s="46">
        <v>1302</v>
      </c>
    </row>
    <row r="23" spans="1:119" s="4" customFormat="1" ht="14.25" x14ac:dyDescent="0.25">
      <c r="A23" s="252">
        <v>27</v>
      </c>
      <c r="B23" s="253"/>
      <c r="C23" s="46">
        <v>347.32</v>
      </c>
      <c r="D23" s="46">
        <v>378.31</v>
      </c>
      <c r="E23" s="46">
        <v>381.07</v>
      </c>
      <c r="F23" s="46">
        <v>397.86</v>
      </c>
      <c r="G23" s="46">
        <v>420.76</v>
      </c>
      <c r="H23" s="46">
        <v>433.52</v>
      </c>
      <c r="I23" s="46">
        <v>439.29</v>
      </c>
      <c r="J23" s="46">
        <v>478.64</v>
      </c>
      <c r="K23" s="46">
        <v>539.08000000000004</v>
      </c>
      <c r="L23" s="46">
        <v>558.01</v>
      </c>
      <c r="M23" s="46">
        <v>578.53</v>
      </c>
      <c r="N23" s="46">
        <v>587.39</v>
      </c>
      <c r="O23" s="46">
        <v>608</v>
      </c>
      <c r="P23" s="46">
        <v>695.63</v>
      </c>
      <c r="Q23" s="46">
        <v>741.95</v>
      </c>
      <c r="R23" s="46">
        <v>790.22</v>
      </c>
      <c r="S23" s="46">
        <v>797.99</v>
      </c>
      <c r="T23" s="46">
        <v>808.75</v>
      </c>
      <c r="U23" s="46">
        <v>816.4</v>
      </c>
      <c r="V23" s="46">
        <v>850.4</v>
      </c>
      <c r="W23" s="46">
        <v>873.37</v>
      </c>
      <c r="X23" s="46">
        <v>873.65</v>
      </c>
      <c r="Y23" s="46">
        <v>878.99</v>
      </c>
      <c r="Z23" s="46">
        <v>881.19</v>
      </c>
      <c r="AA23" s="46">
        <v>926.61</v>
      </c>
      <c r="AB23" s="46">
        <v>933.18</v>
      </c>
      <c r="AC23" s="46">
        <v>951.11</v>
      </c>
      <c r="AD23" s="46">
        <v>970.48</v>
      </c>
      <c r="AE23" s="46">
        <v>986.55</v>
      </c>
      <c r="AF23" s="46">
        <v>1022.01</v>
      </c>
      <c r="AG23" s="46">
        <v>1041.23</v>
      </c>
      <c r="AH23" s="46">
        <v>1059.6400000000001</v>
      </c>
      <c r="AI23" s="46">
        <v>1074.99</v>
      </c>
      <c r="AJ23" s="46">
        <v>1085.21</v>
      </c>
      <c r="AK23" s="46">
        <v>1178.71</v>
      </c>
      <c r="AL23" s="46">
        <v>1189.9100000000001</v>
      </c>
      <c r="AM23" s="46">
        <v>1197.5899999999999</v>
      </c>
      <c r="AN23" s="46">
        <v>1300.3800000000001</v>
      </c>
      <c r="AO23" s="46">
        <v>1302</v>
      </c>
      <c r="AP23" s="46">
        <v>347.32</v>
      </c>
      <c r="AQ23" s="46">
        <v>378.31</v>
      </c>
      <c r="AR23" s="46">
        <v>381.07</v>
      </c>
      <c r="AS23" s="46">
        <v>397.86</v>
      </c>
      <c r="AT23" s="46">
        <v>420.76</v>
      </c>
      <c r="AU23" s="46">
        <v>433.52</v>
      </c>
      <c r="AV23" s="46">
        <v>439.29</v>
      </c>
      <c r="AW23" s="46">
        <v>478.64</v>
      </c>
      <c r="AX23" s="46">
        <v>539.08000000000004</v>
      </c>
      <c r="AY23" s="46">
        <v>558.01</v>
      </c>
      <c r="AZ23" s="46">
        <v>578.53</v>
      </c>
      <c r="BA23" s="46">
        <v>587.39</v>
      </c>
      <c r="BB23" s="46">
        <v>608</v>
      </c>
      <c r="BC23" s="46">
        <v>695.63</v>
      </c>
      <c r="BD23" s="46">
        <v>741.95</v>
      </c>
      <c r="BE23" s="46">
        <v>790.22</v>
      </c>
      <c r="BF23" s="46">
        <v>797.99</v>
      </c>
      <c r="BG23" s="46">
        <v>808.75</v>
      </c>
      <c r="BH23" s="46">
        <v>816.4</v>
      </c>
      <c r="BI23" s="46">
        <v>850.4</v>
      </c>
      <c r="BJ23" s="46">
        <v>873.37</v>
      </c>
      <c r="BK23" s="46">
        <v>873.65</v>
      </c>
      <c r="BL23" s="46">
        <v>878.99</v>
      </c>
      <c r="BM23" s="46">
        <v>881.19</v>
      </c>
      <c r="BN23" s="46">
        <v>926.61</v>
      </c>
      <c r="BO23" s="46">
        <v>933.18</v>
      </c>
      <c r="BP23" s="46">
        <v>951.11</v>
      </c>
      <c r="BQ23" s="46">
        <v>970.48</v>
      </c>
      <c r="BR23" s="46">
        <v>986.55</v>
      </c>
      <c r="BS23" s="46">
        <v>1022.01</v>
      </c>
      <c r="BT23" s="46">
        <v>1041.23</v>
      </c>
      <c r="BU23" s="46">
        <v>1059.6400000000001</v>
      </c>
      <c r="BV23" s="46">
        <v>1074.99</v>
      </c>
      <c r="BW23" s="46">
        <v>1085.21</v>
      </c>
      <c r="BX23" s="46">
        <v>1178.71</v>
      </c>
      <c r="BY23" s="46">
        <v>1189.9100000000001</v>
      </c>
      <c r="BZ23" s="46">
        <v>1197.5899999999999</v>
      </c>
      <c r="CA23" s="46">
        <v>1300.3800000000001</v>
      </c>
      <c r="CB23" s="46">
        <v>1302</v>
      </c>
      <c r="CC23" s="46">
        <v>347.32</v>
      </c>
      <c r="CD23" s="46">
        <v>378.31</v>
      </c>
      <c r="CE23" s="46">
        <v>381.07</v>
      </c>
      <c r="CF23" s="46">
        <v>397.86</v>
      </c>
      <c r="CG23" s="46">
        <v>420.76</v>
      </c>
      <c r="CH23" s="46">
        <v>433.52</v>
      </c>
      <c r="CI23" s="46">
        <v>439.29</v>
      </c>
      <c r="CJ23" s="46">
        <v>478.64</v>
      </c>
      <c r="CK23" s="46">
        <v>539.08000000000004</v>
      </c>
      <c r="CL23" s="46">
        <v>558.01</v>
      </c>
      <c r="CM23" s="46">
        <v>578.53</v>
      </c>
      <c r="CN23" s="46">
        <v>587.39</v>
      </c>
      <c r="CO23" s="46">
        <v>608</v>
      </c>
      <c r="CP23" s="46">
        <v>695.63</v>
      </c>
      <c r="CQ23" s="46">
        <v>741.95</v>
      </c>
      <c r="CR23" s="46">
        <v>790.22</v>
      </c>
      <c r="CS23" s="46">
        <v>797.99</v>
      </c>
      <c r="CT23" s="46">
        <v>808.75</v>
      </c>
      <c r="CU23" s="46">
        <v>816.4</v>
      </c>
      <c r="CV23" s="46">
        <v>850.4</v>
      </c>
      <c r="CW23" s="46">
        <v>873.37</v>
      </c>
      <c r="CX23" s="46">
        <v>873.65</v>
      </c>
      <c r="CY23" s="46">
        <v>878.99</v>
      </c>
      <c r="CZ23" s="46">
        <v>881.19</v>
      </c>
      <c r="DA23" s="46">
        <v>926.61</v>
      </c>
      <c r="DB23" s="46">
        <v>933.18</v>
      </c>
      <c r="DC23" s="46">
        <v>951.11</v>
      </c>
      <c r="DD23" s="46">
        <v>970.48</v>
      </c>
      <c r="DE23" s="46">
        <v>986.55</v>
      </c>
      <c r="DF23" s="46">
        <v>1022.01</v>
      </c>
      <c r="DG23" s="46">
        <v>1041.23</v>
      </c>
      <c r="DH23" s="46">
        <v>1059.6400000000001</v>
      </c>
      <c r="DI23" s="46">
        <v>1074.99</v>
      </c>
      <c r="DJ23" s="46">
        <v>1085.21</v>
      </c>
      <c r="DK23" s="46">
        <v>1178.71</v>
      </c>
      <c r="DL23" s="46">
        <v>1189.9100000000001</v>
      </c>
      <c r="DM23" s="46">
        <v>1197.5899999999999</v>
      </c>
      <c r="DN23" s="46">
        <v>1300.3800000000001</v>
      </c>
      <c r="DO23" s="46">
        <v>1302</v>
      </c>
    </row>
    <row r="24" spans="1:119" s="4" customFormat="1" ht="14.25" x14ac:dyDescent="0.25">
      <c r="A24" s="252">
        <v>28</v>
      </c>
      <c r="B24" s="253"/>
      <c r="C24" s="45">
        <v>347.32</v>
      </c>
      <c r="D24" s="45">
        <v>378.31</v>
      </c>
      <c r="E24" s="45">
        <v>381.07</v>
      </c>
      <c r="F24" s="45">
        <v>397.86</v>
      </c>
      <c r="G24" s="45">
        <v>420.76</v>
      </c>
      <c r="H24" s="45">
        <v>433.52</v>
      </c>
      <c r="I24" s="45">
        <v>439.29</v>
      </c>
      <c r="J24" s="45">
        <v>478.64</v>
      </c>
      <c r="K24" s="45">
        <v>539.08000000000004</v>
      </c>
      <c r="L24" s="45">
        <v>558.01</v>
      </c>
      <c r="M24" s="45">
        <v>578.53</v>
      </c>
      <c r="N24" s="45">
        <v>587.39</v>
      </c>
      <c r="O24" s="45">
        <v>608</v>
      </c>
      <c r="P24" s="45">
        <v>695.63</v>
      </c>
      <c r="Q24" s="45">
        <v>741.95</v>
      </c>
      <c r="R24" s="45">
        <v>790.22</v>
      </c>
      <c r="S24" s="45">
        <v>797.99</v>
      </c>
      <c r="T24" s="45">
        <v>808.75</v>
      </c>
      <c r="U24" s="45">
        <v>816.4</v>
      </c>
      <c r="V24" s="45">
        <v>850.4</v>
      </c>
      <c r="W24" s="45">
        <v>873.37</v>
      </c>
      <c r="X24" s="45">
        <v>873.65</v>
      </c>
      <c r="Y24" s="45">
        <v>878.99</v>
      </c>
      <c r="Z24" s="45">
        <v>881.19</v>
      </c>
      <c r="AA24" s="45">
        <v>926.61</v>
      </c>
      <c r="AB24" s="45">
        <v>933.18</v>
      </c>
      <c r="AC24" s="45">
        <v>951.11</v>
      </c>
      <c r="AD24" s="45">
        <v>970.48</v>
      </c>
      <c r="AE24" s="45">
        <v>986.55</v>
      </c>
      <c r="AF24" s="45">
        <v>1022.01</v>
      </c>
      <c r="AG24" s="45">
        <v>1041.23</v>
      </c>
      <c r="AH24" s="45">
        <v>1059.6400000000001</v>
      </c>
      <c r="AI24" s="45">
        <v>1074.99</v>
      </c>
      <c r="AJ24" s="45">
        <v>1085.21</v>
      </c>
      <c r="AK24" s="45">
        <v>1178.71</v>
      </c>
      <c r="AL24" s="45">
        <v>1189.9100000000001</v>
      </c>
      <c r="AM24" s="45">
        <v>1197.5899999999999</v>
      </c>
      <c r="AN24" s="45">
        <v>1300.3800000000001</v>
      </c>
      <c r="AO24" s="45">
        <v>1302</v>
      </c>
      <c r="AP24" s="45">
        <v>347.32</v>
      </c>
      <c r="AQ24" s="45">
        <v>378.31</v>
      </c>
      <c r="AR24" s="45">
        <v>381.07</v>
      </c>
      <c r="AS24" s="45">
        <v>397.86</v>
      </c>
      <c r="AT24" s="45">
        <v>420.76</v>
      </c>
      <c r="AU24" s="45">
        <v>433.52</v>
      </c>
      <c r="AV24" s="45">
        <v>439.29</v>
      </c>
      <c r="AW24" s="45">
        <v>478.64</v>
      </c>
      <c r="AX24" s="45">
        <v>539.08000000000004</v>
      </c>
      <c r="AY24" s="45">
        <v>558.01</v>
      </c>
      <c r="AZ24" s="45">
        <v>578.53</v>
      </c>
      <c r="BA24" s="45">
        <v>587.39</v>
      </c>
      <c r="BB24" s="45">
        <v>608</v>
      </c>
      <c r="BC24" s="45">
        <v>695.63</v>
      </c>
      <c r="BD24" s="45">
        <v>741.95</v>
      </c>
      <c r="BE24" s="45">
        <v>790.22</v>
      </c>
      <c r="BF24" s="45">
        <v>797.99</v>
      </c>
      <c r="BG24" s="45">
        <v>808.75</v>
      </c>
      <c r="BH24" s="45">
        <v>816.4</v>
      </c>
      <c r="BI24" s="45">
        <v>850.4</v>
      </c>
      <c r="BJ24" s="45">
        <v>873.37</v>
      </c>
      <c r="BK24" s="45">
        <v>873.65</v>
      </c>
      <c r="BL24" s="45">
        <v>878.99</v>
      </c>
      <c r="BM24" s="45">
        <v>881.19</v>
      </c>
      <c r="BN24" s="45">
        <v>926.61</v>
      </c>
      <c r="BO24" s="45">
        <v>933.18</v>
      </c>
      <c r="BP24" s="45">
        <v>951.11</v>
      </c>
      <c r="BQ24" s="45">
        <v>970.48</v>
      </c>
      <c r="BR24" s="45">
        <v>986.55</v>
      </c>
      <c r="BS24" s="45">
        <v>1022.01</v>
      </c>
      <c r="BT24" s="45">
        <v>1041.23</v>
      </c>
      <c r="BU24" s="45">
        <v>1059.6400000000001</v>
      </c>
      <c r="BV24" s="45">
        <v>1074.99</v>
      </c>
      <c r="BW24" s="45">
        <v>1085.21</v>
      </c>
      <c r="BX24" s="45">
        <v>1178.71</v>
      </c>
      <c r="BY24" s="45">
        <v>1189.9100000000001</v>
      </c>
      <c r="BZ24" s="45">
        <v>1197.5899999999999</v>
      </c>
      <c r="CA24" s="45">
        <v>1300.3800000000001</v>
      </c>
      <c r="CB24" s="45">
        <v>1302</v>
      </c>
      <c r="CC24" s="45">
        <v>347.32</v>
      </c>
      <c r="CD24" s="45">
        <v>378.31</v>
      </c>
      <c r="CE24" s="45">
        <v>381.07</v>
      </c>
      <c r="CF24" s="45">
        <v>397.86</v>
      </c>
      <c r="CG24" s="45">
        <v>420.76</v>
      </c>
      <c r="CH24" s="45">
        <v>433.52</v>
      </c>
      <c r="CI24" s="45">
        <v>439.29</v>
      </c>
      <c r="CJ24" s="45">
        <v>478.64</v>
      </c>
      <c r="CK24" s="45">
        <v>539.08000000000004</v>
      </c>
      <c r="CL24" s="45">
        <v>558.01</v>
      </c>
      <c r="CM24" s="45">
        <v>578.53</v>
      </c>
      <c r="CN24" s="45">
        <v>587.39</v>
      </c>
      <c r="CO24" s="45">
        <v>608</v>
      </c>
      <c r="CP24" s="45">
        <v>695.63</v>
      </c>
      <c r="CQ24" s="45">
        <v>741.95</v>
      </c>
      <c r="CR24" s="45">
        <v>790.22</v>
      </c>
      <c r="CS24" s="45">
        <v>797.99</v>
      </c>
      <c r="CT24" s="45">
        <v>808.75</v>
      </c>
      <c r="CU24" s="45">
        <v>816.4</v>
      </c>
      <c r="CV24" s="45">
        <v>850.4</v>
      </c>
      <c r="CW24" s="45">
        <v>873.37</v>
      </c>
      <c r="CX24" s="45">
        <v>873.65</v>
      </c>
      <c r="CY24" s="45">
        <v>878.99</v>
      </c>
      <c r="CZ24" s="45">
        <v>881.19</v>
      </c>
      <c r="DA24" s="45">
        <v>926.61</v>
      </c>
      <c r="DB24" s="45">
        <v>933.18</v>
      </c>
      <c r="DC24" s="45">
        <v>951.11</v>
      </c>
      <c r="DD24" s="45">
        <v>970.48</v>
      </c>
      <c r="DE24" s="45">
        <v>986.55</v>
      </c>
      <c r="DF24" s="45">
        <v>1022.01</v>
      </c>
      <c r="DG24" s="45">
        <v>1041.23</v>
      </c>
      <c r="DH24" s="45">
        <v>1059.6400000000001</v>
      </c>
      <c r="DI24" s="45">
        <v>1074.99</v>
      </c>
      <c r="DJ24" s="45">
        <v>1085.21</v>
      </c>
      <c r="DK24" s="45">
        <v>1178.71</v>
      </c>
      <c r="DL24" s="45">
        <v>1189.9100000000001</v>
      </c>
      <c r="DM24" s="45">
        <v>1197.5899999999999</v>
      </c>
      <c r="DN24" s="45">
        <v>1300.3800000000001</v>
      </c>
      <c r="DO24" s="45">
        <v>1302</v>
      </c>
    </row>
    <row r="25" spans="1:119" s="4" customFormat="1" ht="14.25" x14ac:dyDescent="0.25">
      <c r="A25" s="252">
        <v>29</v>
      </c>
      <c r="B25" s="253"/>
      <c r="C25" s="46">
        <v>354.27</v>
      </c>
      <c r="D25" s="46">
        <v>385.87</v>
      </c>
      <c r="E25" s="46">
        <v>388.69</v>
      </c>
      <c r="F25" s="46">
        <v>405.82</v>
      </c>
      <c r="G25" s="46">
        <v>429.18</v>
      </c>
      <c r="H25" s="46">
        <v>442.19</v>
      </c>
      <c r="I25" s="46">
        <v>448.08</v>
      </c>
      <c r="J25" s="46">
        <v>488.21</v>
      </c>
      <c r="K25" s="46">
        <v>549.86</v>
      </c>
      <c r="L25" s="46">
        <v>569.16999999999996</v>
      </c>
      <c r="M25" s="46">
        <v>590.1</v>
      </c>
      <c r="N25" s="46">
        <v>599.14</v>
      </c>
      <c r="O25" s="46">
        <v>620.16</v>
      </c>
      <c r="P25" s="46">
        <v>709.54</v>
      </c>
      <c r="Q25" s="46">
        <v>756.79</v>
      </c>
      <c r="R25" s="46">
        <v>806.02</v>
      </c>
      <c r="S25" s="46">
        <v>813.95</v>
      </c>
      <c r="T25" s="46">
        <v>824.93</v>
      </c>
      <c r="U25" s="46">
        <v>832.72</v>
      </c>
      <c r="V25" s="46">
        <v>867.41</v>
      </c>
      <c r="W25" s="46">
        <v>890.83</v>
      </c>
      <c r="X25" s="46">
        <v>891.12</v>
      </c>
      <c r="Y25" s="46">
        <v>896.57</v>
      </c>
      <c r="Z25" s="46">
        <v>898.82</v>
      </c>
      <c r="AA25" s="46">
        <v>945.14</v>
      </c>
      <c r="AB25" s="46">
        <v>951.85</v>
      </c>
      <c r="AC25" s="46">
        <v>970.13</v>
      </c>
      <c r="AD25" s="46">
        <v>989.89</v>
      </c>
      <c r="AE25" s="46">
        <v>1006.29</v>
      </c>
      <c r="AF25" s="46">
        <v>1042.45</v>
      </c>
      <c r="AG25" s="46">
        <v>1062.06</v>
      </c>
      <c r="AH25" s="46">
        <v>1080.83</v>
      </c>
      <c r="AI25" s="46">
        <v>1096.49</v>
      </c>
      <c r="AJ25" s="46">
        <v>1106.9100000000001</v>
      </c>
      <c r="AK25" s="46">
        <v>1202.29</v>
      </c>
      <c r="AL25" s="46">
        <v>1213.7</v>
      </c>
      <c r="AM25" s="46">
        <v>1221.55</v>
      </c>
      <c r="AN25" s="46">
        <v>1326.39</v>
      </c>
      <c r="AO25" s="46">
        <v>1328.04</v>
      </c>
      <c r="AP25" s="46">
        <v>354.27</v>
      </c>
      <c r="AQ25" s="46">
        <v>385.87</v>
      </c>
      <c r="AR25" s="46">
        <v>388.69</v>
      </c>
      <c r="AS25" s="46">
        <v>405.82</v>
      </c>
      <c r="AT25" s="46">
        <v>429.18</v>
      </c>
      <c r="AU25" s="46">
        <v>442.19</v>
      </c>
      <c r="AV25" s="46">
        <v>448.08</v>
      </c>
      <c r="AW25" s="46">
        <v>488.21</v>
      </c>
      <c r="AX25" s="46">
        <v>549.86</v>
      </c>
      <c r="AY25" s="46">
        <v>569.16999999999996</v>
      </c>
      <c r="AZ25" s="46">
        <v>590.1</v>
      </c>
      <c r="BA25" s="46">
        <v>599.14</v>
      </c>
      <c r="BB25" s="46">
        <v>620.16</v>
      </c>
      <c r="BC25" s="46">
        <v>709.54</v>
      </c>
      <c r="BD25" s="46">
        <v>756.79</v>
      </c>
      <c r="BE25" s="46">
        <v>806.02</v>
      </c>
      <c r="BF25" s="46">
        <v>813.95</v>
      </c>
      <c r="BG25" s="46">
        <v>824.93</v>
      </c>
      <c r="BH25" s="46">
        <v>832.72</v>
      </c>
      <c r="BI25" s="46">
        <v>867.41</v>
      </c>
      <c r="BJ25" s="46">
        <v>890.83</v>
      </c>
      <c r="BK25" s="46">
        <v>891.12</v>
      </c>
      <c r="BL25" s="46">
        <v>896.57</v>
      </c>
      <c r="BM25" s="46">
        <v>898.82</v>
      </c>
      <c r="BN25" s="46">
        <v>945.14</v>
      </c>
      <c r="BO25" s="46">
        <v>951.85</v>
      </c>
      <c r="BP25" s="46">
        <v>970.13</v>
      </c>
      <c r="BQ25" s="46">
        <v>989.89</v>
      </c>
      <c r="BR25" s="46">
        <v>1006.29</v>
      </c>
      <c r="BS25" s="46">
        <v>1042.45</v>
      </c>
      <c r="BT25" s="46">
        <v>1062.06</v>
      </c>
      <c r="BU25" s="46">
        <v>1080.83</v>
      </c>
      <c r="BV25" s="46">
        <v>1096.49</v>
      </c>
      <c r="BW25" s="46">
        <v>1106.9100000000001</v>
      </c>
      <c r="BX25" s="46">
        <v>1202.29</v>
      </c>
      <c r="BY25" s="46">
        <v>1213.7</v>
      </c>
      <c r="BZ25" s="46">
        <v>1221.55</v>
      </c>
      <c r="CA25" s="46">
        <v>1326.39</v>
      </c>
      <c r="CB25" s="46">
        <v>1328.04</v>
      </c>
      <c r="CC25" s="46">
        <v>354.27</v>
      </c>
      <c r="CD25" s="46">
        <v>385.87</v>
      </c>
      <c r="CE25" s="46">
        <v>388.69</v>
      </c>
      <c r="CF25" s="46">
        <v>405.82</v>
      </c>
      <c r="CG25" s="46">
        <v>429.18</v>
      </c>
      <c r="CH25" s="46">
        <v>442.19</v>
      </c>
      <c r="CI25" s="46">
        <v>448.08</v>
      </c>
      <c r="CJ25" s="46">
        <v>488.21</v>
      </c>
      <c r="CK25" s="46">
        <v>549.86</v>
      </c>
      <c r="CL25" s="46">
        <v>569.16999999999996</v>
      </c>
      <c r="CM25" s="46">
        <v>590.1</v>
      </c>
      <c r="CN25" s="46">
        <v>599.14</v>
      </c>
      <c r="CO25" s="46">
        <v>620.16</v>
      </c>
      <c r="CP25" s="46">
        <v>709.54</v>
      </c>
      <c r="CQ25" s="46">
        <v>756.79</v>
      </c>
      <c r="CR25" s="46">
        <v>806.02</v>
      </c>
      <c r="CS25" s="46">
        <v>813.95</v>
      </c>
      <c r="CT25" s="46">
        <v>824.93</v>
      </c>
      <c r="CU25" s="46">
        <v>832.72</v>
      </c>
      <c r="CV25" s="46">
        <v>867.41</v>
      </c>
      <c r="CW25" s="46">
        <v>890.83</v>
      </c>
      <c r="CX25" s="46">
        <v>891.12</v>
      </c>
      <c r="CY25" s="46">
        <v>896.57</v>
      </c>
      <c r="CZ25" s="46">
        <v>898.82</v>
      </c>
      <c r="DA25" s="46">
        <v>945.14</v>
      </c>
      <c r="DB25" s="46">
        <v>951.85</v>
      </c>
      <c r="DC25" s="46">
        <v>970.13</v>
      </c>
      <c r="DD25" s="46">
        <v>989.89</v>
      </c>
      <c r="DE25" s="46">
        <v>1006.29</v>
      </c>
      <c r="DF25" s="46">
        <v>1042.45</v>
      </c>
      <c r="DG25" s="46">
        <v>1062.06</v>
      </c>
      <c r="DH25" s="46">
        <v>1080.83</v>
      </c>
      <c r="DI25" s="46">
        <v>1096.49</v>
      </c>
      <c r="DJ25" s="46">
        <v>1106.9100000000001</v>
      </c>
      <c r="DK25" s="46">
        <v>1202.29</v>
      </c>
      <c r="DL25" s="46">
        <v>1213.7</v>
      </c>
      <c r="DM25" s="46">
        <v>1221.55</v>
      </c>
      <c r="DN25" s="46">
        <v>1326.39</v>
      </c>
      <c r="DO25" s="46">
        <v>1328.04</v>
      </c>
    </row>
    <row r="26" spans="1:119" s="4" customFormat="1" ht="14.25" x14ac:dyDescent="0.25">
      <c r="A26" s="252">
        <v>30</v>
      </c>
      <c r="B26" s="253"/>
      <c r="C26" s="46">
        <v>357.6</v>
      </c>
      <c r="D26" s="46">
        <v>389.51</v>
      </c>
      <c r="E26" s="46">
        <v>392.35</v>
      </c>
      <c r="F26" s="46">
        <v>409.64</v>
      </c>
      <c r="G26" s="46">
        <v>433.22</v>
      </c>
      <c r="H26" s="46">
        <v>446.35</v>
      </c>
      <c r="I26" s="46">
        <v>452.3</v>
      </c>
      <c r="J26" s="46">
        <v>492.8</v>
      </c>
      <c r="K26" s="46">
        <v>555.04</v>
      </c>
      <c r="L26" s="46">
        <v>574.53</v>
      </c>
      <c r="M26" s="46">
        <v>595.66</v>
      </c>
      <c r="N26" s="46">
        <v>604.78</v>
      </c>
      <c r="O26" s="46">
        <v>626</v>
      </c>
      <c r="P26" s="46">
        <v>716.22</v>
      </c>
      <c r="Q26" s="46">
        <v>763.92</v>
      </c>
      <c r="R26" s="46">
        <v>813.61</v>
      </c>
      <c r="S26" s="46">
        <v>821.61</v>
      </c>
      <c r="T26" s="46">
        <v>832.69</v>
      </c>
      <c r="U26" s="46">
        <v>840.56</v>
      </c>
      <c r="V26" s="46">
        <v>875.57</v>
      </c>
      <c r="W26" s="46">
        <v>899.22</v>
      </c>
      <c r="X26" s="46">
        <v>899.51</v>
      </c>
      <c r="Y26" s="46">
        <v>905.01</v>
      </c>
      <c r="Z26" s="46">
        <v>907.28</v>
      </c>
      <c r="AA26" s="46">
        <v>954.04</v>
      </c>
      <c r="AB26" s="46">
        <v>960.81</v>
      </c>
      <c r="AC26" s="46">
        <v>979.26</v>
      </c>
      <c r="AD26" s="46">
        <v>999.2</v>
      </c>
      <c r="AE26" s="46">
        <v>1015.76</v>
      </c>
      <c r="AF26" s="46">
        <v>1052.26</v>
      </c>
      <c r="AG26" s="46">
        <v>1072.05</v>
      </c>
      <c r="AH26" s="46">
        <v>1091</v>
      </c>
      <c r="AI26" s="46">
        <v>1106.81</v>
      </c>
      <c r="AJ26" s="46">
        <v>1117.33</v>
      </c>
      <c r="AK26" s="46">
        <v>1213.5999999999999</v>
      </c>
      <c r="AL26" s="46">
        <v>1225.1300000000001</v>
      </c>
      <c r="AM26" s="46">
        <v>1233.04</v>
      </c>
      <c r="AN26" s="46">
        <v>1338.87</v>
      </c>
      <c r="AO26" s="46">
        <v>1340.54</v>
      </c>
      <c r="AP26" s="46">
        <v>357.6</v>
      </c>
      <c r="AQ26" s="46">
        <v>389.51</v>
      </c>
      <c r="AR26" s="46">
        <v>392.35</v>
      </c>
      <c r="AS26" s="46">
        <v>409.64</v>
      </c>
      <c r="AT26" s="46">
        <v>433.22</v>
      </c>
      <c r="AU26" s="46">
        <v>446.35</v>
      </c>
      <c r="AV26" s="46">
        <v>452.3</v>
      </c>
      <c r="AW26" s="46">
        <v>492.8</v>
      </c>
      <c r="AX26" s="46">
        <v>555.04</v>
      </c>
      <c r="AY26" s="46">
        <v>574.53</v>
      </c>
      <c r="AZ26" s="46">
        <v>595.66</v>
      </c>
      <c r="BA26" s="46">
        <v>604.78</v>
      </c>
      <c r="BB26" s="46">
        <v>626</v>
      </c>
      <c r="BC26" s="46">
        <v>716.22</v>
      </c>
      <c r="BD26" s="46">
        <v>763.92</v>
      </c>
      <c r="BE26" s="46">
        <v>813.61</v>
      </c>
      <c r="BF26" s="46">
        <v>821.61</v>
      </c>
      <c r="BG26" s="46">
        <v>832.69</v>
      </c>
      <c r="BH26" s="46">
        <v>840.56</v>
      </c>
      <c r="BI26" s="46">
        <v>875.57</v>
      </c>
      <c r="BJ26" s="46">
        <v>899.22</v>
      </c>
      <c r="BK26" s="46">
        <v>899.51</v>
      </c>
      <c r="BL26" s="46">
        <v>905.01</v>
      </c>
      <c r="BM26" s="46">
        <v>907.28</v>
      </c>
      <c r="BN26" s="46">
        <v>954.04</v>
      </c>
      <c r="BO26" s="46">
        <v>960.81</v>
      </c>
      <c r="BP26" s="46">
        <v>979.26</v>
      </c>
      <c r="BQ26" s="46">
        <v>999.2</v>
      </c>
      <c r="BR26" s="46">
        <v>1015.76</v>
      </c>
      <c r="BS26" s="46">
        <v>1052.26</v>
      </c>
      <c r="BT26" s="46">
        <v>1072.05</v>
      </c>
      <c r="BU26" s="46">
        <v>1091</v>
      </c>
      <c r="BV26" s="46">
        <v>1106.81</v>
      </c>
      <c r="BW26" s="46">
        <v>1117.33</v>
      </c>
      <c r="BX26" s="46">
        <v>1213.5999999999999</v>
      </c>
      <c r="BY26" s="46">
        <v>1225.1300000000001</v>
      </c>
      <c r="BZ26" s="46">
        <v>1233.04</v>
      </c>
      <c r="CA26" s="46">
        <v>1338.87</v>
      </c>
      <c r="CB26" s="46">
        <v>1340.54</v>
      </c>
      <c r="CC26" s="46">
        <v>357.6</v>
      </c>
      <c r="CD26" s="46">
        <v>389.51</v>
      </c>
      <c r="CE26" s="46">
        <v>392.35</v>
      </c>
      <c r="CF26" s="46">
        <v>409.64</v>
      </c>
      <c r="CG26" s="46">
        <v>433.22</v>
      </c>
      <c r="CH26" s="46">
        <v>446.35</v>
      </c>
      <c r="CI26" s="46">
        <v>452.3</v>
      </c>
      <c r="CJ26" s="46">
        <v>492.8</v>
      </c>
      <c r="CK26" s="46">
        <v>555.04</v>
      </c>
      <c r="CL26" s="46">
        <v>574.53</v>
      </c>
      <c r="CM26" s="46">
        <v>595.66</v>
      </c>
      <c r="CN26" s="46">
        <v>604.78</v>
      </c>
      <c r="CO26" s="46">
        <v>626</v>
      </c>
      <c r="CP26" s="46">
        <v>716.22</v>
      </c>
      <c r="CQ26" s="46">
        <v>763.92</v>
      </c>
      <c r="CR26" s="46">
        <v>813.61</v>
      </c>
      <c r="CS26" s="46">
        <v>821.61</v>
      </c>
      <c r="CT26" s="46">
        <v>832.69</v>
      </c>
      <c r="CU26" s="46">
        <v>840.56</v>
      </c>
      <c r="CV26" s="46">
        <v>875.57</v>
      </c>
      <c r="CW26" s="46">
        <v>899.22</v>
      </c>
      <c r="CX26" s="46">
        <v>899.51</v>
      </c>
      <c r="CY26" s="46">
        <v>905.01</v>
      </c>
      <c r="CZ26" s="46">
        <v>907.28</v>
      </c>
      <c r="DA26" s="46">
        <v>954.04</v>
      </c>
      <c r="DB26" s="46">
        <v>960.81</v>
      </c>
      <c r="DC26" s="46">
        <v>979.26</v>
      </c>
      <c r="DD26" s="46">
        <v>999.2</v>
      </c>
      <c r="DE26" s="46">
        <v>1015.76</v>
      </c>
      <c r="DF26" s="46">
        <v>1052.26</v>
      </c>
      <c r="DG26" s="46">
        <v>1072.05</v>
      </c>
      <c r="DH26" s="46">
        <v>1091</v>
      </c>
      <c r="DI26" s="46">
        <v>1106.81</v>
      </c>
      <c r="DJ26" s="46">
        <v>1117.33</v>
      </c>
      <c r="DK26" s="46">
        <v>1213.5999999999999</v>
      </c>
      <c r="DL26" s="46">
        <v>1225.1300000000001</v>
      </c>
      <c r="DM26" s="46">
        <v>1233.04</v>
      </c>
      <c r="DN26" s="46">
        <v>1338.87</v>
      </c>
      <c r="DO26" s="46">
        <v>1340.54</v>
      </c>
    </row>
    <row r="27" spans="1:119" s="4" customFormat="1" ht="14.25" x14ac:dyDescent="0.25">
      <c r="A27" s="252">
        <v>31</v>
      </c>
      <c r="B27" s="253"/>
      <c r="C27" s="45">
        <v>362.6</v>
      </c>
      <c r="D27" s="45">
        <v>394.95</v>
      </c>
      <c r="E27" s="45">
        <v>397.83</v>
      </c>
      <c r="F27" s="45">
        <v>415.37</v>
      </c>
      <c r="G27" s="45">
        <v>439.28</v>
      </c>
      <c r="H27" s="45">
        <v>452.59</v>
      </c>
      <c r="I27" s="45">
        <v>458.62</v>
      </c>
      <c r="J27" s="45">
        <v>499.7</v>
      </c>
      <c r="K27" s="45">
        <v>562.79999999999995</v>
      </c>
      <c r="L27" s="45">
        <v>582.57000000000005</v>
      </c>
      <c r="M27" s="45">
        <v>603.99</v>
      </c>
      <c r="N27" s="45">
        <v>613.24</v>
      </c>
      <c r="O27" s="45">
        <v>634.75</v>
      </c>
      <c r="P27" s="45">
        <v>726.24</v>
      </c>
      <c r="Q27" s="45">
        <v>774.6</v>
      </c>
      <c r="R27" s="45">
        <v>824.98</v>
      </c>
      <c r="S27" s="45">
        <v>833.1</v>
      </c>
      <c r="T27" s="45">
        <v>844.34</v>
      </c>
      <c r="U27" s="45">
        <v>852.32</v>
      </c>
      <c r="V27" s="45">
        <v>887.82</v>
      </c>
      <c r="W27" s="45">
        <v>911.79</v>
      </c>
      <c r="X27" s="45">
        <v>912.09</v>
      </c>
      <c r="Y27" s="45">
        <v>917.67</v>
      </c>
      <c r="Z27" s="45">
        <v>919.97</v>
      </c>
      <c r="AA27" s="45">
        <v>967.38</v>
      </c>
      <c r="AB27" s="45">
        <v>974.24</v>
      </c>
      <c r="AC27" s="45">
        <v>992.96</v>
      </c>
      <c r="AD27" s="45">
        <v>1013.18</v>
      </c>
      <c r="AE27" s="45">
        <v>1029.96</v>
      </c>
      <c r="AF27" s="45">
        <v>1066.98</v>
      </c>
      <c r="AG27" s="45">
        <v>1087.05</v>
      </c>
      <c r="AH27" s="45">
        <v>1106.26</v>
      </c>
      <c r="AI27" s="45">
        <v>1122.29</v>
      </c>
      <c r="AJ27" s="45">
        <v>1132.95</v>
      </c>
      <c r="AK27" s="45">
        <v>1230.58</v>
      </c>
      <c r="AL27" s="45">
        <v>1242.26</v>
      </c>
      <c r="AM27" s="45">
        <v>1250.29</v>
      </c>
      <c r="AN27" s="45">
        <v>1357.6</v>
      </c>
      <c r="AO27" s="45">
        <v>1359.29</v>
      </c>
      <c r="AP27" s="45">
        <v>362.6</v>
      </c>
      <c r="AQ27" s="45">
        <v>394.95</v>
      </c>
      <c r="AR27" s="45">
        <v>397.83</v>
      </c>
      <c r="AS27" s="45">
        <v>415.37</v>
      </c>
      <c r="AT27" s="45">
        <v>439.28</v>
      </c>
      <c r="AU27" s="45">
        <v>452.59</v>
      </c>
      <c r="AV27" s="45">
        <v>458.62</v>
      </c>
      <c r="AW27" s="45">
        <v>499.7</v>
      </c>
      <c r="AX27" s="45">
        <v>562.79999999999995</v>
      </c>
      <c r="AY27" s="45">
        <v>582.57000000000005</v>
      </c>
      <c r="AZ27" s="45">
        <v>603.99</v>
      </c>
      <c r="BA27" s="45">
        <v>613.24</v>
      </c>
      <c r="BB27" s="45">
        <v>634.75</v>
      </c>
      <c r="BC27" s="45">
        <v>726.24</v>
      </c>
      <c r="BD27" s="45">
        <v>774.6</v>
      </c>
      <c r="BE27" s="45">
        <v>824.98</v>
      </c>
      <c r="BF27" s="45">
        <v>833.1</v>
      </c>
      <c r="BG27" s="45">
        <v>844.34</v>
      </c>
      <c r="BH27" s="45">
        <v>852.32</v>
      </c>
      <c r="BI27" s="45">
        <v>887.82</v>
      </c>
      <c r="BJ27" s="45">
        <v>911.79</v>
      </c>
      <c r="BK27" s="45">
        <v>912.09</v>
      </c>
      <c r="BL27" s="45">
        <v>917.67</v>
      </c>
      <c r="BM27" s="45">
        <v>919.97</v>
      </c>
      <c r="BN27" s="45">
        <v>967.38</v>
      </c>
      <c r="BO27" s="45">
        <v>974.24</v>
      </c>
      <c r="BP27" s="45">
        <v>992.96</v>
      </c>
      <c r="BQ27" s="45">
        <v>1013.18</v>
      </c>
      <c r="BR27" s="45">
        <v>1029.96</v>
      </c>
      <c r="BS27" s="45">
        <v>1066.98</v>
      </c>
      <c r="BT27" s="45">
        <v>1087.05</v>
      </c>
      <c r="BU27" s="45">
        <v>1106.26</v>
      </c>
      <c r="BV27" s="45">
        <v>1122.29</v>
      </c>
      <c r="BW27" s="45">
        <v>1132.95</v>
      </c>
      <c r="BX27" s="45">
        <v>1230.58</v>
      </c>
      <c r="BY27" s="45">
        <v>1242.26</v>
      </c>
      <c r="BZ27" s="45">
        <v>1250.29</v>
      </c>
      <c r="CA27" s="45">
        <v>1357.6</v>
      </c>
      <c r="CB27" s="45">
        <v>1359.29</v>
      </c>
      <c r="CC27" s="45">
        <v>362.6</v>
      </c>
      <c r="CD27" s="45">
        <v>394.95</v>
      </c>
      <c r="CE27" s="45">
        <v>397.83</v>
      </c>
      <c r="CF27" s="45">
        <v>415.37</v>
      </c>
      <c r="CG27" s="45">
        <v>439.28</v>
      </c>
      <c r="CH27" s="45">
        <v>452.59</v>
      </c>
      <c r="CI27" s="45">
        <v>458.62</v>
      </c>
      <c r="CJ27" s="45">
        <v>499.7</v>
      </c>
      <c r="CK27" s="45">
        <v>562.79999999999995</v>
      </c>
      <c r="CL27" s="45">
        <v>582.57000000000005</v>
      </c>
      <c r="CM27" s="45">
        <v>603.99</v>
      </c>
      <c r="CN27" s="45">
        <v>613.24</v>
      </c>
      <c r="CO27" s="45">
        <v>634.75</v>
      </c>
      <c r="CP27" s="45">
        <v>726.24</v>
      </c>
      <c r="CQ27" s="45">
        <v>774.6</v>
      </c>
      <c r="CR27" s="45">
        <v>824.98</v>
      </c>
      <c r="CS27" s="45">
        <v>833.1</v>
      </c>
      <c r="CT27" s="45">
        <v>844.34</v>
      </c>
      <c r="CU27" s="45">
        <v>852.32</v>
      </c>
      <c r="CV27" s="45">
        <v>887.82</v>
      </c>
      <c r="CW27" s="45">
        <v>911.79</v>
      </c>
      <c r="CX27" s="45">
        <v>912.09</v>
      </c>
      <c r="CY27" s="45">
        <v>917.67</v>
      </c>
      <c r="CZ27" s="45">
        <v>919.97</v>
      </c>
      <c r="DA27" s="45">
        <v>967.38</v>
      </c>
      <c r="DB27" s="45">
        <v>974.24</v>
      </c>
      <c r="DC27" s="45">
        <v>992.96</v>
      </c>
      <c r="DD27" s="45">
        <v>1013.18</v>
      </c>
      <c r="DE27" s="45">
        <v>1029.96</v>
      </c>
      <c r="DF27" s="45">
        <v>1066.98</v>
      </c>
      <c r="DG27" s="45">
        <v>1087.05</v>
      </c>
      <c r="DH27" s="45">
        <v>1106.26</v>
      </c>
      <c r="DI27" s="45">
        <v>1122.29</v>
      </c>
      <c r="DJ27" s="45">
        <v>1132.95</v>
      </c>
      <c r="DK27" s="45">
        <v>1230.58</v>
      </c>
      <c r="DL27" s="45">
        <v>1242.26</v>
      </c>
      <c r="DM27" s="45">
        <v>1250.29</v>
      </c>
      <c r="DN27" s="45">
        <v>1357.6</v>
      </c>
      <c r="DO27" s="45">
        <v>1359.29</v>
      </c>
    </row>
    <row r="28" spans="1:119" s="4" customFormat="1" ht="14.25" x14ac:dyDescent="0.25">
      <c r="A28" s="252">
        <v>32</v>
      </c>
      <c r="B28" s="253"/>
      <c r="C28" s="46">
        <v>367.61</v>
      </c>
      <c r="D28" s="46">
        <v>400.4</v>
      </c>
      <c r="E28" s="46">
        <v>403.32</v>
      </c>
      <c r="F28" s="46">
        <v>421.1</v>
      </c>
      <c r="G28" s="46">
        <v>445.34</v>
      </c>
      <c r="H28" s="46">
        <v>458.83</v>
      </c>
      <c r="I28" s="46">
        <v>464.95</v>
      </c>
      <c r="J28" s="46">
        <v>506.59</v>
      </c>
      <c r="K28" s="46">
        <v>570.55999999999995</v>
      </c>
      <c r="L28" s="46">
        <v>590.6</v>
      </c>
      <c r="M28" s="46">
        <v>612.32000000000005</v>
      </c>
      <c r="N28" s="46">
        <v>621.69000000000005</v>
      </c>
      <c r="O28" s="46">
        <v>643.51</v>
      </c>
      <c r="P28" s="46">
        <v>736.26</v>
      </c>
      <c r="Q28" s="46">
        <v>785.28</v>
      </c>
      <c r="R28" s="46">
        <v>836.36</v>
      </c>
      <c r="S28" s="46">
        <v>844.59</v>
      </c>
      <c r="T28" s="46">
        <v>855.99</v>
      </c>
      <c r="U28" s="46">
        <v>864.07</v>
      </c>
      <c r="V28" s="46">
        <v>900.06</v>
      </c>
      <c r="W28" s="46">
        <v>924.37</v>
      </c>
      <c r="X28" s="46">
        <v>924.67</v>
      </c>
      <c r="Y28" s="46">
        <v>930.33</v>
      </c>
      <c r="Z28" s="46">
        <v>932.66</v>
      </c>
      <c r="AA28" s="46">
        <v>980.73</v>
      </c>
      <c r="AB28" s="46">
        <v>987.68</v>
      </c>
      <c r="AC28" s="46">
        <v>1006.65</v>
      </c>
      <c r="AD28" s="46">
        <v>1027.1500000000001</v>
      </c>
      <c r="AE28" s="46">
        <v>1044.17</v>
      </c>
      <c r="AF28" s="46">
        <v>1081.69</v>
      </c>
      <c r="AG28" s="46">
        <v>1102.04</v>
      </c>
      <c r="AH28" s="46">
        <v>1121.52</v>
      </c>
      <c r="AI28" s="46">
        <v>1137.77</v>
      </c>
      <c r="AJ28" s="46">
        <v>1148.58</v>
      </c>
      <c r="AK28" s="46">
        <v>1247.55</v>
      </c>
      <c r="AL28" s="46">
        <v>1259.4000000000001</v>
      </c>
      <c r="AM28" s="46">
        <v>1267.53</v>
      </c>
      <c r="AN28" s="46">
        <v>1376.32</v>
      </c>
      <c r="AO28" s="46">
        <v>1378.03</v>
      </c>
      <c r="AP28" s="46">
        <v>367.61</v>
      </c>
      <c r="AQ28" s="46">
        <v>400.4</v>
      </c>
      <c r="AR28" s="46">
        <v>403.32</v>
      </c>
      <c r="AS28" s="46">
        <v>421.1</v>
      </c>
      <c r="AT28" s="46">
        <v>445.34</v>
      </c>
      <c r="AU28" s="46">
        <v>458.83</v>
      </c>
      <c r="AV28" s="46">
        <v>464.95</v>
      </c>
      <c r="AW28" s="46">
        <v>506.59</v>
      </c>
      <c r="AX28" s="46">
        <v>570.55999999999995</v>
      </c>
      <c r="AY28" s="46">
        <v>590.6</v>
      </c>
      <c r="AZ28" s="46">
        <v>612.32000000000005</v>
      </c>
      <c r="BA28" s="46">
        <v>621.69000000000005</v>
      </c>
      <c r="BB28" s="46">
        <v>643.51</v>
      </c>
      <c r="BC28" s="46">
        <v>736.26</v>
      </c>
      <c r="BD28" s="46">
        <v>785.28</v>
      </c>
      <c r="BE28" s="46">
        <v>836.36</v>
      </c>
      <c r="BF28" s="46">
        <v>844.59</v>
      </c>
      <c r="BG28" s="46">
        <v>855.99</v>
      </c>
      <c r="BH28" s="46">
        <v>864.07</v>
      </c>
      <c r="BI28" s="46">
        <v>900.06</v>
      </c>
      <c r="BJ28" s="46">
        <v>924.37</v>
      </c>
      <c r="BK28" s="46">
        <v>924.67</v>
      </c>
      <c r="BL28" s="46">
        <v>930.33</v>
      </c>
      <c r="BM28" s="46">
        <v>932.66</v>
      </c>
      <c r="BN28" s="46">
        <v>980.73</v>
      </c>
      <c r="BO28" s="46">
        <v>987.68</v>
      </c>
      <c r="BP28" s="46">
        <v>1006.65</v>
      </c>
      <c r="BQ28" s="46">
        <v>1027.1500000000001</v>
      </c>
      <c r="BR28" s="46">
        <v>1044.17</v>
      </c>
      <c r="BS28" s="46">
        <v>1081.69</v>
      </c>
      <c r="BT28" s="46">
        <v>1102.04</v>
      </c>
      <c r="BU28" s="46">
        <v>1121.52</v>
      </c>
      <c r="BV28" s="46">
        <v>1137.77</v>
      </c>
      <c r="BW28" s="46">
        <v>1148.58</v>
      </c>
      <c r="BX28" s="46">
        <v>1247.55</v>
      </c>
      <c r="BY28" s="46">
        <v>1259.4000000000001</v>
      </c>
      <c r="BZ28" s="46">
        <v>1267.53</v>
      </c>
      <c r="CA28" s="46">
        <v>1376.32</v>
      </c>
      <c r="CB28" s="46">
        <v>1378.03</v>
      </c>
      <c r="CC28" s="46">
        <v>367.61</v>
      </c>
      <c r="CD28" s="46">
        <v>400.4</v>
      </c>
      <c r="CE28" s="46">
        <v>403.32</v>
      </c>
      <c r="CF28" s="46">
        <v>421.1</v>
      </c>
      <c r="CG28" s="46">
        <v>445.34</v>
      </c>
      <c r="CH28" s="46">
        <v>458.83</v>
      </c>
      <c r="CI28" s="46">
        <v>464.95</v>
      </c>
      <c r="CJ28" s="46">
        <v>506.59</v>
      </c>
      <c r="CK28" s="46">
        <v>570.55999999999995</v>
      </c>
      <c r="CL28" s="46">
        <v>590.6</v>
      </c>
      <c r="CM28" s="46">
        <v>612.32000000000005</v>
      </c>
      <c r="CN28" s="46">
        <v>621.69000000000005</v>
      </c>
      <c r="CO28" s="46">
        <v>643.51</v>
      </c>
      <c r="CP28" s="46">
        <v>736.26</v>
      </c>
      <c r="CQ28" s="46">
        <v>785.28</v>
      </c>
      <c r="CR28" s="46">
        <v>836.36</v>
      </c>
      <c r="CS28" s="46">
        <v>844.59</v>
      </c>
      <c r="CT28" s="46">
        <v>855.99</v>
      </c>
      <c r="CU28" s="46">
        <v>864.07</v>
      </c>
      <c r="CV28" s="46">
        <v>900.06</v>
      </c>
      <c r="CW28" s="46">
        <v>924.37</v>
      </c>
      <c r="CX28" s="46">
        <v>924.67</v>
      </c>
      <c r="CY28" s="46">
        <v>930.33</v>
      </c>
      <c r="CZ28" s="46">
        <v>932.66</v>
      </c>
      <c r="DA28" s="46">
        <v>980.73</v>
      </c>
      <c r="DB28" s="46">
        <v>987.68</v>
      </c>
      <c r="DC28" s="46">
        <v>1006.65</v>
      </c>
      <c r="DD28" s="46">
        <v>1027.1500000000001</v>
      </c>
      <c r="DE28" s="46">
        <v>1044.17</v>
      </c>
      <c r="DF28" s="46">
        <v>1081.69</v>
      </c>
      <c r="DG28" s="46">
        <v>1102.04</v>
      </c>
      <c r="DH28" s="46">
        <v>1121.52</v>
      </c>
      <c r="DI28" s="46">
        <v>1137.77</v>
      </c>
      <c r="DJ28" s="46">
        <v>1148.58</v>
      </c>
      <c r="DK28" s="46">
        <v>1247.55</v>
      </c>
      <c r="DL28" s="46">
        <v>1259.4000000000001</v>
      </c>
      <c r="DM28" s="46">
        <v>1267.53</v>
      </c>
      <c r="DN28" s="46">
        <v>1376.32</v>
      </c>
      <c r="DO28" s="46">
        <v>1378.03</v>
      </c>
    </row>
    <row r="29" spans="1:119" s="4" customFormat="1" ht="14.25" x14ac:dyDescent="0.25">
      <c r="A29" s="252">
        <v>33</v>
      </c>
      <c r="B29" s="253"/>
      <c r="C29" s="46">
        <v>370.66</v>
      </c>
      <c r="D29" s="46">
        <v>403.73</v>
      </c>
      <c r="E29" s="46">
        <v>406.67</v>
      </c>
      <c r="F29" s="46">
        <v>424.6</v>
      </c>
      <c r="G29" s="46">
        <v>449.04</v>
      </c>
      <c r="H29" s="46">
        <v>462.65</v>
      </c>
      <c r="I29" s="46">
        <v>468.81</v>
      </c>
      <c r="J29" s="46">
        <v>510.8</v>
      </c>
      <c r="K29" s="46">
        <v>575.30999999999995</v>
      </c>
      <c r="L29" s="46">
        <v>595.51</v>
      </c>
      <c r="M29" s="46">
        <v>617.41</v>
      </c>
      <c r="N29" s="46">
        <v>626.86</v>
      </c>
      <c r="O29" s="46">
        <v>648.86</v>
      </c>
      <c r="P29" s="46">
        <v>742.38</v>
      </c>
      <c r="Q29" s="46">
        <v>791.81</v>
      </c>
      <c r="R29" s="46">
        <v>843.32</v>
      </c>
      <c r="S29" s="46">
        <v>851.61</v>
      </c>
      <c r="T29" s="46">
        <v>863.1</v>
      </c>
      <c r="U29" s="46">
        <v>871.26</v>
      </c>
      <c r="V29" s="46">
        <v>907.54</v>
      </c>
      <c r="W29" s="46">
        <v>932.06</v>
      </c>
      <c r="X29" s="46">
        <v>932.36</v>
      </c>
      <c r="Y29" s="46">
        <v>938.06</v>
      </c>
      <c r="Z29" s="46">
        <v>940.41</v>
      </c>
      <c r="AA29" s="46">
        <v>988.88</v>
      </c>
      <c r="AB29" s="46">
        <v>995.89</v>
      </c>
      <c r="AC29" s="46">
        <v>1015.02</v>
      </c>
      <c r="AD29" s="46">
        <v>1035.69</v>
      </c>
      <c r="AE29" s="46">
        <v>1052.8499999999999</v>
      </c>
      <c r="AF29" s="46">
        <v>1090.69</v>
      </c>
      <c r="AG29" s="46">
        <v>1111.2</v>
      </c>
      <c r="AH29" s="46">
        <v>1130.8499999999999</v>
      </c>
      <c r="AI29" s="46">
        <v>1147.23</v>
      </c>
      <c r="AJ29" s="46">
        <v>1158.1300000000001</v>
      </c>
      <c r="AK29" s="46">
        <v>1257.92</v>
      </c>
      <c r="AL29" s="46">
        <v>1269.8699999999999</v>
      </c>
      <c r="AM29" s="46">
        <v>1278.07</v>
      </c>
      <c r="AN29" s="46">
        <v>1387.77</v>
      </c>
      <c r="AO29" s="46">
        <v>1389.49</v>
      </c>
      <c r="AP29" s="46">
        <v>370.66</v>
      </c>
      <c r="AQ29" s="46">
        <v>403.73</v>
      </c>
      <c r="AR29" s="46">
        <v>406.67</v>
      </c>
      <c r="AS29" s="46">
        <v>424.6</v>
      </c>
      <c r="AT29" s="46">
        <v>449.04</v>
      </c>
      <c r="AU29" s="46">
        <v>462.65</v>
      </c>
      <c r="AV29" s="46">
        <v>468.81</v>
      </c>
      <c r="AW29" s="46">
        <v>510.8</v>
      </c>
      <c r="AX29" s="46">
        <v>575.30999999999995</v>
      </c>
      <c r="AY29" s="46">
        <v>595.51</v>
      </c>
      <c r="AZ29" s="46">
        <v>617.41</v>
      </c>
      <c r="BA29" s="46">
        <v>626.86</v>
      </c>
      <c r="BB29" s="46">
        <v>648.86</v>
      </c>
      <c r="BC29" s="46">
        <v>742.38</v>
      </c>
      <c r="BD29" s="46">
        <v>791.81</v>
      </c>
      <c r="BE29" s="46">
        <v>843.32</v>
      </c>
      <c r="BF29" s="46">
        <v>851.61</v>
      </c>
      <c r="BG29" s="46">
        <v>863.1</v>
      </c>
      <c r="BH29" s="46">
        <v>871.26</v>
      </c>
      <c r="BI29" s="46">
        <v>907.54</v>
      </c>
      <c r="BJ29" s="46">
        <v>932.06</v>
      </c>
      <c r="BK29" s="46">
        <v>932.36</v>
      </c>
      <c r="BL29" s="46">
        <v>938.06</v>
      </c>
      <c r="BM29" s="46">
        <v>940.41</v>
      </c>
      <c r="BN29" s="46">
        <v>988.88</v>
      </c>
      <c r="BO29" s="46">
        <v>995.89</v>
      </c>
      <c r="BP29" s="46">
        <v>1015.02</v>
      </c>
      <c r="BQ29" s="46">
        <v>1035.69</v>
      </c>
      <c r="BR29" s="46">
        <v>1052.8499999999999</v>
      </c>
      <c r="BS29" s="46">
        <v>1090.69</v>
      </c>
      <c r="BT29" s="46">
        <v>1111.2</v>
      </c>
      <c r="BU29" s="46">
        <v>1130.8499999999999</v>
      </c>
      <c r="BV29" s="46">
        <v>1147.23</v>
      </c>
      <c r="BW29" s="46">
        <v>1158.1300000000001</v>
      </c>
      <c r="BX29" s="46">
        <v>1257.92</v>
      </c>
      <c r="BY29" s="46">
        <v>1269.8699999999999</v>
      </c>
      <c r="BZ29" s="46">
        <v>1278.07</v>
      </c>
      <c r="CA29" s="46">
        <v>1387.77</v>
      </c>
      <c r="CB29" s="46">
        <v>1389.49</v>
      </c>
      <c r="CC29" s="46">
        <v>370.66</v>
      </c>
      <c r="CD29" s="46">
        <v>403.73</v>
      </c>
      <c r="CE29" s="46">
        <v>406.67</v>
      </c>
      <c r="CF29" s="46">
        <v>424.6</v>
      </c>
      <c r="CG29" s="46">
        <v>449.04</v>
      </c>
      <c r="CH29" s="46">
        <v>462.65</v>
      </c>
      <c r="CI29" s="46">
        <v>468.81</v>
      </c>
      <c r="CJ29" s="46">
        <v>510.8</v>
      </c>
      <c r="CK29" s="46">
        <v>575.30999999999995</v>
      </c>
      <c r="CL29" s="46">
        <v>595.51</v>
      </c>
      <c r="CM29" s="46">
        <v>617.41</v>
      </c>
      <c r="CN29" s="46">
        <v>626.86</v>
      </c>
      <c r="CO29" s="46">
        <v>648.86</v>
      </c>
      <c r="CP29" s="46">
        <v>742.38</v>
      </c>
      <c r="CQ29" s="46">
        <v>791.81</v>
      </c>
      <c r="CR29" s="46">
        <v>843.32</v>
      </c>
      <c r="CS29" s="46">
        <v>851.61</v>
      </c>
      <c r="CT29" s="46">
        <v>863.1</v>
      </c>
      <c r="CU29" s="46">
        <v>871.26</v>
      </c>
      <c r="CV29" s="46">
        <v>907.54</v>
      </c>
      <c r="CW29" s="46">
        <v>932.06</v>
      </c>
      <c r="CX29" s="46">
        <v>932.36</v>
      </c>
      <c r="CY29" s="46">
        <v>938.06</v>
      </c>
      <c r="CZ29" s="46">
        <v>940.41</v>
      </c>
      <c r="DA29" s="46">
        <v>988.88</v>
      </c>
      <c r="DB29" s="46">
        <v>995.89</v>
      </c>
      <c r="DC29" s="46">
        <v>1015.02</v>
      </c>
      <c r="DD29" s="46">
        <v>1035.69</v>
      </c>
      <c r="DE29" s="46">
        <v>1052.8499999999999</v>
      </c>
      <c r="DF29" s="46">
        <v>1090.69</v>
      </c>
      <c r="DG29" s="46">
        <v>1111.2</v>
      </c>
      <c r="DH29" s="46">
        <v>1130.8499999999999</v>
      </c>
      <c r="DI29" s="46">
        <v>1147.23</v>
      </c>
      <c r="DJ29" s="46">
        <v>1158.1300000000001</v>
      </c>
      <c r="DK29" s="46">
        <v>1257.92</v>
      </c>
      <c r="DL29" s="46">
        <v>1269.8699999999999</v>
      </c>
      <c r="DM29" s="46">
        <v>1278.07</v>
      </c>
      <c r="DN29" s="46">
        <v>1387.77</v>
      </c>
      <c r="DO29" s="46">
        <v>1389.49</v>
      </c>
    </row>
    <row r="30" spans="1:119" s="4" customFormat="1" ht="14.25" x14ac:dyDescent="0.25">
      <c r="A30" s="252">
        <v>34</v>
      </c>
      <c r="B30" s="253"/>
      <c r="C30" s="46">
        <v>374</v>
      </c>
      <c r="D30" s="46">
        <v>407.36</v>
      </c>
      <c r="E30" s="46">
        <v>410.33</v>
      </c>
      <c r="F30" s="46">
        <v>428.42</v>
      </c>
      <c r="G30" s="46">
        <v>453.08</v>
      </c>
      <c r="H30" s="46">
        <v>466.81</v>
      </c>
      <c r="I30" s="46">
        <v>473.03</v>
      </c>
      <c r="J30" s="46">
        <v>515.4</v>
      </c>
      <c r="K30" s="46">
        <v>580.48</v>
      </c>
      <c r="L30" s="46">
        <v>600.87</v>
      </c>
      <c r="M30" s="46">
        <v>622.96</v>
      </c>
      <c r="N30" s="46">
        <v>632.5</v>
      </c>
      <c r="O30" s="46">
        <v>654.70000000000005</v>
      </c>
      <c r="P30" s="46">
        <v>749.06</v>
      </c>
      <c r="Q30" s="46">
        <v>798.94</v>
      </c>
      <c r="R30" s="46">
        <v>850.9</v>
      </c>
      <c r="S30" s="46">
        <v>859.27</v>
      </c>
      <c r="T30" s="46">
        <v>870.87</v>
      </c>
      <c r="U30" s="46">
        <v>879.1</v>
      </c>
      <c r="V30" s="46">
        <v>915.71</v>
      </c>
      <c r="W30" s="46">
        <v>940.44</v>
      </c>
      <c r="X30" s="46">
        <v>940.74</v>
      </c>
      <c r="Y30" s="46">
        <v>946.5</v>
      </c>
      <c r="Z30" s="46">
        <v>948.87</v>
      </c>
      <c r="AA30" s="46">
        <v>997.78</v>
      </c>
      <c r="AB30" s="46">
        <v>1004.85</v>
      </c>
      <c r="AC30" s="46">
        <v>1024.1500000000001</v>
      </c>
      <c r="AD30" s="46">
        <v>1045.01</v>
      </c>
      <c r="AE30" s="46">
        <v>1062.32</v>
      </c>
      <c r="AF30" s="46">
        <v>1100.5</v>
      </c>
      <c r="AG30" s="46">
        <v>1121.2</v>
      </c>
      <c r="AH30" s="46">
        <v>1141.02</v>
      </c>
      <c r="AI30" s="46">
        <v>1157.55</v>
      </c>
      <c r="AJ30" s="46">
        <v>1168.55</v>
      </c>
      <c r="AK30" s="46">
        <v>1269.24</v>
      </c>
      <c r="AL30" s="46">
        <v>1281.29</v>
      </c>
      <c r="AM30" s="46">
        <v>1289.57</v>
      </c>
      <c r="AN30" s="46">
        <v>1400.25</v>
      </c>
      <c r="AO30" s="46">
        <v>1401.99</v>
      </c>
      <c r="AP30" s="46">
        <v>374</v>
      </c>
      <c r="AQ30" s="46">
        <v>407.36</v>
      </c>
      <c r="AR30" s="46">
        <v>410.33</v>
      </c>
      <c r="AS30" s="46">
        <v>428.42</v>
      </c>
      <c r="AT30" s="46">
        <v>453.08</v>
      </c>
      <c r="AU30" s="46">
        <v>466.81</v>
      </c>
      <c r="AV30" s="46">
        <v>473.03</v>
      </c>
      <c r="AW30" s="46">
        <v>515.4</v>
      </c>
      <c r="AX30" s="46">
        <v>580.48</v>
      </c>
      <c r="AY30" s="46">
        <v>600.87</v>
      </c>
      <c r="AZ30" s="46">
        <v>622.96</v>
      </c>
      <c r="BA30" s="46">
        <v>632.5</v>
      </c>
      <c r="BB30" s="46">
        <v>654.70000000000005</v>
      </c>
      <c r="BC30" s="46">
        <v>749.06</v>
      </c>
      <c r="BD30" s="46">
        <v>798.94</v>
      </c>
      <c r="BE30" s="46">
        <v>850.9</v>
      </c>
      <c r="BF30" s="46">
        <v>859.27</v>
      </c>
      <c r="BG30" s="46">
        <v>870.87</v>
      </c>
      <c r="BH30" s="46">
        <v>879.1</v>
      </c>
      <c r="BI30" s="46">
        <v>915.71</v>
      </c>
      <c r="BJ30" s="46">
        <v>940.44</v>
      </c>
      <c r="BK30" s="46">
        <v>940.74</v>
      </c>
      <c r="BL30" s="46">
        <v>946.5</v>
      </c>
      <c r="BM30" s="46">
        <v>948.87</v>
      </c>
      <c r="BN30" s="46">
        <v>997.78</v>
      </c>
      <c r="BO30" s="46">
        <v>1004.85</v>
      </c>
      <c r="BP30" s="46">
        <v>1024.1500000000001</v>
      </c>
      <c r="BQ30" s="46">
        <v>1045.01</v>
      </c>
      <c r="BR30" s="46">
        <v>1062.32</v>
      </c>
      <c r="BS30" s="46">
        <v>1100.5</v>
      </c>
      <c r="BT30" s="46">
        <v>1121.2</v>
      </c>
      <c r="BU30" s="46">
        <v>1141.02</v>
      </c>
      <c r="BV30" s="46">
        <v>1157.55</v>
      </c>
      <c r="BW30" s="46">
        <v>1168.55</v>
      </c>
      <c r="BX30" s="46">
        <v>1269.24</v>
      </c>
      <c r="BY30" s="46">
        <v>1281.29</v>
      </c>
      <c r="BZ30" s="46">
        <v>1289.57</v>
      </c>
      <c r="CA30" s="46">
        <v>1400.25</v>
      </c>
      <c r="CB30" s="46">
        <v>1401.99</v>
      </c>
      <c r="CC30" s="46">
        <v>374</v>
      </c>
      <c r="CD30" s="46">
        <v>407.36</v>
      </c>
      <c r="CE30" s="46">
        <v>410.33</v>
      </c>
      <c r="CF30" s="46">
        <v>428.42</v>
      </c>
      <c r="CG30" s="46">
        <v>453.08</v>
      </c>
      <c r="CH30" s="46">
        <v>466.81</v>
      </c>
      <c r="CI30" s="46">
        <v>473.03</v>
      </c>
      <c r="CJ30" s="46">
        <v>515.4</v>
      </c>
      <c r="CK30" s="46">
        <v>580.48</v>
      </c>
      <c r="CL30" s="46">
        <v>600.87</v>
      </c>
      <c r="CM30" s="46">
        <v>622.96</v>
      </c>
      <c r="CN30" s="46">
        <v>632.5</v>
      </c>
      <c r="CO30" s="46">
        <v>654.70000000000005</v>
      </c>
      <c r="CP30" s="46">
        <v>749.06</v>
      </c>
      <c r="CQ30" s="46">
        <v>798.94</v>
      </c>
      <c r="CR30" s="46">
        <v>850.9</v>
      </c>
      <c r="CS30" s="46">
        <v>859.27</v>
      </c>
      <c r="CT30" s="46">
        <v>870.87</v>
      </c>
      <c r="CU30" s="46">
        <v>879.1</v>
      </c>
      <c r="CV30" s="46">
        <v>915.71</v>
      </c>
      <c r="CW30" s="46">
        <v>940.44</v>
      </c>
      <c r="CX30" s="46">
        <v>940.74</v>
      </c>
      <c r="CY30" s="46">
        <v>946.5</v>
      </c>
      <c r="CZ30" s="46">
        <v>948.87</v>
      </c>
      <c r="DA30" s="46">
        <v>997.78</v>
      </c>
      <c r="DB30" s="46">
        <v>1004.85</v>
      </c>
      <c r="DC30" s="46">
        <v>1024.1500000000001</v>
      </c>
      <c r="DD30" s="46">
        <v>1045.01</v>
      </c>
      <c r="DE30" s="46">
        <v>1062.32</v>
      </c>
      <c r="DF30" s="46">
        <v>1100.5</v>
      </c>
      <c r="DG30" s="46">
        <v>1121.2</v>
      </c>
      <c r="DH30" s="46">
        <v>1141.02</v>
      </c>
      <c r="DI30" s="46">
        <v>1157.55</v>
      </c>
      <c r="DJ30" s="46">
        <v>1168.55</v>
      </c>
      <c r="DK30" s="46">
        <v>1269.24</v>
      </c>
      <c r="DL30" s="46">
        <v>1281.29</v>
      </c>
      <c r="DM30" s="46">
        <v>1289.57</v>
      </c>
      <c r="DN30" s="46">
        <v>1400.25</v>
      </c>
      <c r="DO30" s="46">
        <v>1401.99</v>
      </c>
    </row>
    <row r="31" spans="1:119" s="4" customFormat="1" ht="14.25" x14ac:dyDescent="0.25">
      <c r="A31" s="252">
        <v>35</v>
      </c>
      <c r="B31" s="253"/>
      <c r="C31" s="45">
        <v>375.66</v>
      </c>
      <c r="D31" s="45">
        <v>409.18</v>
      </c>
      <c r="E31" s="45">
        <v>412.16</v>
      </c>
      <c r="F31" s="45">
        <v>430.33</v>
      </c>
      <c r="G31" s="45">
        <v>455.1</v>
      </c>
      <c r="H31" s="45">
        <v>468.89</v>
      </c>
      <c r="I31" s="45">
        <v>475.14</v>
      </c>
      <c r="J31" s="45">
        <v>517.69000000000005</v>
      </c>
      <c r="K31" s="45">
        <v>583.07000000000005</v>
      </c>
      <c r="L31" s="45">
        <v>603.54999999999995</v>
      </c>
      <c r="M31" s="45">
        <v>625.74</v>
      </c>
      <c r="N31" s="45">
        <v>635.32000000000005</v>
      </c>
      <c r="O31" s="45">
        <v>657.62</v>
      </c>
      <c r="P31" s="45">
        <v>752.39</v>
      </c>
      <c r="Q31" s="45">
        <v>802.5</v>
      </c>
      <c r="R31" s="45">
        <v>854.7</v>
      </c>
      <c r="S31" s="45">
        <v>863.1</v>
      </c>
      <c r="T31" s="45">
        <v>874.75</v>
      </c>
      <c r="U31" s="45">
        <v>883.01</v>
      </c>
      <c r="V31" s="45">
        <v>919.79</v>
      </c>
      <c r="W31" s="45">
        <v>944.63</v>
      </c>
      <c r="X31" s="45">
        <v>944.94</v>
      </c>
      <c r="Y31" s="45">
        <v>950.72</v>
      </c>
      <c r="Z31" s="45">
        <v>953.1</v>
      </c>
      <c r="AA31" s="45">
        <v>1002.22</v>
      </c>
      <c r="AB31" s="45">
        <v>1009.33</v>
      </c>
      <c r="AC31" s="45">
        <v>1028.72</v>
      </c>
      <c r="AD31" s="45">
        <v>1049.67</v>
      </c>
      <c r="AE31" s="45">
        <v>1067.06</v>
      </c>
      <c r="AF31" s="45">
        <v>1105.4000000000001</v>
      </c>
      <c r="AG31" s="45">
        <v>1126.2</v>
      </c>
      <c r="AH31" s="45">
        <v>1146.0999999999999</v>
      </c>
      <c r="AI31" s="45">
        <v>1162.71</v>
      </c>
      <c r="AJ31" s="45">
        <v>1173.76</v>
      </c>
      <c r="AK31" s="45">
        <v>1274.9000000000001</v>
      </c>
      <c r="AL31" s="45">
        <v>1287</v>
      </c>
      <c r="AM31" s="45">
        <v>1295.32</v>
      </c>
      <c r="AN31" s="45">
        <v>1406.49</v>
      </c>
      <c r="AO31" s="45">
        <v>1408.24</v>
      </c>
      <c r="AP31" s="45">
        <v>375.66</v>
      </c>
      <c r="AQ31" s="45">
        <v>409.18</v>
      </c>
      <c r="AR31" s="45">
        <v>412.16</v>
      </c>
      <c r="AS31" s="45">
        <v>430.33</v>
      </c>
      <c r="AT31" s="45">
        <v>455.1</v>
      </c>
      <c r="AU31" s="45">
        <v>468.89</v>
      </c>
      <c r="AV31" s="45">
        <v>475.14</v>
      </c>
      <c r="AW31" s="45">
        <v>517.69000000000005</v>
      </c>
      <c r="AX31" s="45">
        <v>583.07000000000005</v>
      </c>
      <c r="AY31" s="45">
        <v>603.54999999999995</v>
      </c>
      <c r="AZ31" s="45">
        <v>625.74</v>
      </c>
      <c r="BA31" s="45">
        <v>635.32000000000005</v>
      </c>
      <c r="BB31" s="45">
        <v>657.62</v>
      </c>
      <c r="BC31" s="45">
        <v>752.39</v>
      </c>
      <c r="BD31" s="45">
        <v>802.5</v>
      </c>
      <c r="BE31" s="45">
        <v>854.7</v>
      </c>
      <c r="BF31" s="45">
        <v>863.1</v>
      </c>
      <c r="BG31" s="45">
        <v>874.75</v>
      </c>
      <c r="BH31" s="45">
        <v>883.01</v>
      </c>
      <c r="BI31" s="45">
        <v>919.79</v>
      </c>
      <c r="BJ31" s="45">
        <v>944.63</v>
      </c>
      <c r="BK31" s="45">
        <v>944.94</v>
      </c>
      <c r="BL31" s="45">
        <v>950.72</v>
      </c>
      <c r="BM31" s="45">
        <v>953.1</v>
      </c>
      <c r="BN31" s="45">
        <v>1002.22</v>
      </c>
      <c r="BO31" s="45">
        <v>1009.33</v>
      </c>
      <c r="BP31" s="45">
        <v>1028.72</v>
      </c>
      <c r="BQ31" s="45">
        <v>1049.67</v>
      </c>
      <c r="BR31" s="45">
        <v>1067.06</v>
      </c>
      <c r="BS31" s="45">
        <v>1105.4000000000001</v>
      </c>
      <c r="BT31" s="45">
        <v>1126.2</v>
      </c>
      <c r="BU31" s="45">
        <v>1146.0999999999999</v>
      </c>
      <c r="BV31" s="45">
        <v>1162.71</v>
      </c>
      <c r="BW31" s="45">
        <v>1173.76</v>
      </c>
      <c r="BX31" s="45">
        <v>1274.9000000000001</v>
      </c>
      <c r="BY31" s="45">
        <v>1287</v>
      </c>
      <c r="BZ31" s="45">
        <v>1295.32</v>
      </c>
      <c r="CA31" s="45">
        <v>1406.49</v>
      </c>
      <c r="CB31" s="45">
        <v>1408.24</v>
      </c>
      <c r="CC31" s="45">
        <v>375.66</v>
      </c>
      <c r="CD31" s="45">
        <v>409.18</v>
      </c>
      <c r="CE31" s="45">
        <v>412.16</v>
      </c>
      <c r="CF31" s="45">
        <v>430.33</v>
      </c>
      <c r="CG31" s="45">
        <v>455.1</v>
      </c>
      <c r="CH31" s="45">
        <v>468.89</v>
      </c>
      <c r="CI31" s="45">
        <v>475.14</v>
      </c>
      <c r="CJ31" s="45">
        <v>517.69000000000005</v>
      </c>
      <c r="CK31" s="45">
        <v>583.07000000000005</v>
      </c>
      <c r="CL31" s="45">
        <v>603.54999999999995</v>
      </c>
      <c r="CM31" s="45">
        <v>625.74</v>
      </c>
      <c r="CN31" s="45">
        <v>635.32000000000005</v>
      </c>
      <c r="CO31" s="45">
        <v>657.62</v>
      </c>
      <c r="CP31" s="45">
        <v>752.39</v>
      </c>
      <c r="CQ31" s="45">
        <v>802.5</v>
      </c>
      <c r="CR31" s="45">
        <v>854.7</v>
      </c>
      <c r="CS31" s="45">
        <v>863.1</v>
      </c>
      <c r="CT31" s="45">
        <v>874.75</v>
      </c>
      <c r="CU31" s="45">
        <v>883.01</v>
      </c>
      <c r="CV31" s="45">
        <v>919.79</v>
      </c>
      <c r="CW31" s="45">
        <v>944.63</v>
      </c>
      <c r="CX31" s="45">
        <v>944.94</v>
      </c>
      <c r="CY31" s="45">
        <v>950.72</v>
      </c>
      <c r="CZ31" s="45">
        <v>953.1</v>
      </c>
      <c r="DA31" s="45">
        <v>1002.22</v>
      </c>
      <c r="DB31" s="45">
        <v>1009.33</v>
      </c>
      <c r="DC31" s="45">
        <v>1028.72</v>
      </c>
      <c r="DD31" s="45">
        <v>1049.67</v>
      </c>
      <c r="DE31" s="45">
        <v>1067.06</v>
      </c>
      <c r="DF31" s="45">
        <v>1105.4000000000001</v>
      </c>
      <c r="DG31" s="45">
        <v>1126.2</v>
      </c>
      <c r="DH31" s="45">
        <v>1146.0999999999999</v>
      </c>
      <c r="DI31" s="45">
        <v>1162.71</v>
      </c>
      <c r="DJ31" s="45">
        <v>1173.76</v>
      </c>
      <c r="DK31" s="45">
        <v>1274.9000000000001</v>
      </c>
      <c r="DL31" s="45">
        <v>1287</v>
      </c>
      <c r="DM31" s="45">
        <v>1295.32</v>
      </c>
      <c r="DN31" s="45">
        <v>1406.49</v>
      </c>
      <c r="DO31" s="45">
        <v>1408.24</v>
      </c>
    </row>
    <row r="32" spans="1:119" s="4" customFormat="1" ht="14.25" x14ac:dyDescent="0.25">
      <c r="A32" s="252">
        <v>36</v>
      </c>
      <c r="B32" s="253"/>
      <c r="C32" s="46">
        <v>377.33</v>
      </c>
      <c r="D32" s="46">
        <v>410.99</v>
      </c>
      <c r="E32" s="46">
        <v>413.99</v>
      </c>
      <c r="F32" s="46">
        <v>432.24</v>
      </c>
      <c r="G32" s="46">
        <v>457.12</v>
      </c>
      <c r="H32" s="46">
        <v>470.97</v>
      </c>
      <c r="I32" s="46">
        <v>477.25</v>
      </c>
      <c r="J32" s="46">
        <v>519.99</v>
      </c>
      <c r="K32" s="46">
        <v>585.66</v>
      </c>
      <c r="L32" s="46">
        <v>606.23</v>
      </c>
      <c r="M32" s="46">
        <v>628.52</v>
      </c>
      <c r="N32" s="46">
        <v>638.14</v>
      </c>
      <c r="O32" s="46">
        <v>660.53</v>
      </c>
      <c r="P32" s="46">
        <v>755.73</v>
      </c>
      <c r="Q32" s="46">
        <v>806.06</v>
      </c>
      <c r="R32" s="46">
        <v>858.49</v>
      </c>
      <c r="S32" s="46">
        <v>866.93</v>
      </c>
      <c r="T32" s="46">
        <v>878.63</v>
      </c>
      <c r="U32" s="46">
        <v>886.93</v>
      </c>
      <c r="V32" s="46">
        <v>923.87</v>
      </c>
      <c r="W32" s="46">
        <v>948.83</v>
      </c>
      <c r="X32" s="46">
        <v>949.13</v>
      </c>
      <c r="Y32" s="46">
        <v>954.94</v>
      </c>
      <c r="Z32" s="46">
        <v>957.33</v>
      </c>
      <c r="AA32" s="46">
        <v>1006.67</v>
      </c>
      <c r="AB32" s="46">
        <v>1013.81</v>
      </c>
      <c r="AC32" s="46">
        <v>1033.28</v>
      </c>
      <c r="AD32" s="46">
        <v>1054.33</v>
      </c>
      <c r="AE32" s="46">
        <v>1071.79</v>
      </c>
      <c r="AF32" s="46">
        <v>1110.31</v>
      </c>
      <c r="AG32" s="46">
        <v>1131.19</v>
      </c>
      <c r="AH32" s="46">
        <v>1151.19</v>
      </c>
      <c r="AI32" s="46">
        <v>1167.8699999999999</v>
      </c>
      <c r="AJ32" s="46">
        <v>1178.97</v>
      </c>
      <c r="AK32" s="46">
        <v>1280.56</v>
      </c>
      <c r="AL32" s="46">
        <v>1292.71</v>
      </c>
      <c r="AM32" s="46">
        <v>1301.07</v>
      </c>
      <c r="AN32" s="46">
        <v>1412.73</v>
      </c>
      <c r="AO32" s="46">
        <v>1414.49</v>
      </c>
      <c r="AP32" s="46">
        <v>377.33</v>
      </c>
      <c r="AQ32" s="46">
        <v>410.99</v>
      </c>
      <c r="AR32" s="46">
        <v>413.99</v>
      </c>
      <c r="AS32" s="46">
        <v>432.24</v>
      </c>
      <c r="AT32" s="46">
        <v>457.12</v>
      </c>
      <c r="AU32" s="46">
        <v>470.97</v>
      </c>
      <c r="AV32" s="46">
        <v>477.25</v>
      </c>
      <c r="AW32" s="46">
        <v>519.99</v>
      </c>
      <c r="AX32" s="46">
        <v>585.66</v>
      </c>
      <c r="AY32" s="46">
        <v>606.23</v>
      </c>
      <c r="AZ32" s="46">
        <v>628.52</v>
      </c>
      <c r="BA32" s="46">
        <v>638.14</v>
      </c>
      <c r="BB32" s="46">
        <v>660.53</v>
      </c>
      <c r="BC32" s="46">
        <v>755.73</v>
      </c>
      <c r="BD32" s="46">
        <v>806.06</v>
      </c>
      <c r="BE32" s="46">
        <v>858.49</v>
      </c>
      <c r="BF32" s="46">
        <v>866.93</v>
      </c>
      <c r="BG32" s="46">
        <v>878.63</v>
      </c>
      <c r="BH32" s="46">
        <v>886.93</v>
      </c>
      <c r="BI32" s="46">
        <v>923.87</v>
      </c>
      <c r="BJ32" s="46">
        <v>948.83</v>
      </c>
      <c r="BK32" s="46">
        <v>949.13</v>
      </c>
      <c r="BL32" s="46">
        <v>954.94</v>
      </c>
      <c r="BM32" s="46">
        <v>957.33</v>
      </c>
      <c r="BN32" s="46">
        <v>1006.67</v>
      </c>
      <c r="BO32" s="46">
        <v>1013.81</v>
      </c>
      <c r="BP32" s="46">
        <v>1033.28</v>
      </c>
      <c r="BQ32" s="46">
        <v>1054.33</v>
      </c>
      <c r="BR32" s="46">
        <v>1071.79</v>
      </c>
      <c r="BS32" s="46">
        <v>1110.31</v>
      </c>
      <c r="BT32" s="46">
        <v>1131.19</v>
      </c>
      <c r="BU32" s="46">
        <v>1151.19</v>
      </c>
      <c r="BV32" s="46">
        <v>1167.8699999999999</v>
      </c>
      <c r="BW32" s="46">
        <v>1178.97</v>
      </c>
      <c r="BX32" s="46">
        <v>1280.56</v>
      </c>
      <c r="BY32" s="46">
        <v>1292.71</v>
      </c>
      <c r="BZ32" s="46">
        <v>1301.07</v>
      </c>
      <c r="CA32" s="46">
        <v>1412.73</v>
      </c>
      <c r="CB32" s="46">
        <v>1414.49</v>
      </c>
      <c r="CC32" s="46">
        <v>377.33</v>
      </c>
      <c r="CD32" s="46">
        <v>410.99</v>
      </c>
      <c r="CE32" s="46">
        <v>413.99</v>
      </c>
      <c r="CF32" s="46">
        <v>432.24</v>
      </c>
      <c r="CG32" s="46">
        <v>457.12</v>
      </c>
      <c r="CH32" s="46">
        <v>470.97</v>
      </c>
      <c r="CI32" s="46">
        <v>477.25</v>
      </c>
      <c r="CJ32" s="46">
        <v>519.99</v>
      </c>
      <c r="CK32" s="46">
        <v>585.66</v>
      </c>
      <c r="CL32" s="46">
        <v>606.23</v>
      </c>
      <c r="CM32" s="46">
        <v>628.52</v>
      </c>
      <c r="CN32" s="46">
        <v>638.14</v>
      </c>
      <c r="CO32" s="46">
        <v>660.53</v>
      </c>
      <c r="CP32" s="46">
        <v>755.73</v>
      </c>
      <c r="CQ32" s="46">
        <v>806.06</v>
      </c>
      <c r="CR32" s="46">
        <v>858.49</v>
      </c>
      <c r="CS32" s="46">
        <v>866.93</v>
      </c>
      <c r="CT32" s="46">
        <v>878.63</v>
      </c>
      <c r="CU32" s="46">
        <v>886.93</v>
      </c>
      <c r="CV32" s="46">
        <v>923.87</v>
      </c>
      <c r="CW32" s="46">
        <v>948.83</v>
      </c>
      <c r="CX32" s="46">
        <v>949.13</v>
      </c>
      <c r="CY32" s="46">
        <v>954.94</v>
      </c>
      <c r="CZ32" s="46">
        <v>957.33</v>
      </c>
      <c r="DA32" s="46">
        <v>1006.67</v>
      </c>
      <c r="DB32" s="46">
        <v>1013.81</v>
      </c>
      <c r="DC32" s="46">
        <v>1033.28</v>
      </c>
      <c r="DD32" s="46">
        <v>1054.33</v>
      </c>
      <c r="DE32" s="46">
        <v>1071.79</v>
      </c>
      <c r="DF32" s="46">
        <v>1110.31</v>
      </c>
      <c r="DG32" s="46">
        <v>1131.19</v>
      </c>
      <c r="DH32" s="46">
        <v>1151.19</v>
      </c>
      <c r="DI32" s="46">
        <v>1167.8699999999999</v>
      </c>
      <c r="DJ32" s="46">
        <v>1178.97</v>
      </c>
      <c r="DK32" s="46">
        <v>1280.56</v>
      </c>
      <c r="DL32" s="46">
        <v>1292.71</v>
      </c>
      <c r="DM32" s="46">
        <v>1301.07</v>
      </c>
      <c r="DN32" s="46">
        <v>1412.73</v>
      </c>
      <c r="DO32" s="46">
        <v>1414.49</v>
      </c>
    </row>
    <row r="33" spans="1:119" s="4" customFormat="1" ht="14.25" x14ac:dyDescent="0.25">
      <c r="A33" s="252">
        <v>37</v>
      </c>
      <c r="B33" s="253"/>
      <c r="C33" s="46">
        <v>378.72</v>
      </c>
      <c r="D33" s="46">
        <v>412.51</v>
      </c>
      <c r="E33" s="46">
        <v>415.52</v>
      </c>
      <c r="F33" s="46">
        <v>433.83</v>
      </c>
      <c r="G33" s="46">
        <v>458.8</v>
      </c>
      <c r="H33" s="46">
        <v>472.71</v>
      </c>
      <c r="I33" s="46">
        <v>479</v>
      </c>
      <c r="J33" s="46">
        <v>521.9</v>
      </c>
      <c r="K33" s="46">
        <v>587.80999999999995</v>
      </c>
      <c r="L33" s="46">
        <v>608.46</v>
      </c>
      <c r="M33" s="46">
        <v>630.83000000000004</v>
      </c>
      <c r="N33" s="46">
        <v>640.49</v>
      </c>
      <c r="O33" s="46">
        <v>662.97</v>
      </c>
      <c r="P33" s="46">
        <v>758.52</v>
      </c>
      <c r="Q33" s="46">
        <v>809.03</v>
      </c>
      <c r="R33" s="46">
        <v>861.65</v>
      </c>
      <c r="S33" s="46">
        <v>870.13</v>
      </c>
      <c r="T33" s="46">
        <v>881.87</v>
      </c>
      <c r="U33" s="46">
        <v>890.2</v>
      </c>
      <c r="V33" s="46">
        <v>927.27</v>
      </c>
      <c r="W33" s="46">
        <v>952.32</v>
      </c>
      <c r="X33" s="46">
        <v>952.62</v>
      </c>
      <c r="Y33" s="46">
        <v>958.45</v>
      </c>
      <c r="Z33" s="46">
        <v>960.85</v>
      </c>
      <c r="AA33" s="46">
        <v>1010.38</v>
      </c>
      <c r="AB33" s="46">
        <v>1017.54</v>
      </c>
      <c r="AC33" s="46">
        <v>1037.0899999999999</v>
      </c>
      <c r="AD33" s="46">
        <v>1058.21</v>
      </c>
      <c r="AE33" s="46">
        <v>1075.74</v>
      </c>
      <c r="AF33" s="46">
        <v>1114.4000000000001</v>
      </c>
      <c r="AG33" s="46">
        <v>1135.3599999999999</v>
      </c>
      <c r="AH33" s="46">
        <v>1155.43</v>
      </c>
      <c r="AI33" s="46">
        <v>1172.17</v>
      </c>
      <c r="AJ33" s="46">
        <v>1183.31</v>
      </c>
      <c r="AK33" s="46">
        <v>1285.27</v>
      </c>
      <c r="AL33" s="46">
        <v>1297.47</v>
      </c>
      <c r="AM33" s="46">
        <v>1305.8599999999999</v>
      </c>
      <c r="AN33" s="46">
        <v>1417.93</v>
      </c>
      <c r="AO33" s="46">
        <v>1419.7</v>
      </c>
      <c r="AP33" s="46">
        <v>378.72</v>
      </c>
      <c r="AQ33" s="46">
        <v>412.51</v>
      </c>
      <c r="AR33" s="46">
        <v>415.52</v>
      </c>
      <c r="AS33" s="46">
        <v>433.83</v>
      </c>
      <c r="AT33" s="46">
        <v>458.8</v>
      </c>
      <c r="AU33" s="46">
        <v>472.71</v>
      </c>
      <c r="AV33" s="46">
        <v>479</v>
      </c>
      <c r="AW33" s="46">
        <v>521.9</v>
      </c>
      <c r="AX33" s="46">
        <v>587.80999999999995</v>
      </c>
      <c r="AY33" s="46">
        <v>608.46</v>
      </c>
      <c r="AZ33" s="46">
        <v>630.83000000000004</v>
      </c>
      <c r="BA33" s="46">
        <v>640.49</v>
      </c>
      <c r="BB33" s="46">
        <v>662.97</v>
      </c>
      <c r="BC33" s="46">
        <v>758.52</v>
      </c>
      <c r="BD33" s="46">
        <v>809.03</v>
      </c>
      <c r="BE33" s="46">
        <v>861.65</v>
      </c>
      <c r="BF33" s="46">
        <v>870.13</v>
      </c>
      <c r="BG33" s="46">
        <v>881.87</v>
      </c>
      <c r="BH33" s="46">
        <v>890.2</v>
      </c>
      <c r="BI33" s="46">
        <v>927.27</v>
      </c>
      <c r="BJ33" s="46">
        <v>952.32</v>
      </c>
      <c r="BK33" s="46">
        <v>952.62</v>
      </c>
      <c r="BL33" s="46">
        <v>958.45</v>
      </c>
      <c r="BM33" s="46">
        <v>960.85</v>
      </c>
      <c r="BN33" s="46">
        <v>1010.38</v>
      </c>
      <c r="BO33" s="46">
        <v>1017.54</v>
      </c>
      <c r="BP33" s="46">
        <v>1037.0899999999999</v>
      </c>
      <c r="BQ33" s="46">
        <v>1058.21</v>
      </c>
      <c r="BR33" s="46">
        <v>1075.74</v>
      </c>
      <c r="BS33" s="46">
        <v>1114.4000000000001</v>
      </c>
      <c r="BT33" s="46">
        <v>1135.3599999999999</v>
      </c>
      <c r="BU33" s="46">
        <v>1155.43</v>
      </c>
      <c r="BV33" s="46">
        <v>1172.17</v>
      </c>
      <c r="BW33" s="46">
        <v>1183.31</v>
      </c>
      <c r="BX33" s="46">
        <v>1285.27</v>
      </c>
      <c r="BY33" s="46">
        <v>1297.47</v>
      </c>
      <c r="BZ33" s="46">
        <v>1305.8599999999999</v>
      </c>
      <c r="CA33" s="46">
        <v>1417.93</v>
      </c>
      <c r="CB33" s="46">
        <v>1419.7</v>
      </c>
      <c r="CC33" s="46">
        <v>378.72</v>
      </c>
      <c r="CD33" s="46">
        <v>412.51</v>
      </c>
      <c r="CE33" s="46">
        <v>415.52</v>
      </c>
      <c r="CF33" s="46">
        <v>433.83</v>
      </c>
      <c r="CG33" s="46">
        <v>458.8</v>
      </c>
      <c r="CH33" s="46">
        <v>472.71</v>
      </c>
      <c r="CI33" s="46">
        <v>479</v>
      </c>
      <c r="CJ33" s="46">
        <v>521.9</v>
      </c>
      <c r="CK33" s="46">
        <v>587.80999999999995</v>
      </c>
      <c r="CL33" s="46">
        <v>608.46</v>
      </c>
      <c r="CM33" s="46">
        <v>630.83000000000004</v>
      </c>
      <c r="CN33" s="46">
        <v>640.49</v>
      </c>
      <c r="CO33" s="46">
        <v>662.97</v>
      </c>
      <c r="CP33" s="46">
        <v>758.52</v>
      </c>
      <c r="CQ33" s="46">
        <v>809.03</v>
      </c>
      <c r="CR33" s="46">
        <v>861.65</v>
      </c>
      <c r="CS33" s="46">
        <v>870.13</v>
      </c>
      <c r="CT33" s="46">
        <v>881.87</v>
      </c>
      <c r="CU33" s="46">
        <v>890.2</v>
      </c>
      <c r="CV33" s="46">
        <v>927.27</v>
      </c>
      <c r="CW33" s="46">
        <v>952.32</v>
      </c>
      <c r="CX33" s="46">
        <v>952.62</v>
      </c>
      <c r="CY33" s="46">
        <v>958.45</v>
      </c>
      <c r="CZ33" s="46">
        <v>960.85</v>
      </c>
      <c r="DA33" s="46">
        <v>1010.38</v>
      </c>
      <c r="DB33" s="46">
        <v>1017.54</v>
      </c>
      <c r="DC33" s="46">
        <v>1037.0899999999999</v>
      </c>
      <c r="DD33" s="46">
        <v>1058.21</v>
      </c>
      <c r="DE33" s="46">
        <v>1075.74</v>
      </c>
      <c r="DF33" s="46">
        <v>1114.4000000000001</v>
      </c>
      <c r="DG33" s="46">
        <v>1135.3599999999999</v>
      </c>
      <c r="DH33" s="46">
        <v>1155.43</v>
      </c>
      <c r="DI33" s="46">
        <v>1172.17</v>
      </c>
      <c r="DJ33" s="46">
        <v>1183.31</v>
      </c>
      <c r="DK33" s="46">
        <v>1285.27</v>
      </c>
      <c r="DL33" s="46">
        <v>1297.47</v>
      </c>
      <c r="DM33" s="46">
        <v>1305.8599999999999</v>
      </c>
      <c r="DN33" s="46">
        <v>1417.93</v>
      </c>
      <c r="DO33" s="46">
        <v>1419.7</v>
      </c>
    </row>
    <row r="34" spans="1:119" s="4" customFormat="1" ht="14.25" x14ac:dyDescent="0.25">
      <c r="A34" s="252">
        <v>38</v>
      </c>
      <c r="B34" s="253"/>
      <c r="C34" s="45">
        <v>380.39</v>
      </c>
      <c r="D34" s="45">
        <v>414.32</v>
      </c>
      <c r="E34" s="45">
        <v>417.34</v>
      </c>
      <c r="F34" s="45">
        <v>435.74</v>
      </c>
      <c r="G34" s="45">
        <v>460.82</v>
      </c>
      <c r="H34" s="45">
        <v>474.79</v>
      </c>
      <c r="I34" s="45">
        <v>481.11</v>
      </c>
      <c r="J34" s="45">
        <v>524.20000000000005</v>
      </c>
      <c r="K34" s="45">
        <v>590.4</v>
      </c>
      <c r="L34" s="45">
        <v>611.14</v>
      </c>
      <c r="M34" s="45">
        <v>633.61</v>
      </c>
      <c r="N34" s="45">
        <v>643.30999999999995</v>
      </c>
      <c r="O34" s="45">
        <v>665.88</v>
      </c>
      <c r="P34" s="45">
        <v>761.85</v>
      </c>
      <c r="Q34" s="45">
        <v>812.59</v>
      </c>
      <c r="R34" s="45">
        <v>865.44</v>
      </c>
      <c r="S34" s="45">
        <v>873.96</v>
      </c>
      <c r="T34" s="45">
        <v>885.75</v>
      </c>
      <c r="U34" s="45">
        <v>894.12</v>
      </c>
      <c r="V34" s="45">
        <v>931.36</v>
      </c>
      <c r="W34" s="45">
        <v>956.51</v>
      </c>
      <c r="X34" s="45">
        <v>956.82</v>
      </c>
      <c r="Y34" s="45">
        <v>962.67</v>
      </c>
      <c r="Z34" s="45">
        <v>965.08</v>
      </c>
      <c r="AA34" s="45">
        <v>1014.82</v>
      </c>
      <c r="AB34" s="45">
        <v>1022.02</v>
      </c>
      <c r="AC34" s="45">
        <v>1041.6500000000001</v>
      </c>
      <c r="AD34" s="45">
        <v>1062.8699999999999</v>
      </c>
      <c r="AE34" s="45">
        <v>1080.47</v>
      </c>
      <c r="AF34" s="45">
        <v>1119.3</v>
      </c>
      <c r="AG34" s="45">
        <v>1140.3599999999999</v>
      </c>
      <c r="AH34" s="45">
        <v>1160.52</v>
      </c>
      <c r="AI34" s="45">
        <v>1177.33</v>
      </c>
      <c r="AJ34" s="45">
        <v>1188.52</v>
      </c>
      <c r="AK34" s="45">
        <v>1290.93</v>
      </c>
      <c r="AL34" s="45">
        <v>1303.18</v>
      </c>
      <c r="AM34" s="45">
        <v>1311.61</v>
      </c>
      <c r="AN34" s="45">
        <v>1424.18</v>
      </c>
      <c r="AO34" s="45">
        <v>1425.95</v>
      </c>
      <c r="AP34" s="45">
        <v>380.39</v>
      </c>
      <c r="AQ34" s="45">
        <v>414.32</v>
      </c>
      <c r="AR34" s="45">
        <v>417.34</v>
      </c>
      <c r="AS34" s="45">
        <v>435.74</v>
      </c>
      <c r="AT34" s="45">
        <v>460.82</v>
      </c>
      <c r="AU34" s="45">
        <v>474.79</v>
      </c>
      <c r="AV34" s="45">
        <v>481.11</v>
      </c>
      <c r="AW34" s="45">
        <v>524.20000000000005</v>
      </c>
      <c r="AX34" s="45">
        <v>590.4</v>
      </c>
      <c r="AY34" s="45">
        <v>611.14</v>
      </c>
      <c r="AZ34" s="45">
        <v>633.61</v>
      </c>
      <c r="BA34" s="45">
        <v>643.30999999999995</v>
      </c>
      <c r="BB34" s="45">
        <v>665.88</v>
      </c>
      <c r="BC34" s="45">
        <v>761.85</v>
      </c>
      <c r="BD34" s="45">
        <v>812.59</v>
      </c>
      <c r="BE34" s="45">
        <v>865.44</v>
      </c>
      <c r="BF34" s="45">
        <v>873.96</v>
      </c>
      <c r="BG34" s="45">
        <v>885.75</v>
      </c>
      <c r="BH34" s="45">
        <v>894.12</v>
      </c>
      <c r="BI34" s="45">
        <v>931.36</v>
      </c>
      <c r="BJ34" s="45">
        <v>956.51</v>
      </c>
      <c r="BK34" s="45">
        <v>956.82</v>
      </c>
      <c r="BL34" s="45">
        <v>962.67</v>
      </c>
      <c r="BM34" s="45">
        <v>965.08</v>
      </c>
      <c r="BN34" s="45">
        <v>1014.82</v>
      </c>
      <c r="BO34" s="45">
        <v>1022.02</v>
      </c>
      <c r="BP34" s="45">
        <v>1041.6500000000001</v>
      </c>
      <c r="BQ34" s="45">
        <v>1062.8699999999999</v>
      </c>
      <c r="BR34" s="45">
        <v>1080.47</v>
      </c>
      <c r="BS34" s="45">
        <v>1119.3</v>
      </c>
      <c r="BT34" s="45">
        <v>1140.3599999999999</v>
      </c>
      <c r="BU34" s="45">
        <v>1160.52</v>
      </c>
      <c r="BV34" s="45">
        <v>1177.33</v>
      </c>
      <c r="BW34" s="45">
        <v>1188.52</v>
      </c>
      <c r="BX34" s="45">
        <v>1290.93</v>
      </c>
      <c r="BY34" s="45">
        <v>1303.18</v>
      </c>
      <c r="BZ34" s="45">
        <v>1311.61</v>
      </c>
      <c r="CA34" s="45">
        <v>1424.18</v>
      </c>
      <c r="CB34" s="45">
        <v>1425.95</v>
      </c>
      <c r="CC34" s="45">
        <v>380.39</v>
      </c>
      <c r="CD34" s="45">
        <v>414.32</v>
      </c>
      <c r="CE34" s="45">
        <v>417.34</v>
      </c>
      <c r="CF34" s="45">
        <v>435.74</v>
      </c>
      <c r="CG34" s="45">
        <v>460.82</v>
      </c>
      <c r="CH34" s="45">
        <v>474.79</v>
      </c>
      <c r="CI34" s="45">
        <v>481.11</v>
      </c>
      <c r="CJ34" s="45">
        <v>524.20000000000005</v>
      </c>
      <c r="CK34" s="45">
        <v>590.4</v>
      </c>
      <c r="CL34" s="45">
        <v>611.14</v>
      </c>
      <c r="CM34" s="45">
        <v>633.61</v>
      </c>
      <c r="CN34" s="45">
        <v>643.30999999999995</v>
      </c>
      <c r="CO34" s="45">
        <v>665.88</v>
      </c>
      <c r="CP34" s="45">
        <v>761.85</v>
      </c>
      <c r="CQ34" s="45">
        <v>812.59</v>
      </c>
      <c r="CR34" s="45">
        <v>865.44</v>
      </c>
      <c r="CS34" s="45">
        <v>873.96</v>
      </c>
      <c r="CT34" s="45">
        <v>885.75</v>
      </c>
      <c r="CU34" s="45">
        <v>894.12</v>
      </c>
      <c r="CV34" s="45">
        <v>931.36</v>
      </c>
      <c r="CW34" s="45">
        <v>956.51</v>
      </c>
      <c r="CX34" s="45">
        <v>956.82</v>
      </c>
      <c r="CY34" s="45">
        <v>962.67</v>
      </c>
      <c r="CZ34" s="45">
        <v>965.08</v>
      </c>
      <c r="DA34" s="45">
        <v>1014.82</v>
      </c>
      <c r="DB34" s="45">
        <v>1022.02</v>
      </c>
      <c r="DC34" s="45">
        <v>1041.6500000000001</v>
      </c>
      <c r="DD34" s="45">
        <v>1062.8699999999999</v>
      </c>
      <c r="DE34" s="45">
        <v>1080.47</v>
      </c>
      <c r="DF34" s="45">
        <v>1119.3</v>
      </c>
      <c r="DG34" s="45">
        <v>1140.3599999999999</v>
      </c>
      <c r="DH34" s="45">
        <v>1160.52</v>
      </c>
      <c r="DI34" s="45">
        <v>1177.33</v>
      </c>
      <c r="DJ34" s="45">
        <v>1188.52</v>
      </c>
      <c r="DK34" s="45">
        <v>1290.93</v>
      </c>
      <c r="DL34" s="45">
        <v>1303.18</v>
      </c>
      <c r="DM34" s="45">
        <v>1311.61</v>
      </c>
      <c r="DN34" s="45">
        <v>1424.18</v>
      </c>
      <c r="DO34" s="45">
        <v>1425.95</v>
      </c>
    </row>
    <row r="35" spans="1:119" s="4" customFormat="1" ht="14.25" x14ac:dyDescent="0.25">
      <c r="A35" s="252">
        <v>39</v>
      </c>
      <c r="B35" s="253"/>
      <c r="C35" s="46">
        <v>383.72</v>
      </c>
      <c r="D35" s="46">
        <v>417.95</v>
      </c>
      <c r="E35" s="46">
        <v>421</v>
      </c>
      <c r="F35" s="46">
        <v>439.56</v>
      </c>
      <c r="G35" s="46">
        <v>464.86</v>
      </c>
      <c r="H35" s="46">
        <v>478.95</v>
      </c>
      <c r="I35" s="46">
        <v>485.33</v>
      </c>
      <c r="J35" s="46">
        <v>528.79999999999995</v>
      </c>
      <c r="K35" s="46">
        <v>595.57000000000005</v>
      </c>
      <c r="L35" s="46">
        <v>616.49</v>
      </c>
      <c r="M35" s="46">
        <v>639.16</v>
      </c>
      <c r="N35" s="46">
        <v>648.95000000000005</v>
      </c>
      <c r="O35" s="46">
        <v>671.72</v>
      </c>
      <c r="P35" s="46">
        <v>768.53</v>
      </c>
      <c r="Q35" s="46">
        <v>819.71</v>
      </c>
      <c r="R35" s="46">
        <v>873.03</v>
      </c>
      <c r="S35" s="46">
        <v>881.62</v>
      </c>
      <c r="T35" s="46">
        <v>893.51</v>
      </c>
      <c r="U35" s="46">
        <v>901.95</v>
      </c>
      <c r="V35" s="46">
        <v>939.52</v>
      </c>
      <c r="W35" s="46">
        <v>964.89</v>
      </c>
      <c r="X35" s="46">
        <v>965.2</v>
      </c>
      <c r="Y35" s="46">
        <v>971.11</v>
      </c>
      <c r="Z35" s="46">
        <v>973.54</v>
      </c>
      <c r="AA35" s="46">
        <v>1023.72</v>
      </c>
      <c r="AB35" s="46">
        <v>1030.98</v>
      </c>
      <c r="AC35" s="46">
        <v>1050.78</v>
      </c>
      <c r="AD35" s="46">
        <v>1072.18</v>
      </c>
      <c r="AE35" s="46">
        <v>1089.94</v>
      </c>
      <c r="AF35" s="46">
        <v>1129.1099999999999</v>
      </c>
      <c r="AG35" s="46">
        <v>1150.3499999999999</v>
      </c>
      <c r="AH35" s="46">
        <v>1170.69</v>
      </c>
      <c r="AI35" s="46">
        <v>1187.6500000000001</v>
      </c>
      <c r="AJ35" s="46">
        <v>1198.94</v>
      </c>
      <c r="AK35" s="46">
        <v>1302.24</v>
      </c>
      <c r="AL35" s="46">
        <v>1314.61</v>
      </c>
      <c r="AM35" s="46">
        <v>1323.1</v>
      </c>
      <c r="AN35" s="46">
        <v>1436.66</v>
      </c>
      <c r="AO35" s="46">
        <v>1438.45</v>
      </c>
      <c r="AP35" s="46">
        <v>383.72</v>
      </c>
      <c r="AQ35" s="46">
        <v>417.95</v>
      </c>
      <c r="AR35" s="46">
        <v>421</v>
      </c>
      <c r="AS35" s="46">
        <v>439.56</v>
      </c>
      <c r="AT35" s="46">
        <v>464.86</v>
      </c>
      <c r="AU35" s="46">
        <v>478.95</v>
      </c>
      <c r="AV35" s="46">
        <v>485.33</v>
      </c>
      <c r="AW35" s="46">
        <v>528.79999999999995</v>
      </c>
      <c r="AX35" s="46">
        <v>595.57000000000005</v>
      </c>
      <c r="AY35" s="46">
        <v>616.49</v>
      </c>
      <c r="AZ35" s="46">
        <v>639.16</v>
      </c>
      <c r="BA35" s="46">
        <v>648.95000000000005</v>
      </c>
      <c r="BB35" s="46">
        <v>671.72</v>
      </c>
      <c r="BC35" s="46">
        <v>768.53</v>
      </c>
      <c r="BD35" s="46">
        <v>819.71</v>
      </c>
      <c r="BE35" s="46">
        <v>873.03</v>
      </c>
      <c r="BF35" s="46">
        <v>881.62</v>
      </c>
      <c r="BG35" s="46">
        <v>893.51</v>
      </c>
      <c r="BH35" s="46">
        <v>901.95</v>
      </c>
      <c r="BI35" s="46">
        <v>939.52</v>
      </c>
      <c r="BJ35" s="46">
        <v>964.89</v>
      </c>
      <c r="BK35" s="46">
        <v>965.2</v>
      </c>
      <c r="BL35" s="46">
        <v>971.11</v>
      </c>
      <c r="BM35" s="46">
        <v>973.54</v>
      </c>
      <c r="BN35" s="46">
        <v>1023.72</v>
      </c>
      <c r="BO35" s="46">
        <v>1030.98</v>
      </c>
      <c r="BP35" s="46">
        <v>1050.78</v>
      </c>
      <c r="BQ35" s="46">
        <v>1072.18</v>
      </c>
      <c r="BR35" s="46">
        <v>1089.94</v>
      </c>
      <c r="BS35" s="46">
        <v>1129.1099999999999</v>
      </c>
      <c r="BT35" s="46">
        <v>1150.3499999999999</v>
      </c>
      <c r="BU35" s="46">
        <v>1170.69</v>
      </c>
      <c r="BV35" s="46">
        <v>1187.6500000000001</v>
      </c>
      <c r="BW35" s="46">
        <v>1198.94</v>
      </c>
      <c r="BX35" s="46">
        <v>1302.24</v>
      </c>
      <c r="BY35" s="46">
        <v>1314.61</v>
      </c>
      <c r="BZ35" s="46">
        <v>1323.1</v>
      </c>
      <c r="CA35" s="46">
        <v>1436.66</v>
      </c>
      <c r="CB35" s="46">
        <v>1438.45</v>
      </c>
      <c r="CC35" s="46">
        <v>383.72</v>
      </c>
      <c r="CD35" s="46">
        <v>417.95</v>
      </c>
      <c r="CE35" s="46">
        <v>421</v>
      </c>
      <c r="CF35" s="46">
        <v>439.56</v>
      </c>
      <c r="CG35" s="46">
        <v>464.86</v>
      </c>
      <c r="CH35" s="46">
        <v>478.95</v>
      </c>
      <c r="CI35" s="46">
        <v>485.33</v>
      </c>
      <c r="CJ35" s="46">
        <v>528.79999999999995</v>
      </c>
      <c r="CK35" s="46">
        <v>595.57000000000005</v>
      </c>
      <c r="CL35" s="46">
        <v>616.49</v>
      </c>
      <c r="CM35" s="46">
        <v>639.16</v>
      </c>
      <c r="CN35" s="46">
        <v>648.95000000000005</v>
      </c>
      <c r="CO35" s="46">
        <v>671.72</v>
      </c>
      <c r="CP35" s="46">
        <v>768.53</v>
      </c>
      <c r="CQ35" s="46">
        <v>819.71</v>
      </c>
      <c r="CR35" s="46">
        <v>873.03</v>
      </c>
      <c r="CS35" s="46">
        <v>881.62</v>
      </c>
      <c r="CT35" s="46">
        <v>893.51</v>
      </c>
      <c r="CU35" s="46">
        <v>901.95</v>
      </c>
      <c r="CV35" s="46">
        <v>939.52</v>
      </c>
      <c r="CW35" s="46">
        <v>964.89</v>
      </c>
      <c r="CX35" s="46">
        <v>965.2</v>
      </c>
      <c r="CY35" s="46">
        <v>971.11</v>
      </c>
      <c r="CZ35" s="46">
        <v>973.54</v>
      </c>
      <c r="DA35" s="46">
        <v>1023.72</v>
      </c>
      <c r="DB35" s="46">
        <v>1030.98</v>
      </c>
      <c r="DC35" s="46">
        <v>1050.78</v>
      </c>
      <c r="DD35" s="46">
        <v>1072.18</v>
      </c>
      <c r="DE35" s="46">
        <v>1089.94</v>
      </c>
      <c r="DF35" s="46">
        <v>1129.1099999999999</v>
      </c>
      <c r="DG35" s="46">
        <v>1150.3499999999999</v>
      </c>
      <c r="DH35" s="46">
        <v>1170.69</v>
      </c>
      <c r="DI35" s="46">
        <v>1187.6500000000001</v>
      </c>
      <c r="DJ35" s="46">
        <v>1198.94</v>
      </c>
      <c r="DK35" s="46">
        <v>1302.24</v>
      </c>
      <c r="DL35" s="46">
        <v>1314.61</v>
      </c>
      <c r="DM35" s="46">
        <v>1323.1</v>
      </c>
      <c r="DN35" s="46">
        <v>1436.66</v>
      </c>
      <c r="DO35" s="46">
        <v>1438.45</v>
      </c>
    </row>
    <row r="36" spans="1:119" s="4" customFormat="1" ht="14.25" x14ac:dyDescent="0.25">
      <c r="A36" s="252">
        <v>40</v>
      </c>
      <c r="B36" s="253"/>
      <c r="C36" s="46">
        <v>387.06</v>
      </c>
      <c r="D36" s="46">
        <v>421.59</v>
      </c>
      <c r="E36" s="46">
        <v>424.66</v>
      </c>
      <c r="F36" s="46">
        <v>443.38</v>
      </c>
      <c r="G36" s="46">
        <v>468.9</v>
      </c>
      <c r="H36" s="46">
        <v>483.11</v>
      </c>
      <c r="I36" s="46">
        <v>489.55</v>
      </c>
      <c r="J36" s="46">
        <v>533.39</v>
      </c>
      <c r="K36" s="46">
        <v>600.75</v>
      </c>
      <c r="L36" s="46">
        <v>621.85</v>
      </c>
      <c r="M36" s="46">
        <v>644.72</v>
      </c>
      <c r="N36" s="46">
        <v>654.59</v>
      </c>
      <c r="O36" s="46">
        <v>677.56</v>
      </c>
      <c r="P36" s="46">
        <v>775.21</v>
      </c>
      <c r="Q36" s="46">
        <v>826.83</v>
      </c>
      <c r="R36" s="46">
        <v>880.62</v>
      </c>
      <c r="S36" s="46">
        <v>889.28</v>
      </c>
      <c r="T36" s="46">
        <v>901.28</v>
      </c>
      <c r="U36" s="46">
        <v>909.79</v>
      </c>
      <c r="V36" s="46">
        <v>947.68</v>
      </c>
      <c r="W36" s="46">
        <v>973.28</v>
      </c>
      <c r="X36" s="46">
        <v>973.59</v>
      </c>
      <c r="Y36" s="46">
        <v>979.55</v>
      </c>
      <c r="Z36" s="46">
        <v>982</v>
      </c>
      <c r="AA36" s="46">
        <v>1032.6199999999999</v>
      </c>
      <c r="AB36" s="46">
        <v>1039.94</v>
      </c>
      <c r="AC36" s="46">
        <v>1059.9100000000001</v>
      </c>
      <c r="AD36" s="46">
        <v>1081.5</v>
      </c>
      <c r="AE36" s="46">
        <v>1099.42</v>
      </c>
      <c r="AF36" s="46">
        <v>1138.93</v>
      </c>
      <c r="AG36" s="46">
        <v>1160.3499999999999</v>
      </c>
      <c r="AH36" s="46">
        <v>1180.8599999999999</v>
      </c>
      <c r="AI36" s="46">
        <v>1197.97</v>
      </c>
      <c r="AJ36" s="46">
        <v>1209.3499999999999</v>
      </c>
      <c r="AK36" s="46">
        <v>1313.56</v>
      </c>
      <c r="AL36" s="46">
        <v>1326.03</v>
      </c>
      <c r="AM36" s="46">
        <v>1334.6</v>
      </c>
      <c r="AN36" s="46">
        <v>1449.14</v>
      </c>
      <c r="AO36" s="46">
        <v>1450.95</v>
      </c>
      <c r="AP36" s="46">
        <v>387.06</v>
      </c>
      <c r="AQ36" s="46">
        <v>421.59</v>
      </c>
      <c r="AR36" s="46">
        <v>424.66</v>
      </c>
      <c r="AS36" s="46">
        <v>443.38</v>
      </c>
      <c r="AT36" s="46">
        <v>468.9</v>
      </c>
      <c r="AU36" s="46">
        <v>483.11</v>
      </c>
      <c r="AV36" s="46">
        <v>489.55</v>
      </c>
      <c r="AW36" s="46">
        <v>533.39</v>
      </c>
      <c r="AX36" s="46">
        <v>600.75</v>
      </c>
      <c r="AY36" s="46">
        <v>621.85</v>
      </c>
      <c r="AZ36" s="46">
        <v>644.72</v>
      </c>
      <c r="BA36" s="46">
        <v>654.59</v>
      </c>
      <c r="BB36" s="46">
        <v>677.56</v>
      </c>
      <c r="BC36" s="46">
        <v>775.21</v>
      </c>
      <c r="BD36" s="46">
        <v>826.83</v>
      </c>
      <c r="BE36" s="46">
        <v>880.62</v>
      </c>
      <c r="BF36" s="46">
        <v>889.28</v>
      </c>
      <c r="BG36" s="46">
        <v>901.28</v>
      </c>
      <c r="BH36" s="46">
        <v>909.79</v>
      </c>
      <c r="BI36" s="46">
        <v>947.68</v>
      </c>
      <c r="BJ36" s="46">
        <v>973.28</v>
      </c>
      <c r="BK36" s="46">
        <v>973.59</v>
      </c>
      <c r="BL36" s="46">
        <v>979.55</v>
      </c>
      <c r="BM36" s="46">
        <v>982</v>
      </c>
      <c r="BN36" s="46">
        <v>1032.6199999999999</v>
      </c>
      <c r="BO36" s="46">
        <v>1039.94</v>
      </c>
      <c r="BP36" s="46">
        <v>1059.9100000000001</v>
      </c>
      <c r="BQ36" s="46">
        <v>1081.5</v>
      </c>
      <c r="BR36" s="46">
        <v>1099.42</v>
      </c>
      <c r="BS36" s="46">
        <v>1138.93</v>
      </c>
      <c r="BT36" s="46">
        <v>1160.3499999999999</v>
      </c>
      <c r="BU36" s="46">
        <v>1180.8599999999999</v>
      </c>
      <c r="BV36" s="46">
        <v>1197.97</v>
      </c>
      <c r="BW36" s="46">
        <v>1209.3499999999999</v>
      </c>
      <c r="BX36" s="46">
        <v>1313.56</v>
      </c>
      <c r="BY36" s="46">
        <v>1326.03</v>
      </c>
      <c r="BZ36" s="46">
        <v>1334.6</v>
      </c>
      <c r="CA36" s="46">
        <v>1449.14</v>
      </c>
      <c r="CB36" s="46">
        <v>1450.95</v>
      </c>
      <c r="CC36" s="46">
        <v>387.06</v>
      </c>
      <c r="CD36" s="46">
        <v>421.59</v>
      </c>
      <c r="CE36" s="46">
        <v>424.66</v>
      </c>
      <c r="CF36" s="46">
        <v>443.38</v>
      </c>
      <c r="CG36" s="46">
        <v>468.9</v>
      </c>
      <c r="CH36" s="46">
        <v>483.11</v>
      </c>
      <c r="CI36" s="46">
        <v>489.55</v>
      </c>
      <c r="CJ36" s="46">
        <v>533.39</v>
      </c>
      <c r="CK36" s="46">
        <v>600.75</v>
      </c>
      <c r="CL36" s="46">
        <v>621.85</v>
      </c>
      <c r="CM36" s="46">
        <v>644.72</v>
      </c>
      <c r="CN36" s="46">
        <v>654.59</v>
      </c>
      <c r="CO36" s="46">
        <v>677.56</v>
      </c>
      <c r="CP36" s="46">
        <v>775.21</v>
      </c>
      <c r="CQ36" s="46">
        <v>826.83</v>
      </c>
      <c r="CR36" s="46">
        <v>880.62</v>
      </c>
      <c r="CS36" s="46">
        <v>889.28</v>
      </c>
      <c r="CT36" s="46">
        <v>901.28</v>
      </c>
      <c r="CU36" s="46">
        <v>909.79</v>
      </c>
      <c r="CV36" s="46">
        <v>947.68</v>
      </c>
      <c r="CW36" s="46">
        <v>973.28</v>
      </c>
      <c r="CX36" s="46">
        <v>973.59</v>
      </c>
      <c r="CY36" s="46">
        <v>979.55</v>
      </c>
      <c r="CZ36" s="46">
        <v>982</v>
      </c>
      <c r="DA36" s="46">
        <v>1032.6199999999999</v>
      </c>
      <c r="DB36" s="46">
        <v>1039.94</v>
      </c>
      <c r="DC36" s="46">
        <v>1059.9100000000001</v>
      </c>
      <c r="DD36" s="46">
        <v>1081.5</v>
      </c>
      <c r="DE36" s="46">
        <v>1099.42</v>
      </c>
      <c r="DF36" s="46">
        <v>1138.93</v>
      </c>
      <c r="DG36" s="46">
        <v>1160.3499999999999</v>
      </c>
      <c r="DH36" s="46">
        <v>1180.8599999999999</v>
      </c>
      <c r="DI36" s="46">
        <v>1197.97</v>
      </c>
      <c r="DJ36" s="46">
        <v>1209.3499999999999</v>
      </c>
      <c r="DK36" s="46">
        <v>1313.56</v>
      </c>
      <c r="DL36" s="46">
        <v>1326.03</v>
      </c>
      <c r="DM36" s="46">
        <v>1334.6</v>
      </c>
      <c r="DN36" s="46">
        <v>1449.14</v>
      </c>
      <c r="DO36" s="46">
        <v>1450.95</v>
      </c>
    </row>
    <row r="37" spans="1:119" s="4" customFormat="1" ht="14.25" x14ac:dyDescent="0.25">
      <c r="A37" s="252">
        <v>41</v>
      </c>
      <c r="B37" s="253"/>
      <c r="C37" s="45">
        <v>391.78</v>
      </c>
      <c r="D37" s="45">
        <v>426.73</v>
      </c>
      <c r="E37" s="45">
        <v>429.84</v>
      </c>
      <c r="F37" s="45">
        <v>448.79</v>
      </c>
      <c r="G37" s="45">
        <v>474.62</v>
      </c>
      <c r="H37" s="45">
        <v>489.01</v>
      </c>
      <c r="I37" s="45">
        <v>495.52</v>
      </c>
      <c r="J37" s="45">
        <v>539.9</v>
      </c>
      <c r="K37" s="45">
        <v>608.08000000000004</v>
      </c>
      <c r="L37" s="45">
        <v>629.44000000000005</v>
      </c>
      <c r="M37" s="45">
        <v>652.58000000000004</v>
      </c>
      <c r="N37" s="45">
        <v>662.58</v>
      </c>
      <c r="O37" s="45">
        <v>685.83</v>
      </c>
      <c r="P37" s="45">
        <v>784.67</v>
      </c>
      <c r="Q37" s="45">
        <v>836.92</v>
      </c>
      <c r="R37" s="45">
        <v>891.36</v>
      </c>
      <c r="S37" s="45">
        <v>900.13</v>
      </c>
      <c r="T37" s="45">
        <v>912.27</v>
      </c>
      <c r="U37" s="45">
        <v>920.89</v>
      </c>
      <c r="V37" s="45">
        <v>959.25</v>
      </c>
      <c r="W37" s="45">
        <v>985.16</v>
      </c>
      <c r="X37" s="45">
        <v>985.47</v>
      </c>
      <c r="Y37" s="45">
        <v>991.5</v>
      </c>
      <c r="Z37" s="45">
        <v>993.99</v>
      </c>
      <c r="AA37" s="45">
        <v>1045.22</v>
      </c>
      <c r="AB37" s="45">
        <v>1052.6300000000001</v>
      </c>
      <c r="AC37" s="45">
        <v>1072.8499999999999</v>
      </c>
      <c r="AD37" s="45">
        <v>1094.7</v>
      </c>
      <c r="AE37" s="45">
        <v>1112.83</v>
      </c>
      <c r="AF37" s="45">
        <v>1152.82</v>
      </c>
      <c r="AG37" s="45">
        <v>1174.51</v>
      </c>
      <c r="AH37" s="45">
        <v>1195.27</v>
      </c>
      <c r="AI37" s="45">
        <v>1212.5899999999999</v>
      </c>
      <c r="AJ37" s="45">
        <v>1224.1099999999999</v>
      </c>
      <c r="AK37" s="45">
        <v>1329.59</v>
      </c>
      <c r="AL37" s="45">
        <v>1342.21</v>
      </c>
      <c r="AM37" s="45">
        <v>1350.89</v>
      </c>
      <c r="AN37" s="45">
        <v>1466.83</v>
      </c>
      <c r="AO37" s="45">
        <v>1468.65</v>
      </c>
      <c r="AP37" s="45">
        <v>391.78</v>
      </c>
      <c r="AQ37" s="45">
        <v>426.73</v>
      </c>
      <c r="AR37" s="45">
        <v>429.84</v>
      </c>
      <c r="AS37" s="45">
        <v>448.79</v>
      </c>
      <c r="AT37" s="45">
        <v>474.62</v>
      </c>
      <c r="AU37" s="45">
        <v>489.01</v>
      </c>
      <c r="AV37" s="45">
        <v>495.52</v>
      </c>
      <c r="AW37" s="45">
        <v>539.9</v>
      </c>
      <c r="AX37" s="45">
        <v>608.08000000000004</v>
      </c>
      <c r="AY37" s="45">
        <v>629.44000000000005</v>
      </c>
      <c r="AZ37" s="45">
        <v>652.58000000000004</v>
      </c>
      <c r="BA37" s="45">
        <v>662.58</v>
      </c>
      <c r="BB37" s="45">
        <v>685.83</v>
      </c>
      <c r="BC37" s="45">
        <v>784.67</v>
      </c>
      <c r="BD37" s="45">
        <v>836.92</v>
      </c>
      <c r="BE37" s="45">
        <v>891.36</v>
      </c>
      <c r="BF37" s="45">
        <v>900.13</v>
      </c>
      <c r="BG37" s="45">
        <v>912.27</v>
      </c>
      <c r="BH37" s="45">
        <v>920.89</v>
      </c>
      <c r="BI37" s="45">
        <v>959.25</v>
      </c>
      <c r="BJ37" s="45">
        <v>985.16</v>
      </c>
      <c r="BK37" s="45">
        <v>985.47</v>
      </c>
      <c r="BL37" s="45">
        <v>991.5</v>
      </c>
      <c r="BM37" s="45">
        <v>993.99</v>
      </c>
      <c r="BN37" s="45">
        <v>1045.22</v>
      </c>
      <c r="BO37" s="45">
        <v>1052.6300000000001</v>
      </c>
      <c r="BP37" s="45">
        <v>1072.8499999999999</v>
      </c>
      <c r="BQ37" s="45">
        <v>1094.7</v>
      </c>
      <c r="BR37" s="45">
        <v>1112.83</v>
      </c>
      <c r="BS37" s="45">
        <v>1152.82</v>
      </c>
      <c r="BT37" s="45">
        <v>1174.51</v>
      </c>
      <c r="BU37" s="45">
        <v>1195.27</v>
      </c>
      <c r="BV37" s="45">
        <v>1212.5899999999999</v>
      </c>
      <c r="BW37" s="45">
        <v>1224.1099999999999</v>
      </c>
      <c r="BX37" s="45">
        <v>1329.59</v>
      </c>
      <c r="BY37" s="45">
        <v>1342.21</v>
      </c>
      <c r="BZ37" s="45">
        <v>1350.89</v>
      </c>
      <c r="CA37" s="45">
        <v>1466.83</v>
      </c>
      <c r="CB37" s="45">
        <v>1468.65</v>
      </c>
      <c r="CC37" s="45">
        <v>391.78</v>
      </c>
      <c r="CD37" s="45">
        <v>426.73</v>
      </c>
      <c r="CE37" s="45">
        <v>429.84</v>
      </c>
      <c r="CF37" s="45">
        <v>448.79</v>
      </c>
      <c r="CG37" s="45">
        <v>474.62</v>
      </c>
      <c r="CH37" s="45">
        <v>489.01</v>
      </c>
      <c r="CI37" s="45">
        <v>495.52</v>
      </c>
      <c r="CJ37" s="45">
        <v>539.9</v>
      </c>
      <c r="CK37" s="45">
        <v>608.08000000000004</v>
      </c>
      <c r="CL37" s="45">
        <v>629.44000000000005</v>
      </c>
      <c r="CM37" s="45">
        <v>652.58000000000004</v>
      </c>
      <c r="CN37" s="45">
        <v>662.58</v>
      </c>
      <c r="CO37" s="45">
        <v>685.83</v>
      </c>
      <c r="CP37" s="45">
        <v>784.67</v>
      </c>
      <c r="CQ37" s="45">
        <v>836.92</v>
      </c>
      <c r="CR37" s="45">
        <v>891.36</v>
      </c>
      <c r="CS37" s="45">
        <v>900.13</v>
      </c>
      <c r="CT37" s="45">
        <v>912.27</v>
      </c>
      <c r="CU37" s="45">
        <v>920.89</v>
      </c>
      <c r="CV37" s="45">
        <v>959.25</v>
      </c>
      <c r="CW37" s="45">
        <v>985.16</v>
      </c>
      <c r="CX37" s="45">
        <v>985.47</v>
      </c>
      <c r="CY37" s="45">
        <v>991.5</v>
      </c>
      <c r="CZ37" s="45">
        <v>993.99</v>
      </c>
      <c r="DA37" s="45">
        <v>1045.22</v>
      </c>
      <c r="DB37" s="45">
        <v>1052.6300000000001</v>
      </c>
      <c r="DC37" s="45">
        <v>1072.8499999999999</v>
      </c>
      <c r="DD37" s="45">
        <v>1094.7</v>
      </c>
      <c r="DE37" s="45">
        <v>1112.83</v>
      </c>
      <c r="DF37" s="45">
        <v>1152.82</v>
      </c>
      <c r="DG37" s="45">
        <v>1174.51</v>
      </c>
      <c r="DH37" s="45">
        <v>1195.27</v>
      </c>
      <c r="DI37" s="45">
        <v>1212.5899999999999</v>
      </c>
      <c r="DJ37" s="45">
        <v>1224.1099999999999</v>
      </c>
      <c r="DK37" s="45">
        <v>1329.59</v>
      </c>
      <c r="DL37" s="45">
        <v>1342.21</v>
      </c>
      <c r="DM37" s="45">
        <v>1350.89</v>
      </c>
      <c r="DN37" s="45">
        <v>1466.83</v>
      </c>
      <c r="DO37" s="45">
        <v>1468.65</v>
      </c>
    </row>
    <row r="38" spans="1:119" s="4" customFormat="1" ht="14.25" x14ac:dyDescent="0.25">
      <c r="A38" s="252">
        <v>42</v>
      </c>
      <c r="B38" s="253"/>
      <c r="C38" s="46">
        <v>396.5</v>
      </c>
      <c r="D38" s="46">
        <v>431.88</v>
      </c>
      <c r="E38" s="46">
        <v>435.03</v>
      </c>
      <c r="F38" s="46">
        <v>454.2</v>
      </c>
      <c r="G38" s="46">
        <v>480.34</v>
      </c>
      <c r="H38" s="46">
        <v>494.9</v>
      </c>
      <c r="I38" s="46">
        <v>501.5</v>
      </c>
      <c r="J38" s="46">
        <v>546.41</v>
      </c>
      <c r="K38" s="46">
        <v>615.41</v>
      </c>
      <c r="L38" s="46">
        <v>637.03</v>
      </c>
      <c r="M38" s="46">
        <v>660.45</v>
      </c>
      <c r="N38" s="46">
        <v>670.57</v>
      </c>
      <c r="O38" s="46">
        <v>694.1</v>
      </c>
      <c r="P38" s="46">
        <v>794.13</v>
      </c>
      <c r="Q38" s="46">
        <v>847.02</v>
      </c>
      <c r="R38" s="46">
        <v>902.11</v>
      </c>
      <c r="S38" s="46">
        <v>910.98</v>
      </c>
      <c r="T38" s="46">
        <v>923.27</v>
      </c>
      <c r="U38" s="46">
        <v>932</v>
      </c>
      <c r="V38" s="46">
        <v>970.81</v>
      </c>
      <c r="W38" s="46">
        <v>997.03</v>
      </c>
      <c r="X38" s="46">
        <v>997.35</v>
      </c>
      <c r="Y38" s="46">
        <v>1003.46</v>
      </c>
      <c r="Z38" s="46">
        <v>1005.97</v>
      </c>
      <c r="AA38" s="46">
        <v>1057.82</v>
      </c>
      <c r="AB38" s="46">
        <v>1065.32</v>
      </c>
      <c r="AC38" s="46">
        <v>1085.78</v>
      </c>
      <c r="AD38" s="46">
        <v>1107.9000000000001</v>
      </c>
      <c r="AE38" s="46">
        <v>1126.25</v>
      </c>
      <c r="AF38" s="46">
        <v>1166.72</v>
      </c>
      <c r="AG38" s="46">
        <v>1188.67</v>
      </c>
      <c r="AH38" s="46">
        <v>1209.68</v>
      </c>
      <c r="AI38" s="46">
        <v>1227.21</v>
      </c>
      <c r="AJ38" s="46">
        <v>1238.8699999999999</v>
      </c>
      <c r="AK38" s="46">
        <v>1345.62</v>
      </c>
      <c r="AL38" s="46">
        <v>1358.4</v>
      </c>
      <c r="AM38" s="46">
        <v>1367.17</v>
      </c>
      <c r="AN38" s="46">
        <v>1484.51</v>
      </c>
      <c r="AO38" s="46">
        <v>1486.36</v>
      </c>
      <c r="AP38" s="46">
        <v>396.5</v>
      </c>
      <c r="AQ38" s="46">
        <v>431.88</v>
      </c>
      <c r="AR38" s="46">
        <v>435.03</v>
      </c>
      <c r="AS38" s="46">
        <v>454.2</v>
      </c>
      <c r="AT38" s="46">
        <v>480.34</v>
      </c>
      <c r="AU38" s="46">
        <v>494.9</v>
      </c>
      <c r="AV38" s="46">
        <v>501.5</v>
      </c>
      <c r="AW38" s="46">
        <v>546.41</v>
      </c>
      <c r="AX38" s="46">
        <v>615.41</v>
      </c>
      <c r="AY38" s="46">
        <v>637.03</v>
      </c>
      <c r="AZ38" s="46">
        <v>660.45</v>
      </c>
      <c r="BA38" s="46">
        <v>670.57</v>
      </c>
      <c r="BB38" s="46">
        <v>694.1</v>
      </c>
      <c r="BC38" s="46">
        <v>794.13</v>
      </c>
      <c r="BD38" s="46">
        <v>847.02</v>
      </c>
      <c r="BE38" s="46">
        <v>902.11</v>
      </c>
      <c r="BF38" s="46">
        <v>910.98</v>
      </c>
      <c r="BG38" s="46">
        <v>923.27</v>
      </c>
      <c r="BH38" s="46">
        <v>932</v>
      </c>
      <c r="BI38" s="46">
        <v>970.81</v>
      </c>
      <c r="BJ38" s="46">
        <v>997.03</v>
      </c>
      <c r="BK38" s="46">
        <v>997.35</v>
      </c>
      <c r="BL38" s="46">
        <v>1003.46</v>
      </c>
      <c r="BM38" s="46">
        <v>1005.97</v>
      </c>
      <c r="BN38" s="46">
        <v>1057.82</v>
      </c>
      <c r="BO38" s="46">
        <v>1065.32</v>
      </c>
      <c r="BP38" s="46">
        <v>1085.78</v>
      </c>
      <c r="BQ38" s="46">
        <v>1107.9000000000001</v>
      </c>
      <c r="BR38" s="46">
        <v>1126.25</v>
      </c>
      <c r="BS38" s="46">
        <v>1166.72</v>
      </c>
      <c r="BT38" s="46">
        <v>1188.67</v>
      </c>
      <c r="BU38" s="46">
        <v>1209.68</v>
      </c>
      <c r="BV38" s="46">
        <v>1227.21</v>
      </c>
      <c r="BW38" s="46">
        <v>1238.8699999999999</v>
      </c>
      <c r="BX38" s="46">
        <v>1345.62</v>
      </c>
      <c r="BY38" s="46">
        <v>1358.4</v>
      </c>
      <c r="BZ38" s="46">
        <v>1367.17</v>
      </c>
      <c r="CA38" s="46">
        <v>1484.51</v>
      </c>
      <c r="CB38" s="46">
        <v>1486.36</v>
      </c>
      <c r="CC38" s="46">
        <v>396.5</v>
      </c>
      <c r="CD38" s="46">
        <v>431.88</v>
      </c>
      <c r="CE38" s="46">
        <v>435.03</v>
      </c>
      <c r="CF38" s="46">
        <v>454.2</v>
      </c>
      <c r="CG38" s="46">
        <v>480.34</v>
      </c>
      <c r="CH38" s="46">
        <v>494.9</v>
      </c>
      <c r="CI38" s="46">
        <v>501.5</v>
      </c>
      <c r="CJ38" s="46">
        <v>546.41</v>
      </c>
      <c r="CK38" s="46">
        <v>615.41</v>
      </c>
      <c r="CL38" s="46">
        <v>637.03</v>
      </c>
      <c r="CM38" s="46">
        <v>660.45</v>
      </c>
      <c r="CN38" s="46">
        <v>670.57</v>
      </c>
      <c r="CO38" s="46">
        <v>694.1</v>
      </c>
      <c r="CP38" s="46">
        <v>794.13</v>
      </c>
      <c r="CQ38" s="46">
        <v>847.02</v>
      </c>
      <c r="CR38" s="46">
        <v>902.11</v>
      </c>
      <c r="CS38" s="46">
        <v>910.98</v>
      </c>
      <c r="CT38" s="46">
        <v>923.27</v>
      </c>
      <c r="CU38" s="46">
        <v>932</v>
      </c>
      <c r="CV38" s="46">
        <v>970.81</v>
      </c>
      <c r="CW38" s="46">
        <v>997.03</v>
      </c>
      <c r="CX38" s="46">
        <v>997.35</v>
      </c>
      <c r="CY38" s="46">
        <v>1003.46</v>
      </c>
      <c r="CZ38" s="46">
        <v>1005.97</v>
      </c>
      <c r="DA38" s="46">
        <v>1057.82</v>
      </c>
      <c r="DB38" s="46">
        <v>1065.32</v>
      </c>
      <c r="DC38" s="46">
        <v>1085.78</v>
      </c>
      <c r="DD38" s="46">
        <v>1107.9000000000001</v>
      </c>
      <c r="DE38" s="46">
        <v>1126.25</v>
      </c>
      <c r="DF38" s="46">
        <v>1166.72</v>
      </c>
      <c r="DG38" s="46">
        <v>1188.67</v>
      </c>
      <c r="DH38" s="46">
        <v>1209.68</v>
      </c>
      <c r="DI38" s="46">
        <v>1227.21</v>
      </c>
      <c r="DJ38" s="46">
        <v>1238.8699999999999</v>
      </c>
      <c r="DK38" s="46">
        <v>1345.62</v>
      </c>
      <c r="DL38" s="46">
        <v>1358.4</v>
      </c>
      <c r="DM38" s="46">
        <v>1367.17</v>
      </c>
      <c r="DN38" s="46">
        <v>1484.51</v>
      </c>
      <c r="DO38" s="46">
        <v>1486.36</v>
      </c>
    </row>
    <row r="39" spans="1:119" s="4" customFormat="1" ht="14.25" x14ac:dyDescent="0.25">
      <c r="A39" s="252">
        <v>43</v>
      </c>
      <c r="B39" s="253"/>
      <c r="C39" s="46">
        <v>402.89</v>
      </c>
      <c r="D39" s="46">
        <v>438.84</v>
      </c>
      <c r="E39" s="46">
        <v>442.04</v>
      </c>
      <c r="F39" s="46">
        <v>461.52</v>
      </c>
      <c r="G39" s="46">
        <v>488.08</v>
      </c>
      <c r="H39" s="46">
        <v>502.88</v>
      </c>
      <c r="I39" s="46">
        <v>509.58</v>
      </c>
      <c r="J39" s="46">
        <v>555.22</v>
      </c>
      <c r="K39" s="46">
        <v>625.33000000000004</v>
      </c>
      <c r="L39" s="46">
        <v>647.29999999999995</v>
      </c>
      <c r="M39" s="46">
        <v>671.1</v>
      </c>
      <c r="N39" s="46">
        <v>681.37</v>
      </c>
      <c r="O39" s="46">
        <v>705.28</v>
      </c>
      <c r="P39" s="46">
        <v>806.93</v>
      </c>
      <c r="Q39" s="46">
        <v>860.67</v>
      </c>
      <c r="R39" s="46">
        <v>916.65</v>
      </c>
      <c r="S39" s="46">
        <v>925.67</v>
      </c>
      <c r="T39" s="46">
        <v>938.16</v>
      </c>
      <c r="U39" s="46">
        <v>947.02</v>
      </c>
      <c r="V39" s="46">
        <v>986.46</v>
      </c>
      <c r="W39" s="46">
        <v>1013.1</v>
      </c>
      <c r="X39" s="46">
        <v>1013.43</v>
      </c>
      <c r="Y39" s="46">
        <v>1019.63</v>
      </c>
      <c r="Z39" s="46">
        <v>1022.19</v>
      </c>
      <c r="AA39" s="46">
        <v>1074.8699999999999</v>
      </c>
      <c r="AB39" s="46">
        <v>1082.49</v>
      </c>
      <c r="AC39" s="46">
        <v>1103.28</v>
      </c>
      <c r="AD39" s="46">
        <v>1125.75</v>
      </c>
      <c r="AE39" s="46">
        <v>1144.4000000000001</v>
      </c>
      <c r="AF39" s="46">
        <v>1185.53</v>
      </c>
      <c r="AG39" s="46">
        <v>1207.83</v>
      </c>
      <c r="AH39" s="46">
        <v>1229.18</v>
      </c>
      <c r="AI39" s="46">
        <v>1246.99</v>
      </c>
      <c r="AJ39" s="46">
        <v>1258.8399999999999</v>
      </c>
      <c r="AK39" s="46">
        <v>1367.31</v>
      </c>
      <c r="AL39" s="46">
        <v>1380.29</v>
      </c>
      <c r="AM39" s="46">
        <v>1389.21</v>
      </c>
      <c r="AN39" s="46">
        <v>1508.44</v>
      </c>
      <c r="AO39" s="46">
        <v>1510.32</v>
      </c>
      <c r="AP39" s="46">
        <v>402.89</v>
      </c>
      <c r="AQ39" s="46">
        <v>438.84</v>
      </c>
      <c r="AR39" s="46">
        <v>442.04</v>
      </c>
      <c r="AS39" s="46">
        <v>461.52</v>
      </c>
      <c r="AT39" s="46">
        <v>488.08</v>
      </c>
      <c r="AU39" s="46">
        <v>502.88</v>
      </c>
      <c r="AV39" s="46">
        <v>509.58</v>
      </c>
      <c r="AW39" s="46">
        <v>555.22</v>
      </c>
      <c r="AX39" s="46">
        <v>625.33000000000004</v>
      </c>
      <c r="AY39" s="46">
        <v>647.29999999999995</v>
      </c>
      <c r="AZ39" s="46">
        <v>671.1</v>
      </c>
      <c r="BA39" s="46">
        <v>681.37</v>
      </c>
      <c r="BB39" s="46">
        <v>705.28</v>
      </c>
      <c r="BC39" s="46">
        <v>806.93</v>
      </c>
      <c r="BD39" s="46">
        <v>860.67</v>
      </c>
      <c r="BE39" s="46">
        <v>916.65</v>
      </c>
      <c r="BF39" s="46">
        <v>925.67</v>
      </c>
      <c r="BG39" s="46">
        <v>938.16</v>
      </c>
      <c r="BH39" s="46">
        <v>947.02</v>
      </c>
      <c r="BI39" s="46">
        <v>986.46</v>
      </c>
      <c r="BJ39" s="46">
        <v>1013.1</v>
      </c>
      <c r="BK39" s="46">
        <v>1013.43</v>
      </c>
      <c r="BL39" s="46">
        <v>1019.63</v>
      </c>
      <c r="BM39" s="46">
        <v>1022.19</v>
      </c>
      <c r="BN39" s="46">
        <v>1074.8699999999999</v>
      </c>
      <c r="BO39" s="46">
        <v>1082.49</v>
      </c>
      <c r="BP39" s="46">
        <v>1103.28</v>
      </c>
      <c r="BQ39" s="46">
        <v>1125.75</v>
      </c>
      <c r="BR39" s="46">
        <v>1144.4000000000001</v>
      </c>
      <c r="BS39" s="46">
        <v>1185.53</v>
      </c>
      <c r="BT39" s="46">
        <v>1207.83</v>
      </c>
      <c r="BU39" s="46">
        <v>1229.18</v>
      </c>
      <c r="BV39" s="46">
        <v>1246.99</v>
      </c>
      <c r="BW39" s="46">
        <v>1258.8399999999999</v>
      </c>
      <c r="BX39" s="46">
        <v>1367.31</v>
      </c>
      <c r="BY39" s="46">
        <v>1380.29</v>
      </c>
      <c r="BZ39" s="46">
        <v>1389.21</v>
      </c>
      <c r="CA39" s="46">
        <v>1508.44</v>
      </c>
      <c r="CB39" s="46">
        <v>1510.32</v>
      </c>
      <c r="CC39" s="46">
        <v>402.89</v>
      </c>
      <c r="CD39" s="46">
        <v>438.84</v>
      </c>
      <c r="CE39" s="46">
        <v>442.04</v>
      </c>
      <c r="CF39" s="46">
        <v>461.52</v>
      </c>
      <c r="CG39" s="46">
        <v>488.08</v>
      </c>
      <c r="CH39" s="46">
        <v>502.88</v>
      </c>
      <c r="CI39" s="46">
        <v>509.58</v>
      </c>
      <c r="CJ39" s="46">
        <v>555.22</v>
      </c>
      <c r="CK39" s="46">
        <v>625.33000000000004</v>
      </c>
      <c r="CL39" s="46">
        <v>647.29999999999995</v>
      </c>
      <c r="CM39" s="46">
        <v>671.1</v>
      </c>
      <c r="CN39" s="46">
        <v>681.37</v>
      </c>
      <c r="CO39" s="46">
        <v>705.28</v>
      </c>
      <c r="CP39" s="46">
        <v>806.93</v>
      </c>
      <c r="CQ39" s="46">
        <v>860.67</v>
      </c>
      <c r="CR39" s="46">
        <v>916.65</v>
      </c>
      <c r="CS39" s="46">
        <v>925.67</v>
      </c>
      <c r="CT39" s="46">
        <v>938.16</v>
      </c>
      <c r="CU39" s="46">
        <v>947.02</v>
      </c>
      <c r="CV39" s="46">
        <v>986.46</v>
      </c>
      <c r="CW39" s="46">
        <v>1013.1</v>
      </c>
      <c r="CX39" s="46">
        <v>1013.43</v>
      </c>
      <c r="CY39" s="46">
        <v>1019.63</v>
      </c>
      <c r="CZ39" s="46">
        <v>1022.19</v>
      </c>
      <c r="DA39" s="46">
        <v>1074.8699999999999</v>
      </c>
      <c r="DB39" s="46">
        <v>1082.49</v>
      </c>
      <c r="DC39" s="46">
        <v>1103.28</v>
      </c>
      <c r="DD39" s="46">
        <v>1125.75</v>
      </c>
      <c r="DE39" s="46">
        <v>1144.4000000000001</v>
      </c>
      <c r="DF39" s="46">
        <v>1185.53</v>
      </c>
      <c r="DG39" s="46">
        <v>1207.83</v>
      </c>
      <c r="DH39" s="46">
        <v>1229.18</v>
      </c>
      <c r="DI39" s="46">
        <v>1246.99</v>
      </c>
      <c r="DJ39" s="46">
        <v>1258.8399999999999</v>
      </c>
      <c r="DK39" s="46">
        <v>1367.31</v>
      </c>
      <c r="DL39" s="46">
        <v>1380.29</v>
      </c>
      <c r="DM39" s="46">
        <v>1389.21</v>
      </c>
      <c r="DN39" s="46">
        <v>1508.44</v>
      </c>
      <c r="DO39" s="46">
        <v>1510.32</v>
      </c>
    </row>
    <row r="40" spans="1:119" s="4" customFormat="1" ht="14.25" x14ac:dyDescent="0.25">
      <c r="A40" s="252">
        <v>44</v>
      </c>
      <c r="B40" s="253"/>
      <c r="C40" s="46">
        <v>410.67</v>
      </c>
      <c r="D40" s="46">
        <v>447.31</v>
      </c>
      <c r="E40" s="46">
        <v>450.57</v>
      </c>
      <c r="F40" s="46">
        <v>470.44</v>
      </c>
      <c r="G40" s="46">
        <v>497.51</v>
      </c>
      <c r="H40" s="46">
        <v>512.59</v>
      </c>
      <c r="I40" s="46">
        <v>519.41999999999996</v>
      </c>
      <c r="J40" s="46">
        <v>565.94000000000005</v>
      </c>
      <c r="K40" s="46">
        <v>637.41</v>
      </c>
      <c r="L40" s="46">
        <v>659.8</v>
      </c>
      <c r="M40" s="46">
        <v>684.06</v>
      </c>
      <c r="N40" s="46">
        <v>694.53</v>
      </c>
      <c r="O40" s="46">
        <v>718.9</v>
      </c>
      <c r="P40" s="46">
        <v>822.51</v>
      </c>
      <c r="Q40" s="46">
        <v>877.29</v>
      </c>
      <c r="R40" s="46">
        <v>934.35</v>
      </c>
      <c r="S40" s="46">
        <v>943.54</v>
      </c>
      <c r="T40" s="46">
        <v>956.27</v>
      </c>
      <c r="U40" s="46">
        <v>965.31</v>
      </c>
      <c r="V40" s="46">
        <v>1005.51</v>
      </c>
      <c r="W40" s="46">
        <v>1032.67</v>
      </c>
      <c r="X40" s="46">
        <v>1033</v>
      </c>
      <c r="Y40" s="46">
        <v>1039.32</v>
      </c>
      <c r="Z40" s="46">
        <v>1041.92</v>
      </c>
      <c r="AA40" s="46">
        <v>1095.6300000000001</v>
      </c>
      <c r="AB40" s="46">
        <v>1103.4000000000001</v>
      </c>
      <c r="AC40" s="46">
        <v>1124.5899999999999</v>
      </c>
      <c r="AD40" s="46">
        <v>1147.49</v>
      </c>
      <c r="AE40" s="46">
        <v>1166.5</v>
      </c>
      <c r="AF40" s="46">
        <v>1208.42</v>
      </c>
      <c r="AG40" s="46">
        <v>1231.1500000000001</v>
      </c>
      <c r="AH40" s="46">
        <v>1252.92</v>
      </c>
      <c r="AI40" s="46">
        <v>1271.07</v>
      </c>
      <c r="AJ40" s="46">
        <v>1283.1500000000001</v>
      </c>
      <c r="AK40" s="46">
        <v>1393.71</v>
      </c>
      <c r="AL40" s="46">
        <v>1406.94</v>
      </c>
      <c r="AM40" s="46">
        <v>1416.04</v>
      </c>
      <c r="AN40" s="46">
        <v>1537.57</v>
      </c>
      <c r="AO40" s="46">
        <v>1539.48</v>
      </c>
      <c r="AP40" s="46">
        <v>410.67</v>
      </c>
      <c r="AQ40" s="46">
        <v>447.31</v>
      </c>
      <c r="AR40" s="46">
        <v>450.57</v>
      </c>
      <c r="AS40" s="46">
        <v>470.44</v>
      </c>
      <c r="AT40" s="46">
        <v>497.51</v>
      </c>
      <c r="AU40" s="46">
        <v>512.59</v>
      </c>
      <c r="AV40" s="46">
        <v>519.41999999999996</v>
      </c>
      <c r="AW40" s="46">
        <v>565.94000000000005</v>
      </c>
      <c r="AX40" s="46">
        <v>637.41</v>
      </c>
      <c r="AY40" s="46">
        <v>659.8</v>
      </c>
      <c r="AZ40" s="46">
        <v>684.06</v>
      </c>
      <c r="BA40" s="46">
        <v>694.53</v>
      </c>
      <c r="BB40" s="46">
        <v>718.9</v>
      </c>
      <c r="BC40" s="46">
        <v>822.51</v>
      </c>
      <c r="BD40" s="46">
        <v>877.29</v>
      </c>
      <c r="BE40" s="46">
        <v>934.35</v>
      </c>
      <c r="BF40" s="46">
        <v>943.54</v>
      </c>
      <c r="BG40" s="46">
        <v>956.27</v>
      </c>
      <c r="BH40" s="46">
        <v>965.31</v>
      </c>
      <c r="BI40" s="46">
        <v>1005.51</v>
      </c>
      <c r="BJ40" s="46">
        <v>1032.67</v>
      </c>
      <c r="BK40" s="46">
        <v>1033</v>
      </c>
      <c r="BL40" s="46">
        <v>1039.32</v>
      </c>
      <c r="BM40" s="46">
        <v>1041.92</v>
      </c>
      <c r="BN40" s="46">
        <v>1095.6300000000001</v>
      </c>
      <c r="BO40" s="46">
        <v>1103.4000000000001</v>
      </c>
      <c r="BP40" s="46">
        <v>1124.5899999999999</v>
      </c>
      <c r="BQ40" s="46">
        <v>1147.49</v>
      </c>
      <c r="BR40" s="46">
        <v>1166.5</v>
      </c>
      <c r="BS40" s="46">
        <v>1208.42</v>
      </c>
      <c r="BT40" s="46">
        <v>1231.1500000000001</v>
      </c>
      <c r="BU40" s="46">
        <v>1252.92</v>
      </c>
      <c r="BV40" s="46">
        <v>1271.07</v>
      </c>
      <c r="BW40" s="46">
        <v>1283.1500000000001</v>
      </c>
      <c r="BX40" s="46">
        <v>1393.71</v>
      </c>
      <c r="BY40" s="46">
        <v>1406.94</v>
      </c>
      <c r="BZ40" s="46">
        <v>1416.04</v>
      </c>
      <c r="CA40" s="46">
        <v>1537.57</v>
      </c>
      <c r="CB40" s="46">
        <v>1539.48</v>
      </c>
      <c r="CC40" s="46">
        <v>410.67</v>
      </c>
      <c r="CD40" s="46">
        <v>447.31</v>
      </c>
      <c r="CE40" s="46">
        <v>450.57</v>
      </c>
      <c r="CF40" s="46">
        <v>470.44</v>
      </c>
      <c r="CG40" s="46">
        <v>497.51</v>
      </c>
      <c r="CH40" s="46">
        <v>512.59</v>
      </c>
      <c r="CI40" s="46">
        <v>519.41999999999996</v>
      </c>
      <c r="CJ40" s="46">
        <v>565.94000000000005</v>
      </c>
      <c r="CK40" s="46">
        <v>637.41</v>
      </c>
      <c r="CL40" s="46">
        <v>659.8</v>
      </c>
      <c r="CM40" s="46">
        <v>684.06</v>
      </c>
      <c r="CN40" s="46">
        <v>694.53</v>
      </c>
      <c r="CO40" s="46">
        <v>718.9</v>
      </c>
      <c r="CP40" s="46">
        <v>822.51</v>
      </c>
      <c r="CQ40" s="46">
        <v>877.29</v>
      </c>
      <c r="CR40" s="46">
        <v>934.35</v>
      </c>
      <c r="CS40" s="46">
        <v>943.54</v>
      </c>
      <c r="CT40" s="46">
        <v>956.27</v>
      </c>
      <c r="CU40" s="46">
        <v>965.31</v>
      </c>
      <c r="CV40" s="46">
        <v>1005.51</v>
      </c>
      <c r="CW40" s="46">
        <v>1032.67</v>
      </c>
      <c r="CX40" s="46">
        <v>1033</v>
      </c>
      <c r="CY40" s="46">
        <v>1039.32</v>
      </c>
      <c r="CZ40" s="46">
        <v>1041.92</v>
      </c>
      <c r="DA40" s="46">
        <v>1095.6300000000001</v>
      </c>
      <c r="DB40" s="46">
        <v>1103.4000000000001</v>
      </c>
      <c r="DC40" s="46">
        <v>1124.5899999999999</v>
      </c>
      <c r="DD40" s="46">
        <v>1147.49</v>
      </c>
      <c r="DE40" s="46">
        <v>1166.5</v>
      </c>
      <c r="DF40" s="46">
        <v>1208.42</v>
      </c>
      <c r="DG40" s="46">
        <v>1231.1500000000001</v>
      </c>
      <c r="DH40" s="46">
        <v>1252.92</v>
      </c>
      <c r="DI40" s="46">
        <v>1271.07</v>
      </c>
      <c r="DJ40" s="46">
        <v>1283.1500000000001</v>
      </c>
      <c r="DK40" s="46">
        <v>1393.71</v>
      </c>
      <c r="DL40" s="46">
        <v>1406.94</v>
      </c>
      <c r="DM40" s="46">
        <v>1416.04</v>
      </c>
      <c r="DN40" s="46">
        <v>1537.57</v>
      </c>
      <c r="DO40" s="46">
        <v>1539.48</v>
      </c>
    </row>
    <row r="41" spans="1:119" s="4" customFormat="1" ht="14.25" x14ac:dyDescent="0.25">
      <c r="A41" s="252">
        <v>45</v>
      </c>
      <c r="B41" s="253"/>
      <c r="C41" s="46">
        <v>419.84</v>
      </c>
      <c r="D41" s="46">
        <v>457.3</v>
      </c>
      <c r="E41" s="46">
        <v>460.63</v>
      </c>
      <c r="F41" s="46">
        <v>480.94</v>
      </c>
      <c r="G41" s="46">
        <v>508.62</v>
      </c>
      <c r="H41" s="46">
        <v>524.04</v>
      </c>
      <c r="I41" s="46">
        <v>531.02</v>
      </c>
      <c r="J41" s="46">
        <v>578.58000000000004</v>
      </c>
      <c r="K41" s="46">
        <v>651.64</v>
      </c>
      <c r="L41" s="46">
        <v>674.53</v>
      </c>
      <c r="M41" s="46">
        <v>699.33</v>
      </c>
      <c r="N41" s="46">
        <v>710.04</v>
      </c>
      <c r="O41" s="46">
        <v>734.95</v>
      </c>
      <c r="P41" s="46">
        <v>840.88</v>
      </c>
      <c r="Q41" s="46">
        <v>896.87</v>
      </c>
      <c r="R41" s="46">
        <v>955.21</v>
      </c>
      <c r="S41" s="46">
        <v>964.61</v>
      </c>
      <c r="T41" s="46">
        <v>977.62</v>
      </c>
      <c r="U41" s="46">
        <v>986.86</v>
      </c>
      <c r="V41" s="46">
        <v>1027.96</v>
      </c>
      <c r="W41" s="46">
        <v>1055.73</v>
      </c>
      <c r="X41" s="46">
        <v>1056.06</v>
      </c>
      <c r="Y41" s="46">
        <v>1062.53</v>
      </c>
      <c r="Z41" s="46">
        <v>1065.19</v>
      </c>
      <c r="AA41" s="46">
        <v>1120.0899999999999</v>
      </c>
      <c r="AB41" s="46">
        <v>1128.03</v>
      </c>
      <c r="AC41" s="46">
        <v>1149.7</v>
      </c>
      <c r="AD41" s="46">
        <v>1173.1099999999999</v>
      </c>
      <c r="AE41" s="46">
        <v>1192.55</v>
      </c>
      <c r="AF41" s="46">
        <v>1235.4000000000001</v>
      </c>
      <c r="AG41" s="46">
        <v>1258.6400000000001</v>
      </c>
      <c r="AH41" s="46">
        <v>1280.8900000000001</v>
      </c>
      <c r="AI41" s="46">
        <v>1299.45</v>
      </c>
      <c r="AJ41" s="46">
        <v>1311.8</v>
      </c>
      <c r="AK41" s="46">
        <v>1424.83</v>
      </c>
      <c r="AL41" s="46">
        <v>1438.36</v>
      </c>
      <c r="AM41" s="46">
        <v>1447.65</v>
      </c>
      <c r="AN41" s="46">
        <v>1571.9</v>
      </c>
      <c r="AO41" s="46">
        <v>1573.85</v>
      </c>
      <c r="AP41" s="46">
        <v>419.84</v>
      </c>
      <c r="AQ41" s="46">
        <v>457.3</v>
      </c>
      <c r="AR41" s="46">
        <v>460.63</v>
      </c>
      <c r="AS41" s="46">
        <v>480.94</v>
      </c>
      <c r="AT41" s="46">
        <v>508.62</v>
      </c>
      <c r="AU41" s="46">
        <v>524.04</v>
      </c>
      <c r="AV41" s="46">
        <v>531.02</v>
      </c>
      <c r="AW41" s="46">
        <v>578.58000000000004</v>
      </c>
      <c r="AX41" s="46">
        <v>651.64</v>
      </c>
      <c r="AY41" s="46">
        <v>674.53</v>
      </c>
      <c r="AZ41" s="46">
        <v>699.33</v>
      </c>
      <c r="BA41" s="46">
        <v>710.04</v>
      </c>
      <c r="BB41" s="46">
        <v>734.95</v>
      </c>
      <c r="BC41" s="46">
        <v>840.88</v>
      </c>
      <c r="BD41" s="46">
        <v>896.87</v>
      </c>
      <c r="BE41" s="46">
        <v>955.21</v>
      </c>
      <c r="BF41" s="46">
        <v>964.61</v>
      </c>
      <c r="BG41" s="46">
        <v>977.62</v>
      </c>
      <c r="BH41" s="46">
        <v>986.86</v>
      </c>
      <c r="BI41" s="46">
        <v>1027.96</v>
      </c>
      <c r="BJ41" s="46">
        <v>1055.73</v>
      </c>
      <c r="BK41" s="46">
        <v>1056.06</v>
      </c>
      <c r="BL41" s="46">
        <v>1062.53</v>
      </c>
      <c r="BM41" s="46">
        <v>1065.19</v>
      </c>
      <c r="BN41" s="46">
        <v>1120.0899999999999</v>
      </c>
      <c r="BO41" s="46">
        <v>1128.03</v>
      </c>
      <c r="BP41" s="46">
        <v>1149.7</v>
      </c>
      <c r="BQ41" s="46">
        <v>1173.1099999999999</v>
      </c>
      <c r="BR41" s="46">
        <v>1192.55</v>
      </c>
      <c r="BS41" s="46">
        <v>1235.4000000000001</v>
      </c>
      <c r="BT41" s="46">
        <v>1258.6400000000001</v>
      </c>
      <c r="BU41" s="46">
        <v>1280.8900000000001</v>
      </c>
      <c r="BV41" s="46">
        <v>1299.45</v>
      </c>
      <c r="BW41" s="46">
        <v>1311.8</v>
      </c>
      <c r="BX41" s="46">
        <v>1424.83</v>
      </c>
      <c r="BY41" s="46">
        <v>1438.36</v>
      </c>
      <c r="BZ41" s="46">
        <v>1447.65</v>
      </c>
      <c r="CA41" s="46">
        <v>1571.9</v>
      </c>
      <c r="CB41" s="46">
        <v>1573.85</v>
      </c>
      <c r="CC41" s="46">
        <v>419.84</v>
      </c>
      <c r="CD41" s="46">
        <v>457.3</v>
      </c>
      <c r="CE41" s="46">
        <v>460.63</v>
      </c>
      <c r="CF41" s="46">
        <v>480.94</v>
      </c>
      <c r="CG41" s="46">
        <v>508.62</v>
      </c>
      <c r="CH41" s="46">
        <v>524.04</v>
      </c>
      <c r="CI41" s="46">
        <v>531.02</v>
      </c>
      <c r="CJ41" s="46">
        <v>578.58000000000004</v>
      </c>
      <c r="CK41" s="46">
        <v>651.64</v>
      </c>
      <c r="CL41" s="46">
        <v>674.53</v>
      </c>
      <c r="CM41" s="46">
        <v>699.33</v>
      </c>
      <c r="CN41" s="46">
        <v>710.04</v>
      </c>
      <c r="CO41" s="46">
        <v>734.95</v>
      </c>
      <c r="CP41" s="46">
        <v>840.88</v>
      </c>
      <c r="CQ41" s="46">
        <v>896.87</v>
      </c>
      <c r="CR41" s="46">
        <v>955.21</v>
      </c>
      <c r="CS41" s="46">
        <v>964.61</v>
      </c>
      <c r="CT41" s="46">
        <v>977.62</v>
      </c>
      <c r="CU41" s="46">
        <v>986.86</v>
      </c>
      <c r="CV41" s="46">
        <v>1027.96</v>
      </c>
      <c r="CW41" s="46">
        <v>1055.73</v>
      </c>
      <c r="CX41" s="46">
        <v>1056.06</v>
      </c>
      <c r="CY41" s="46">
        <v>1062.53</v>
      </c>
      <c r="CZ41" s="46">
        <v>1065.19</v>
      </c>
      <c r="DA41" s="46">
        <v>1120.0899999999999</v>
      </c>
      <c r="DB41" s="46">
        <v>1128.03</v>
      </c>
      <c r="DC41" s="46">
        <v>1149.7</v>
      </c>
      <c r="DD41" s="46">
        <v>1173.1099999999999</v>
      </c>
      <c r="DE41" s="46">
        <v>1192.55</v>
      </c>
      <c r="DF41" s="46">
        <v>1235.4000000000001</v>
      </c>
      <c r="DG41" s="46">
        <v>1258.6400000000001</v>
      </c>
      <c r="DH41" s="46">
        <v>1280.8900000000001</v>
      </c>
      <c r="DI41" s="46">
        <v>1299.45</v>
      </c>
      <c r="DJ41" s="46">
        <v>1311.8</v>
      </c>
      <c r="DK41" s="46">
        <v>1424.83</v>
      </c>
      <c r="DL41" s="46">
        <v>1438.36</v>
      </c>
      <c r="DM41" s="46">
        <v>1447.65</v>
      </c>
      <c r="DN41" s="46">
        <v>1571.9</v>
      </c>
      <c r="DO41" s="46">
        <v>1573.85</v>
      </c>
    </row>
    <row r="42" spans="1:119" s="5" customFormat="1" ht="14.25" x14ac:dyDescent="0.25">
      <c r="A42" s="252">
        <v>46</v>
      </c>
      <c r="B42" s="253"/>
      <c r="C42" s="46">
        <v>430.68</v>
      </c>
      <c r="D42" s="46">
        <v>469.1</v>
      </c>
      <c r="E42" s="46">
        <v>472.52</v>
      </c>
      <c r="F42" s="46">
        <v>493.35</v>
      </c>
      <c r="G42" s="46">
        <v>521.75</v>
      </c>
      <c r="H42" s="46">
        <v>537.55999999999995</v>
      </c>
      <c r="I42" s="46">
        <v>544.72</v>
      </c>
      <c r="J42" s="46">
        <v>593.51</v>
      </c>
      <c r="K42" s="46">
        <v>668.46</v>
      </c>
      <c r="L42" s="46">
        <v>691.94</v>
      </c>
      <c r="M42" s="46">
        <v>717.38</v>
      </c>
      <c r="N42" s="46">
        <v>728.36</v>
      </c>
      <c r="O42" s="46">
        <v>753.92</v>
      </c>
      <c r="P42" s="46">
        <v>862.58</v>
      </c>
      <c r="Q42" s="46">
        <v>920.02</v>
      </c>
      <c r="R42" s="46">
        <v>979.87</v>
      </c>
      <c r="S42" s="46">
        <v>989.51</v>
      </c>
      <c r="T42" s="46">
        <v>1002.86</v>
      </c>
      <c r="U42" s="46">
        <v>1012.33</v>
      </c>
      <c r="V42" s="46">
        <v>1054.49</v>
      </c>
      <c r="W42" s="46">
        <v>1082.97</v>
      </c>
      <c r="X42" s="46">
        <v>1083.32</v>
      </c>
      <c r="Y42" s="46">
        <v>1089.95</v>
      </c>
      <c r="Z42" s="46">
        <v>1092.68</v>
      </c>
      <c r="AA42" s="46">
        <v>1149</v>
      </c>
      <c r="AB42" s="46">
        <v>1157.1500000000001</v>
      </c>
      <c r="AC42" s="46">
        <v>1179.3699999999999</v>
      </c>
      <c r="AD42" s="46">
        <v>1203.3900000000001</v>
      </c>
      <c r="AE42" s="46">
        <v>1223.33</v>
      </c>
      <c r="AF42" s="46">
        <v>1267.29</v>
      </c>
      <c r="AG42" s="46">
        <v>1291.1300000000001</v>
      </c>
      <c r="AH42" s="46">
        <v>1313.95</v>
      </c>
      <c r="AI42" s="46">
        <v>1332.99</v>
      </c>
      <c r="AJ42" s="46">
        <v>1345.66</v>
      </c>
      <c r="AK42" s="46">
        <v>1461.61</v>
      </c>
      <c r="AL42" s="46">
        <v>1475.48</v>
      </c>
      <c r="AM42" s="46">
        <v>1485.02</v>
      </c>
      <c r="AN42" s="46">
        <v>1612.47</v>
      </c>
      <c r="AO42" s="46">
        <v>1614.48</v>
      </c>
      <c r="AP42" s="46">
        <v>430.68</v>
      </c>
      <c r="AQ42" s="46">
        <v>469.1</v>
      </c>
      <c r="AR42" s="46">
        <v>472.52</v>
      </c>
      <c r="AS42" s="46">
        <v>493.35</v>
      </c>
      <c r="AT42" s="46">
        <v>521.75</v>
      </c>
      <c r="AU42" s="46">
        <v>537.55999999999995</v>
      </c>
      <c r="AV42" s="46">
        <v>544.72</v>
      </c>
      <c r="AW42" s="46">
        <v>593.51</v>
      </c>
      <c r="AX42" s="46">
        <v>668.46</v>
      </c>
      <c r="AY42" s="46">
        <v>691.94</v>
      </c>
      <c r="AZ42" s="46">
        <v>717.38</v>
      </c>
      <c r="BA42" s="46">
        <v>728.36</v>
      </c>
      <c r="BB42" s="46">
        <v>753.92</v>
      </c>
      <c r="BC42" s="46">
        <v>862.58</v>
      </c>
      <c r="BD42" s="46">
        <v>920.02</v>
      </c>
      <c r="BE42" s="46">
        <v>979.87</v>
      </c>
      <c r="BF42" s="46">
        <v>989.51</v>
      </c>
      <c r="BG42" s="46">
        <v>1002.86</v>
      </c>
      <c r="BH42" s="46">
        <v>1012.33</v>
      </c>
      <c r="BI42" s="46">
        <v>1054.49</v>
      </c>
      <c r="BJ42" s="46">
        <v>1082.97</v>
      </c>
      <c r="BK42" s="46">
        <v>1083.32</v>
      </c>
      <c r="BL42" s="46">
        <v>1089.95</v>
      </c>
      <c r="BM42" s="46">
        <v>1092.68</v>
      </c>
      <c r="BN42" s="46">
        <v>1149</v>
      </c>
      <c r="BO42" s="46">
        <v>1157.1500000000001</v>
      </c>
      <c r="BP42" s="46">
        <v>1179.3699999999999</v>
      </c>
      <c r="BQ42" s="46">
        <v>1203.3900000000001</v>
      </c>
      <c r="BR42" s="46">
        <v>1223.33</v>
      </c>
      <c r="BS42" s="46">
        <v>1267.29</v>
      </c>
      <c r="BT42" s="46">
        <v>1291.1300000000001</v>
      </c>
      <c r="BU42" s="46">
        <v>1313.95</v>
      </c>
      <c r="BV42" s="46">
        <v>1332.99</v>
      </c>
      <c r="BW42" s="46">
        <v>1345.66</v>
      </c>
      <c r="BX42" s="46">
        <v>1461.61</v>
      </c>
      <c r="BY42" s="46">
        <v>1475.48</v>
      </c>
      <c r="BZ42" s="46">
        <v>1485.02</v>
      </c>
      <c r="CA42" s="46">
        <v>1612.47</v>
      </c>
      <c r="CB42" s="46">
        <v>1614.48</v>
      </c>
      <c r="CC42" s="46">
        <v>430.68</v>
      </c>
      <c r="CD42" s="46">
        <v>469.1</v>
      </c>
      <c r="CE42" s="46">
        <v>472.52</v>
      </c>
      <c r="CF42" s="46">
        <v>493.35</v>
      </c>
      <c r="CG42" s="46">
        <v>521.75</v>
      </c>
      <c r="CH42" s="46">
        <v>537.55999999999995</v>
      </c>
      <c r="CI42" s="46">
        <v>544.72</v>
      </c>
      <c r="CJ42" s="46">
        <v>593.51</v>
      </c>
      <c r="CK42" s="46">
        <v>668.46</v>
      </c>
      <c r="CL42" s="46">
        <v>691.94</v>
      </c>
      <c r="CM42" s="46">
        <v>717.38</v>
      </c>
      <c r="CN42" s="46">
        <v>728.36</v>
      </c>
      <c r="CO42" s="46">
        <v>753.92</v>
      </c>
      <c r="CP42" s="46">
        <v>862.58</v>
      </c>
      <c r="CQ42" s="46">
        <v>920.02</v>
      </c>
      <c r="CR42" s="46">
        <v>979.87</v>
      </c>
      <c r="CS42" s="46">
        <v>989.51</v>
      </c>
      <c r="CT42" s="46">
        <v>1002.86</v>
      </c>
      <c r="CU42" s="46">
        <v>1012.33</v>
      </c>
      <c r="CV42" s="46">
        <v>1054.49</v>
      </c>
      <c r="CW42" s="46">
        <v>1082.97</v>
      </c>
      <c r="CX42" s="46">
        <v>1083.32</v>
      </c>
      <c r="CY42" s="46">
        <v>1089.95</v>
      </c>
      <c r="CZ42" s="46">
        <v>1092.68</v>
      </c>
      <c r="DA42" s="46">
        <v>1149</v>
      </c>
      <c r="DB42" s="46">
        <v>1157.1500000000001</v>
      </c>
      <c r="DC42" s="46">
        <v>1179.3699999999999</v>
      </c>
      <c r="DD42" s="46">
        <v>1203.3900000000001</v>
      </c>
      <c r="DE42" s="46">
        <v>1223.33</v>
      </c>
      <c r="DF42" s="46">
        <v>1267.29</v>
      </c>
      <c r="DG42" s="46">
        <v>1291.1300000000001</v>
      </c>
      <c r="DH42" s="46">
        <v>1313.95</v>
      </c>
      <c r="DI42" s="46">
        <v>1332.99</v>
      </c>
      <c r="DJ42" s="46">
        <v>1345.66</v>
      </c>
      <c r="DK42" s="46">
        <v>1461.61</v>
      </c>
      <c r="DL42" s="46">
        <v>1475.48</v>
      </c>
      <c r="DM42" s="46">
        <v>1485.02</v>
      </c>
      <c r="DN42" s="46">
        <v>1612.47</v>
      </c>
      <c r="DO42" s="46">
        <v>1614.48</v>
      </c>
    </row>
    <row r="43" spans="1:119" s="5" customFormat="1" ht="14.25" x14ac:dyDescent="0.25">
      <c r="A43" s="252">
        <v>47</v>
      </c>
      <c r="B43" s="253"/>
      <c r="C43" s="45">
        <v>442.63</v>
      </c>
      <c r="D43" s="45">
        <v>482.12</v>
      </c>
      <c r="E43" s="45">
        <v>485.63</v>
      </c>
      <c r="F43" s="45">
        <v>507.04</v>
      </c>
      <c r="G43" s="45">
        <v>536.22</v>
      </c>
      <c r="H43" s="45">
        <v>552.47</v>
      </c>
      <c r="I43" s="45">
        <v>559.83000000000004</v>
      </c>
      <c r="J43" s="45">
        <v>609.97</v>
      </c>
      <c r="K43" s="45">
        <v>687</v>
      </c>
      <c r="L43" s="45">
        <v>711.13</v>
      </c>
      <c r="M43" s="45">
        <v>737.28</v>
      </c>
      <c r="N43" s="45">
        <v>748.57</v>
      </c>
      <c r="O43" s="45">
        <v>774.84</v>
      </c>
      <c r="P43" s="45">
        <v>886.51</v>
      </c>
      <c r="Q43" s="45">
        <v>945.55</v>
      </c>
      <c r="R43" s="45">
        <v>1007.05</v>
      </c>
      <c r="S43" s="45">
        <v>1016.96</v>
      </c>
      <c r="T43" s="45">
        <v>1030.68</v>
      </c>
      <c r="U43" s="45">
        <v>1040.42</v>
      </c>
      <c r="V43" s="45">
        <v>1083.75</v>
      </c>
      <c r="W43" s="45">
        <v>1113.02</v>
      </c>
      <c r="X43" s="45">
        <v>1113.3699999999999</v>
      </c>
      <c r="Y43" s="45">
        <v>1120.19</v>
      </c>
      <c r="Z43" s="45">
        <v>1122.99</v>
      </c>
      <c r="AA43" s="45">
        <v>1180.8699999999999</v>
      </c>
      <c r="AB43" s="45">
        <v>1189.25</v>
      </c>
      <c r="AC43" s="45">
        <v>1212.0899999999999</v>
      </c>
      <c r="AD43" s="45">
        <v>1236.78</v>
      </c>
      <c r="AE43" s="45">
        <v>1257.26</v>
      </c>
      <c r="AF43" s="45">
        <v>1302.45</v>
      </c>
      <c r="AG43" s="45">
        <v>1326.95</v>
      </c>
      <c r="AH43" s="45">
        <v>1350.4</v>
      </c>
      <c r="AI43" s="45">
        <v>1369.97</v>
      </c>
      <c r="AJ43" s="45">
        <v>1382.99</v>
      </c>
      <c r="AK43" s="45">
        <v>1502.15</v>
      </c>
      <c r="AL43" s="45">
        <v>1516.42</v>
      </c>
      <c r="AM43" s="45">
        <v>1526.21</v>
      </c>
      <c r="AN43" s="45">
        <v>1657.2</v>
      </c>
      <c r="AO43" s="45">
        <v>1659.27</v>
      </c>
      <c r="AP43" s="45">
        <v>442.63</v>
      </c>
      <c r="AQ43" s="45">
        <v>482.12</v>
      </c>
      <c r="AR43" s="45">
        <v>485.63</v>
      </c>
      <c r="AS43" s="45">
        <v>507.04</v>
      </c>
      <c r="AT43" s="45">
        <v>536.22</v>
      </c>
      <c r="AU43" s="45">
        <v>552.47</v>
      </c>
      <c r="AV43" s="45">
        <v>559.83000000000004</v>
      </c>
      <c r="AW43" s="45">
        <v>609.97</v>
      </c>
      <c r="AX43" s="45">
        <v>687</v>
      </c>
      <c r="AY43" s="45">
        <v>711.13</v>
      </c>
      <c r="AZ43" s="45">
        <v>737.28</v>
      </c>
      <c r="BA43" s="45">
        <v>748.57</v>
      </c>
      <c r="BB43" s="45">
        <v>774.84</v>
      </c>
      <c r="BC43" s="45">
        <v>886.51</v>
      </c>
      <c r="BD43" s="45">
        <v>945.55</v>
      </c>
      <c r="BE43" s="45">
        <v>1007.05</v>
      </c>
      <c r="BF43" s="45">
        <v>1016.96</v>
      </c>
      <c r="BG43" s="45">
        <v>1030.68</v>
      </c>
      <c r="BH43" s="45">
        <v>1040.42</v>
      </c>
      <c r="BI43" s="45">
        <v>1083.75</v>
      </c>
      <c r="BJ43" s="45">
        <v>1113.02</v>
      </c>
      <c r="BK43" s="45">
        <v>1113.3699999999999</v>
      </c>
      <c r="BL43" s="45">
        <v>1120.19</v>
      </c>
      <c r="BM43" s="45">
        <v>1122.99</v>
      </c>
      <c r="BN43" s="45">
        <v>1180.8699999999999</v>
      </c>
      <c r="BO43" s="45">
        <v>1189.25</v>
      </c>
      <c r="BP43" s="45">
        <v>1212.0899999999999</v>
      </c>
      <c r="BQ43" s="45">
        <v>1236.78</v>
      </c>
      <c r="BR43" s="45">
        <v>1257.26</v>
      </c>
      <c r="BS43" s="45">
        <v>1302.45</v>
      </c>
      <c r="BT43" s="45">
        <v>1326.95</v>
      </c>
      <c r="BU43" s="45">
        <v>1350.4</v>
      </c>
      <c r="BV43" s="45">
        <v>1369.97</v>
      </c>
      <c r="BW43" s="45">
        <v>1382.99</v>
      </c>
      <c r="BX43" s="45">
        <v>1502.15</v>
      </c>
      <c r="BY43" s="45">
        <v>1516.42</v>
      </c>
      <c r="BZ43" s="45">
        <v>1526.21</v>
      </c>
      <c r="CA43" s="45">
        <v>1657.2</v>
      </c>
      <c r="CB43" s="45">
        <v>1659.27</v>
      </c>
      <c r="CC43" s="45">
        <v>442.63</v>
      </c>
      <c r="CD43" s="45">
        <v>482.12</v>
      </c>
      <c r="CE43" s="45">
        <v>485.63</v>
      </c>
      <c r="CF43" s="45">
        <v>507.04</v>
      </c>
      <c r="CG43" s="45">
        <v>536.22</v>
      </c>
      <c r="CH43" s="45">
        <v>552.47</v>
      </c>
      <c r="CI43" s="45">
        <v>559.83000000000004</v>
      </c>
      <c r="CJ43" s="45">
        <v>609.97</v>
      </c>
      <c r="CK43" s="45">
        <v>687</v>
      </c>
      <c r="CL43" s="45">
        <v>711.13</v>
      </c>
      <c r="CM43" s="45">
        <v>737.28</v>
      </c>
      <c r="CN43" s="45">
        <v>748.57</v>
      </c>
      <c r="CO43" s="45">
        <v>774.84</v>
      </c>
      <c r="CP43" s="45">
        <v>886.51</v>
      </c>
      <c r="CQ43" s="45">
        <v>945.55</v>
      </c>
      <c r="CR43" s="45">
        <v>1007.05</v>
      </c>
      <c r="CS43" s="45">
        <v>1016.96</v>
      </c>
      <c r="CT43" s="45">
        <v>1030.68</v>
      </c>
      <c r="CU43" s="45">
        <v>1040.42</v>
      </c>
      <c r="CV43" s="45">
        <v>1083.75</v>
      </c>
      <c r="CW43" s="45">
        <v>1113.02</v>
      </c>
      <c r="CX43" s="45">
        <v>1113.3699999999999</v>
      </c>
      <c r="CY43" s="45">
        <v>1120.19</v>
      </c>
      <c r="CZ43" s="45">
        <v>1122.99</v>
      </c>
      <c r="DA43" s="45">
        <v>1180.8699999999999</v>
      </c>
      <c r="DB43" s="45">
        <v>1189.25</v>
      </c>
      <c r="DC43" s="45">
        <v>1212.0899999999999</v>
      </c>
      <c r="DD43" s="45">
        <v>1236.78</v>
      </c>
      <c r="DE43" s="45">
        <v>1257.26</v>
      </c>
      <c r="DF43" s="45">
        <v>1302.45</v>
      </c>
      <c r="DG43" s="45">
        <v>1326.95</v>
      </c>
      <c r="DH43" s="45">
        <v>1350.4</v>
      </c>
      <c r="DI43" s="45">
        <v>1369.97</v>
      </c>
      <c r="DJ43" s="45">
        <v>1382.99</v>
      </c>
      <c r="DK43" s="45">
        <v>1502.15</v>
      </c>
      <c r="DL43" s="45">
        <v>1516.42</v>
      </c>
      <c r="DM43" s="45">
        <v>1526.21</v>
      </c>
      <c r="DN43" s="45">
        <v>1657.2</v>
      </c>
      <c r="DO43" s="45">
        <v>1659.27</v>
      </c>
    </row>
    <row r="44" spans="1:119" s="5" customFormat="1" ht="14.25" x14ac:dyDescent="0.25">
      <c r="A44" s="252">
        <v>48</v>
      </c>
      <c r="B44" s="253"/>
      <c r="C44" s="45">
        <v>455.96</v>
      </c>
      <c r="D44" s="45">
        <v>496.64</v>
      </c>
      <c r="E44" s="45">
        <v>500.26</v>
      </c>
      <c r="F44" s="45">
        <v>522.32000000000005</v>
      </c>
      <c r="G44" s="45">
        <v>552.38</v>
      </c>
      <c r="H44" s="45">
        <v>569.12</v>
      </c>
      <c r="I44" s="45">
        <v>576.70000000000005</v>
      </c>
      <c r="J44" s="45">
        <v>628.35</v>
      </c>
      <c r="K44" s="45">
        <v>707.7</v>
      </c>
      <c r="L44" s="45">
        <v>732.56</v>
      </c>
      <c r="M44" s="45">
        <v>759.5</v>
      </c>
      <c r="N44" s="45">
        <v>771.13</v>
      </c>
      <c r="O44" s="45">
        <v>798.19</v>
      </c>
      <c r="P44" s="45">
        <v>913.22</v>
      </c>
      <c r="Q44" s="45">
        <v>974.04</v>
      </c>
      <c r="R44" s="45">
        <v>1037.3900000000001</v>
      </c>
      <c r="S44" s="45">
        <v>1047.5999999999999</v>
      </c>
      <c r="T44" s="45">
        <v>1061.73</v>
      </c>
      <c r="U44" s="45">
        <v>1071.76</v>
      </c>
      <c r="V44" s="45">
        <v>1116.4000000000001</v>
      </c>
      <c r="W44" s="45">
        <v>1146.56</v>
      </c>
      <c r="X44" s="45">
        <v>1146.92</v>
      </c>
      <c r="Y44" s="45">
        <v>1153.94</v>
      </c>
      <c r="Z44" s="45">
        <v>1156.83</v>
      </c>
      <c r="AA44" s="45">
        <v>1216.46</v>
      </c>
      <c r="AB44" s="45">
        <v>1225.08</v>
      </c>
      <c r="AC44" s="45">
        <v>1248.6099999999999</v>
      </c>
      <c r="AD44" s="45">
        <v>1274.04</v>
      </c>
      <c r="AE44" s="45">
        <v>1295.1500000000001</v>
      </c>
      <c r="AF44" s="45">
        <v>1341.69</v>
      </c>
      <c r="AG44" s="45">
        <v>1366.93</v>
      </c>
      <c r="AH44" s="45">
        <v>1391.09</v>
      </c>
      <c r="AI44" s="45">
        <v>1411.25</v>
      </c>
      <c r="AJ44" s="45">
        <v>1424.66</v>
      </c>
      <c r="AK44" s="45">
        <v>1547.42</v>
      </c>
      <c r="AL44" s="45">
        <v>1562.11</v>
      </c>
      <c r="AM44" s="45">
        <v>1572.2</v>
      </c>
      <c r="AN44" s="45">
        <v>1707.14</v>
      </c>
      <c r="AO44" s="45">
        <v>1709.26</v>
      </c>
      <c r="AP44" s="45">
        <v>455.96</v>
      </c>
      <c r="AQ44" s="45">
        <v>496.64</v>
      </c>
      <c r="AR44" s="45">
        <v>500.26</v>
      </c>
      <c r="AS44" s="45">
        <v>522.32000000000005</v>
      </c>
      <c r="AT44" s="45">
        <v>552.38</v>
      </c>
      <c r="AU44" s="45">
        <v>569.12</v>
      </c>
      <c r="AV44" s="45">
        <v>576.70000000000005</v>
      </c>
      <c r="AW44" s="45">
        <v>628.35</v>
      </c>
      <c r="AX44" s="45">
        <v>707.7</v>
      </c>
      <c r="AY44" s="45">
        <v>732.56</v>
      </c>
      <c r="AZ44" s="45">
        <v>759.5</v>
      </c>
      <c r="BA44" s="45">
        <v>771.13</v>
      </c>
      <c r="BB44" s="45">
        <v>798.19</v>
      </c>
      <c r="BC44" s="45">
        <v>913.22</v>
      </c>
      <c r="BD44" s="45">
        <v>974.04</v>
      </c>
      <c r="BE44" s="45">
        <v>1037.3900000000001</v>
      </c>
      <c r="BF44" s="45">
        <v>1047.5999999999999</v>
      </c>
      <c r="BG44" s="45">
        <v>1061.73</v>
      </c>
      <c r="BH44" s="45">
        <v>1071.76</v>
      </c>
      <c r="BI44" s="45">
        <v>1116.4000000000001</v>
      </c>
      <c r="BJ44" s="45">
        <v>1146.56</v>
      </c>
      <c r="BK44" s="45">
        <v>1146.92</v>
      </c>
      <c r="BL44" s="45">
        <v>1153.94</v>
      </c>
      <c r="BM44" s="45">
        <v>1156.83</v>
      </c>
      <c r="BN44" s="45">
        <v>1216.46</v>
      </c>
      <c r="BO44" s="45">
        <v>1225.08</v>
      </c>
      <c r="BP44" s="45">
        <v>1248.6099999999999</v>
      </c>
      <c r="BQ44" s="45">
        <v>1274.04</v>
      </c>
      <c r="BR44" s="45">
        <v>1295.1500000000001</v>
      </c>
      <c r="BS44" s="45">
        <v>1341.69</v>
      </c>
      <c r="BT44" s="45">
        <v>1366.93</v>
      </c>
      <c r="BU44" s="45">
        <v>1391.09</v>
      </c>
      <c r="BV44" s="45">
        <v>1411.25</v>
      </c>
      <c r="BW44" s="45">
        <v>1424.66</v>
      </c>
      <c r="BX44" s="45">
        <v>1547.42</v>
      </c>
      <c r="BY44" s="45">
        <v>1562.11</v>
      </c>
      <c r="BZ44" s="45">
        <v>1572.2</v>
      </c>
      <c r="CA44" s="45">
        <v>1707.14</v>
      </c>
      <c r="CB44" s="45">
        <v>1709.26</v>
      </c>
      <c r="CC44" s="45">
        <v>455.96</v>
      </c>
      <c r="CD44" s="45">
        <v>496.64</v>
      </c>
      <c r="CE44" s="45">
        <v>500.26</v>
      </c>
      <c r="CF44" s="45">
        <v>522.32000000000005</v>
      </c>
      <c r="CG44" s="45">
        <v>552.38</v>
      </c>
      <c r="CH44" s="45">
        <v>569.12</v>
      </c>
      <c r="CI44" s="45">
        <v>576.70000000000005</v>
      </c>
      <c r="CJ44" s="45">
        <v>628.35</v>
      </c>
      <c r="CK44" s="45">
        <v>707.7</v>
      </c>
      <c r="CL44" s="45">
        <v>732.56</v>
      </c>
      <c r="CM44" s="45">
        <v>759.5</v>
      </c>
      <c r="CN44" s="45">
        <v>771.13</v>
      </c>
      <c r="CO44" s="45">
        <v>798.19</v>
      </c>
      <c r="CP44" s="45">
        <v>913.22</v>
      </c>
      <c r="CQ44" s="45">
        <v>974.04</v>
      </c>
      <c r="CR44" s="45">
        <v>1037.3900000000001</v>
      </c>
      <c r="CS44" s="45">
        <v>1047.5999999999999</v>
      </c>
      <c r="CT44" s="45">
        <v>1061.73</v>
      </c>
      <c r="CU44" s="45">
        <v>1071.76</v>
      </c>
      <c r="CV44" s="45">
        <v>1116.4000000000001</v>
      </c>
      <c r="CW44" s="45">
        <v>1146.56</v>
      </c>
      <c r="CX44" s="45">
        <v>1146.92</v>
      </c>
      <c r="CY44" s="45">
        <v>1153.94</v>
      </c>
      <c r="CZ44" s="45">
        <v>1156.83</v>
      </c>
      <c r="DA44" s="45">
        <v>1216.46</v>
      </c>
      <c r="DB44" s="45">
        <v>1225.08</v>
      </c>
      <c r="DC44" s="45">
        <v>1248.6099999999999</v>
      </c>
      <c r="DD44" s="45">
        <v>1274.04</v>
      </c>
      <c r="DE44" s="45">
        <v>1295.1500000000001</v>
      </c>
      <c r="DF44" s="45">
        <v>1341.69</v>
      </c>
      <c r="DG44" s="45">
        <v>1366.93</v>
      </c>
      <c r="DH44" s="45">
        <v>1391.09</v>
      </c>
      <c r="DI44" s="45">
        <v>1411.25</v>
      </c>
      <c r="DJ44" s="45">
        <v>1424.66</v>
      </c>
      <c r="DK44" s="45">
        <v>1547.42</v>
      </c>
      <c r="DL44" s="45">
        <v>1562.11</v>
      </c>
      <c r="DM44" s="45">
        <v>1572.2</v>
      </c>
      <c r="DN44" s="45">
        <v>1707.14</v>
      </c>
      <c r="DO44" s="45">
        <v>1709.26</v>
      </c>
    </row>
    <row r="45" spans="1:119" s="5" customFormat="1" ht="14.25" x14ac:dyDescent="0.25">
      <c r="A45" s="252">
        <v>49</v>
      </c>
      <c r="B45" s="253"/>
      <c r="C45" s="45">
        <v>469.02</v>
      </c>
      <c r="D45" s="45">
        <v>510.87</v>
      </c>
      <c r="E45" s="45">
        <v>514.59</v>
      </c>
      <c r="F45" s="45">
        <v>537.28</v>
      </c>
      <c r="G45" s="45">
        <v>568.20000000000005</v>
      </c>
      <c r="H45" s="45">
        <v>585.41999999999996</v>
      </c>
      <c r="I45" s="45">
        <v>593.22</v>
      </c>
      <c r="J45" s="45">
        <v>646.35</v>
      </c>
      <c r="K45" s="45">
        <v>727.97</v>
      </c>
      <c r="L45" s="45">
        <v>753.54</v>
      </c>
      <c r="M45" s="45">
        <v>781.25</v>
      </c>
      <c r="N45" s="45">
        <v>793.21</v>
      </c>
      <c r="O45" s="45">
        <v>821.05</v>
      </c>
      <c r="P45" s="45">
        <v>939.38</v>
      </c>
      <c r="Q45" s="45">
        <v>1001.94</v>
      </c>
      <c r="R45" s="45">
        <v>1067.1099999999999</v>
      </c>
      <c r="S45" s="45">
        <v>1077.5999999999999</v>
      </c>
      <c r="T45" s="45">
        <v>1092.1400000000001</v>
      </c>
      <c r="U45" s="45">
        <v>1102.46</v>
      </c>
      <c r="V45" s="45">
        <v>1148.3800000000001</v>
      </c>
      <c r="W45" s="45">
        <v>1179.3900000000001</v>
      </c>
      <c r="X45" s="45">
        <v>1179.77</v>
      </c>
      <c r="Y45" s="45">
        <v>1186.99</v>
      </c>
      <c r="Z45" s="45">
        <v>1189.96</v>
      </c>
      <c r="AA45" s="45">
        <v>1251.3</v>
      </c>
      <c r="AB45" s="45">
        <v>1260.17</v>
      </c>
      <c r="AC45" s="45">
        <v>1284.3699999999999</v>
      </c>
      <c r="AD45" s="45">
        <v>1310.53</v>
      </c>
      <c r="AE45" s="45">
        <v>1332.24</v>
      </c>
      <c r="AF45" s="45">
        <v>1380.12</v>
      </c>
      <c r="AG45" s="45">
        <v>1406.08</v>
      </c>
      <c r="AH45" s="45">
        <v>1430.93</v>
      </c>
      <c r="AI45" s="45">
        <v>1451.67</v>
      </c>
      <c r="AJ45" s="45">
        <v>1465.46</v>
      </c>
      <c r="AK45" s="45">
        <v>1591.74</v>
      </c>
      <c r="AL45" s="45">
        <v>1606.85</v>
      </c>
      <c r="AM45" s="45">
        <v>1617.23</v>
      </c>
      <c r="AN45" s="45">
        <v>1756.03</v>
      </c>
      <c r="AO45" s="45">
        <v>1758.22</v>
      </c>
      <c r="AP45" s="45">
        <v>469.02</v>
      </c>
      <c r="AQ45" s="45">
        <v>510.87</v>
      </c>
      <c r="AR45" s="45">
        <v>514.59</v>
      </c>
      <c r="AS45" s="45">
        <v>537.28</v>
      </c>
      <c r="AT45" s="45">
        <v>568.20000000000005</v>
      </c>
      <c r="AU45" s="45">
        <v>585.41999999999996</v>
      </c>
      <c r="AV45" s="45">
        <v>593.22</v>
      </c>
      <c r="AW45" s="45">
        <v>646.35</v>
      </c>
      <c r="AX45" s="45">
        <v>727.97</v>
      </c>
      <c r="AY45" s="45">
        <v>753.54</v>
      </c>
      <c r="AZ45" s="45">
        <v>781.25</v>
      </c>
      <c r="BA45" s="45">
        <v>793.21</v>
      </c>
      <c r="BB45" s="45">
        <v>821.05</v>
      </c>
      <c r="BC45" s="45">
        <v>939.38</v>
      </c>
      <c r="BD45" s="45">
        <v>1001.94</v>
      </c>
      <c r="BE45" s="45">
        <v>1067.1099999999999</v>
      </c>
      <c r="BF45" s="45">
        <v>1077.5999999999999</v>
      </c>
      <c r="BG45" s="45">
        <v>1092.1400000000001</v>
      </c>
      <c r="BH45" s="45">
        <v>1102.46</v>
      </c>
      <c r="BI45" s="45">
        <v>1148.3800000000001</v>
      </c>
      <c r="BJ45" s="45">
        <v>1179.3900000000001</v>
      </c>
      <c r="BK45" s="45">
        <v>1179.77</v>
      </c>
      <c r="BL45" s="45">
        <v>1186.99</v>
      </c>
      <c r="BM45" s="45">
        <v>1189.96</v>
      </c>
      <c r="BN45" s="45">
        <v>1251.3</v>
      </c>
      <c r="BO45" s="45">
        <v>1260.17</v>
      </c>
      <c r="BP45" s="45">
        <v>1284.3699999999999</v>
      </c>
      <c r="BQ45" s="45">
        <v>1310.53</v>
      </c>
      <c r="BR45" s="45">
        <v>1332.24</v>
      </c>
      <c r="BS45" s="45">
        <v>1380.12</v>
      </c>
      <c r="BT45" s="45">
        <v>1406.08</v>
      </c>
      <c r="BU45" s="45">
        <v>1430.93</v>
      </c>
      <c r="BV45" s="45">
        <v>1451.67</v>
      </c>
      <c r="BW45" s="45">
        <v>1465.46</v>
      </c>
      <c r="BX45" s="45">
        <v>1591.74</v>
      </c>
      <c r="BY45" s="45">
        <v>1606.85</v>
      </c>
      <c r="BZ45" s="45">
        <v>1617.23</v>
      </c>
      <c r="CA45" s="45">
        <v>1756.03</v>
      </c>
      <c r="CB45" s="45">
        <v>1758.22</v>
      </c>
      <c r="CC45" s="45">
        <v>469.02</v>
      </c>
      <c r="CD45" s="45">
        <v>510.87</v>
      </c>
      <c r="CE45" s="45">
        <v>514.59</v>
      </c>
      <c r="CF45" s="45">
        <v>537.28</v>
      </c>
      <c r="CG45" s="45">
        <v>568.20000000000005</v>
      </c>
      <c r="CH45" s="45">
        <v>585.41999999999996</v>
      </c>
      <c r="CI45" s="45">
        <v>593.22</v>
      </c>
      <c r="CJ45" s="45">
        <v>646.35</v>
      </c>
      <c r="CK45" s="45">
        <v>727.97</v>
      </c>
      <c r="CL45" s="45">
        <v>753.54</v>
      </c>
      <c r="CM45" s="45">
        <v>781.25</v>
      </c>
      <c r="CN45" s="45">
        <v>793.21</v>
      </c>
      <c r="CO45" s="45">
        <v>821.05</v>
      </c>
      <c r="CP45" s="45">
        <v>939.38</v>
      </c>
      <c r="CQ45" s="45">
        <v>1001.94</v>
      </c>
      <c r="CR45" s="45">
        <v>1067.1099999999999</v>
      </c>
      <c r="CS45" s="45">
        <v>1077.5999999999999</v>
      </c>
      <c r="CT45" s="45">
        <v>1092.1400000000001</v>
      </c>
      <c r="CU45" s="45">
        <v>1102.46</v>
      </c>
      <c r="CV45" s="45">
        <v>1148.3800000000001</v>
      </c>
      <c r="CW45" s="45">
        <v>1179.3900000000001</v>
      </c>
      <c r="CX45" s="45">
        <v>1179.77</v>
      </c>
      <c r="CY45" s="45">
        <v>1186.99</v>
      </c>
      <c r="CZ45" s="45">
        <v>1189.96</v>
      </c>
      <c r="DA45" s="45">
        <v>1251.3</v>
      </c>
      <c r="DB45" s="45">
        <v>1260.17</v>
      </c>
      <c r="DC45" s="45">
        <v>1284.3699999999999</v>
      </c>
      <c r="DD45" s="45">
        <v>1310.53</v>
      </c>
      <c r="DE45" s="45">
        <v>1332.24</v>
      </c>
      <c r="DF45" s="45">
        <v>1380.12</v>
      </c>
      <c r="DG45" s="45">
        <v>1406.08</v>
      </c>
      <c r="DH45" s="45">
        <v>1430.93</v>
      </c>
      <c r="DI45" s="45">
        <v>1451.67</v>
      </c>
      <c r="DJ45" s="45">
        <v>1465.46</v>
      </c>
      <c r="DK45" s="45">
        <v>1591.74</v>
      </c>
      <c r="DL45" s="45">
        <v>1606.85</v>
      </c>
      <c r="DM45" s="45">
        <v>1617.23</v>
      </c>
      <c r="DN45" s="45">
        <v>1756.03</v>
      </c>
      <c r="DO45" s="45">
        <v>1758.22</v>
      </c>
    </row>
    <row r="46" spans="1:119" s="5" customFormat="1" ht="14.25" x14ac:dyDescent="0.25">
      <c r="A46" s="252">
        <v>50</v>
      </c>
      <c r="B46" s="253"/>
      <c r="C46" s="45">
        <v>483.75</v>
      </c>
      <c r="D46" s="45">
        <v>526.91</v>
      </c>
      <c r="E46" s="45">
        <v>530.75</v>
      </c>
      <c r="F46" s="45">
        <v>554.15</v>
      </c>
      <c r="G46" s="45">
        <v>586.04</v>
      </c>
      <c r="H46" s="45">
        <v>603.79999999999995</v>
      </c>
      <c r="I46" s="45">
        <v>611.85</v>
      </c>
      <c r="J46" s="45">
        <v>666.64</v>
      </c>
      <c r="K46" s="45">
        <v>750.83</v>
      </c>
      <c r="L46" s="45">
        <v>777.2</v>
      </c>
      <c r="M46" s="45">
        <v>805.78</v>
      </c>
      <c r="N46" s="45">
        <v>818.12</v>
      </c>
      <c r="O46" s="45">
        <v>846.83</v>
      </c>
      <c r="P46" s="45">
        <v>968.87</v>
      </c>
      <c r="Q46" s="45">
        <v>1033.3900000000001</v>
      </c>
      <c r="R46" s="45">
        <v>1100.6099999999999</v>
      </c>
      <c r="S46" s="45">
        <v>1111.44</v>
      </c>
      <c r="T46" s="45">
        <v>1126.43</v>
      </c>
      <c r="U46" s="45">
        <v>1137.08</v>
      </c>
      <c r="V46" s="45">
        <v>1184.43</v>
      </c>
      <c r="W46" s="45">
        <v>1216.42</v>
      </c>
      <c r="X46" s="45">
        <v>1216.81</v>
      </c>
      <c r="Y46" s="45">
        <v>1224.26</v>
      </c>
      <c r="Z46" s="45">
        <v>1227.33</v>
      </c>
      <c r="AA46" s="45">
        <v>1290.58</v>
      </c>
      <c r="AB46" s="45">
        <v>1299.74</v>
      </c>
      <c r="AC46" s="45">
        <v>1324.7</v>
      </c>
      <c r="AD46" s="45">
        <v>1351.68</v>
      </c>
      <c r="AE46" s="45">
        <v>1374.07</v>
      </c>
      <c r="AF46" s="45">
        <v>1423.45</v>
      </c>
      <c r="AG46" s="45">
        <v>1450.23</v>
      </c>
      <c r="AH46" s="45">
        <v>1475.86</v>
      </c>
      <c r="AI46" s="45">
        <v>1497.25</v>
      </c>
      <c r="AJ46" s="45">
        <v>1511.47</v>
      </c>
      <c r="AK46" s="45">
        <v>1641.71</v>
      </c>
      <c r="AL46" s="45">
        <v>1657.3</v>
      </c>
      <c r="AM46" s="45">
        <v>1668.01</v>
      </c>
      <c r="AN46" s="45">
        <v>1811.17</v>
      </c>
      <c r="AO46" s="45">
        <v>1813.42</v>
      </c>
      <c r="AP46" s="45">
        <v>483.75</v>
      </c>
      <c r="AQ46" s="45">
        <v>526.91</v>
      </c>
      <c r="AR46" s="45">
        <v>530.75</v>
      </c>
      <c r="AS46" s="45">
        <v>554.15</v>
      </c>
      <c r="AT46" s="45">
        <v>586.04</v>
      </c>
      <c r="AU46" s="45">
        <v>603.79999999999995</v>
      </c>
      <c r="AV46" s="45">
        <v>611.85</v>
      </c>
      <c r="AW46" s="45">
        <v>666.64</v>
      </c>
      <c r="AX46" s="45">
        <v>750.83</v>
      </c>
      <c r="AY46" s="45">
        <v>777.2</v>
      </c>
      <c r="AZ46" s="45">
        <v>805.78</v>
      </c>
      <c r="BA46" s="45">
        <v>818.12</v>
      </c>
      <c r="BB46" s="45">
        <v>846.83</v>
      </c>
      <c r="BC46" s="45">
        <v>968.87</v>
      </c>
      <c r="BD46" s="45">
        <v>1033.3900000000001</v>
      </c>
      <c r="BE46" s="45">
        <v>1100.6099999999999</v>
      </c>
      <c r="BF46" s="45">
        <v>1111.44</v>
      </c>
      <c r="BG46" s="45">
        <v>1126.43</v>
      </c>
      <c r="BH46" s="45">
        <v>1137.08</v>
      </c>
      <c r="BI46" s="45">
        <v>1184.43</v>
      </c>
      <c r="BJ46" s="45">
        <v>1216.42</v>
      </c>
      <c r="BK46" s="45">
        <v>1216.81</v>
      </c>
      <c r="BL46" s="45">
        <v>1224.26</v>
      </c>
      <c r="BM46" s="45">
        <v>1227.33</v>
      </c>
      <c r="BN46" s="45">
        <v>1290.58</v>
      </c>
      <c r="BO46" s="45">
        <v>1299.74</v>
      </c>
      <c r="BP46" s="45">
        <v>1324.7</v>
      </c>
      <c r="BQ46" s="45">
        <v>1351.68</v>
      </c>
      <c r="BR46" s="45">
        <v>1374.07</v>
      </c>
      <c r="BS46" s="45">
        <v>1423.45</v>
      </c>
      <c r="BT46" s="45">
        <v>1450.23</v>
      </c>
      <c r="BU46" s="45">
        <v>1475.86</v>
      </c>
      <c r="BV46" s="45">
        <v>1497.25</v>
      </c>
      <c r="BW46" s="45">
        <v>1511.47</v>
      </c>
      <c r="BX46" s="45">
        <v>1641.71</v>
      </c>
      <c r="BY46" s="45">
        <v>1657.3</v>
      </c>
      <c r="BZ46" s="45">
        <v>1668.01</v>
      </c>
      <c r="CA46" s="45">
        <v>1811.17</v>
      </c>
      <c r="CB46" s="45">
        <v>1813.42</v>
      </c>
      <c r="CC46" s="45">
        <v>483.75</v>
      </c>
      <c r="CD46" s="45">
        <v>526.91</v>
      </c>
      <c r="CE46" s="45">
        <v>530.75</v>
      </c>
      <c r="CF46" s="45">
        <v>554.15</v>
      </c>
      <c r="CG46" s="45">
        <v>586.04</v>
      </c>
      <c r="CH46" s="45">
        <v>603.79999999999995</v>
      </c>
      <c r="CI46" s="45">
        <v>611.85</v>
      </c>
      <c r="CJ46" s="45">
        <v>666.64</v>
      </c>
      <c r="CK46" s="45">
        <v>750.83</v>
      </c>
      <c r="CL46" s="45">
        <v>777.2</v>
      </c>
      <c r="CM46" s="45">
        <v>805.78</v>
      </c>
      <c r="CN46" s="45">
        <v>818.12</v>
      </c>
      <c r="CO46" s="45">
        <v>846.83</v>
      </c>
      <c r="CP46" s="45">
        <v>968.87</v>
      </c>
      <c r="CQ46" s="45">
        <v>1033.3900000000001</v>
      </c>
      <c r="CR46" s="45">
        <v>1100.6099999999999</v>
      </c>
      <c r="CS46" s="45">
        <v>1111.44</v>
      </c>
      <c r="CT46" s="45">
        <v>1126.43</v>
      </c>
      <c r="CU46" s="45">
        <v>1137.08</v>
      </c>
      <c r="CV46" s="45">
        <v>1184.43</v>
      </c>
      <c r="CW46" s="45">
        <v>1216.42</v>
      </c>
      <c r="CX46" s="45">
        <v>1216.81</v>
      </c>
      <c r="CY46" s="45">
        <v>1224.26</v>
      </c>
      <c r="CZ46" s="45">
        <v>1227.33</v>
      </c>
      <c r="DA46" s="45">
        <v>1290.58</v>
      </c>
      <c r="DB46" s="45">
        <v>1299.74</v>
      </c>
      <c r="DC46" s="45">
        <v>1324.7</v>
      </c>
      <c r="DD46" s="45">
        <v>1351.68</v>
      </c>
      <c r="DE46" s="45">
        <v>1374.07</v>
      </c>
      <c r="DF46" s="45">
        <v>1423.45</v>
      </c>
      <c r="DG46" s="45">
        <v>1450.23</v>
      </c>
      <c r="DH46" s="45">
        <v>1475.86</v>
      </c>
      <c r="DI46" s="45">
        <v>1497.25</v>
      </c>
      <c r="DJ46" s="45">
        <v>1511.47</v>
      </c>
      <c r="DK46" s="45">
        <v>1641.71</v>
      </c>
      <c r="DL46" s="45">
        <v>1657.3</v>
      </c>
      <c r="DM46" s="45">
        <v>1668.01</v>
      </c>
      <c r="DN46" s="45">
        <v>1811.17</v>
      </c>
      <c r="DO46" s="45">
        <v>1813.42</v>
      </c>
    </row>
    <row r="47" spans="1:119" s="5" customFormat="1" ht="14.25" x14ac:dyDescent="0.25">
      <c r="A47" s="252">
        <v>51</v>
      </c>
      <c r="B47" s="253"/>
      <c r="C47" s="45">
        <v>497.92</v>
      </c>
      <c r="D47" s="45">
        <v>542.34</v>
      </c>
      <c r="E47" s="45">
        <v>546.29999999999995</v>
      </c>
      <c r="F47" s="45">
        <v>570.38</v>
      </c>
      <c r="G47" s="45">
        <v>603.21</v>
      </c>
      <c r="H47" s="45">
        <v>621.49</v>
      </c>
      <c r="I47" s="45">
        <v>629.77</v>
      </c>
      <c r="J47" s="45">
        <v>686.17</v>
      </c>
      <c r="K47" s="45">
        <v>772.82</v>
      </c>
      <c r="L47" s="45">
        <v>799.97</v>
      </c>
      <c r="M47" s="45">
        <v>829.38</v>
      </c>
      <c r="N47" s="45">
        <v>842.08</v>
      </c>
      <c r="O47" s="45">
        <v>871.63</v>
      </c>
      <c r="P47" s="45">
        <v>997.26</v>
      </c>
      <c r="Q47" s="45">
        <v>1063.67</v>
      </c>
      <c r="R47" s="45">
        <v>1132.8499999999999</v>
      </c>
      <c r="S47" s="45">
        <v>1144</v>
      </c>
      <c r="T47" s="45">
        <v>1159.43</v>
      </c>
      <c r="U47" s="45">
        <v>1170.3900000000001</v>
      </c>
      <c r="V47" s="45">
        <v>1219.1300000000001</v>
      </c>
      <c r="W47" s="45">
        <v>1252.06</v>
      </c>
      <c r="X47" s="45">
        <v>1252.46</v>
      </c>
      <c r="Y47" s="45">
        <v>1260.1199999999999</v>
      </c>
      <c r="Z47" s="45">
        <v>1263.28</v>
      </c>
      <c r="AA47" s="45">
        <v>1328.39</v>
      </c>
      <c r="AB47" s="45">
        <v>1337.81</v>
      </c>
      <c r="AC47" s="45">
        <v>1363.51</v>
      </c>
      <c r="AD47" s="45">
        <v>1391.28</v>
      </c>
      <c r="AE47" s="45">
        <v>1414.32</v>
      </c>
      <c r="AF47" s="45">
        <v>1465.15</v>
      </c>
      <c r="AG47" s="45">
        <v>1492.71</v>
      </c>
      <c r="AH47" s="45">
        <v>1519.1</v>
      </c>
      <c r="AI47" s="45">
        <v>1541.11</v>
      </c>
      <c r="AJ47" s="45">
        <v>1555.75</v>
      </c>
      <c r="AK47" s="45">
        <v>1689.81</v>
      </c>
      <c r="AL47" s="45">
        <v>1705.85</v>
      </c>
      <c r="AM47" s="45">
        <v>1716.87</v>
      </c>
      <c r="AN47" s="45">
        <v>1864.22</v>
      </c>
      <c r="AO47" s="45">
        <v>1866.54</v>
      </c>
      <c r="AP47" s="45">
        <v>497.92</v>
      </c>
      <c r="AQ47" s="45">
        <v>542.34</v>
      </c>
      <c r="AR47" s="45">
        <v>546.29999999999995</v>
      </c>
      <c r="AS47" s="45">
        <v>570.38</v>
      </c>
      <c r="AT47" s="45">
        <v>603.21</v>
      </c>
      <c r="AU47" s="45">
        <v>621.49</v>
      </c>
      <c r="AV47" s="45">
        <v>629.77</v>
      </c>
      <c r="AW47" s="45">
        <v>686.17</v>
      </c>
      <c r="AX47" s="45">
        <v>772.82</v>
      </c>
      <c r="AY47" s="45">
        <v>799.97</v>
      </c>
      <c r="AZ47" s="45">
        <v>829.38</v>
      </c>
      <c r="BA47" s="45">
        <v>842.08</v>
      </c>
      <c r="BB47" s="45">
        <v>871.63</v>
      </c>
      <c r="BC47" s="45">
        <v>997.26</v>
      </c>
      <c r="BD47" s="45">
        <v>1063.67</v>
      </c>
      <c r="BE47" s="45">
        <v>1132.8499999999999</v>
      </c>
      <c r="BF47" s="45">
        <v>1144</v>
      </c>
      <c r="BG47" s="45">
        <v>1159.43</v>
      </c>
      <c r="BH47" s="45">
        <v>1170.3900000000001</v>
      </c>
      <c r="BI47" s="45">
        <v>1219.1300000000001</v>
      </c>
      <c r="BJ47" s="45">
        <v>1252.06</v>
      </c>
      <c r="BK47" s="45">
        <v>1252.46</v>
      </c>
      <c r="BL47" s="45">
        <v>1260.1199999999999</v>
      </c>
      <c r="BM47" s="45">
        <v>1263.28</v>
      </c>
      <c r="BN47" s="45">
        <v>1328.39</v>
      </c>
      <c r="BO47" s="45">
        <v>1337.81</v>
      </c>
      <c r="BP47" s="45">
        <v>1363.51</v>
      </c>
      <c r="BQ47" s="45">
        <v>1391.28</v>
      </c>
      <c r="BR47" s="45">
        <v>1414.32</v>
      </c>
      <c r="BS47" s="45">
        <v>1465.15</v>
      </c>
      <c r="BT47" s="45">
        <v>1492.71</v>
      </c>
      <c r="BU47" s="45">
        <v>1519.1</v>
      </c>
      <c r="BV47" s="45">
        <v>1541.11</v>
      </c>
      <c r="BW47" s="45">
        <v>1555.75</v>
      </c>
      <c r="BX47" s="45">
        <v>1689.81</v>
      </c>
      <c r="BY47" s="45">
        <v>1705.85</v>
      </c>
      <c r="BZ47" s="45">
        <v>1716.87</v>
      </c>
      <c r="CA47" s="45">
        <v>1864.22</v>
      </c>
      <c r="CB47" s="45">
        <v>1866.54</v>
      </c>
      <c r="CC47" s="45">
        <v>497.92</v>
      </c>
      <c r="CD47" s="45">
        <v>542.34</v>
      </c>
      <c r="CE47" s="45">
        <v>546.29999999999995</v>
      </c>
      <c r="CF47" s="45">
        <v>570.38</v>
      </c>
      <c r="CG47" s="45">
        <v>603.21</v>
      </c>
      <c r="CH47" s="45">
        <v>621.49</v>
      </c>
      <c r="CI47" s="45">
        <v>629.77</v>
      </c>
      <c r="CJ47" s="45">
        <v>686.17</v>
      </c>
      <c r="CK47" s="45">
        <v>772.82</v>
      </c>
      <c r="CL47" s="45">
        <v>799.97</v>
      </c>
      <c r="CM47" s="45">
        <v>829.38</v>
      </c>
      <c r="CN47" s="45">
        <v>842.08</v>
      </c>
      <c r="CO47" s="45">
        <v>871.63</v>
      </c>
      <c r="CP47" s="45">
        <v>997.26</v>
      </c>
      <c r="CQ47" s="45">
        <v>1063.67</v>
      </c>
      <c r="CR47" s="45">
        <v>1132.8499999999999</v>
      </c>
      <c r="CS47" s="45">
        <v>1144</v>
      </c>
      <c r="CT47" s="45">
        <v>1159.43</v>
      </c>
      <c r="CU47" s="45">
        <v>1170.3900000000001</v>
      </c>
      <c r="CV47" s="45">
        <v>1219.1300000000001</v>
      </c>
      <c r="CW47" s="45">
        <v>1252.06</v>
      </c>
      <c r="CX47" s="45">
        <v>1252.46</v>
      </c>
      <c r="CY47" s="45">
        <v>1260.1199999999999</v>
      </c>
      <c r="CZ47" s="45">
        <v>1263.28</v>
      </c>
      <c r="DA47" s="45">
        <v>1328.39</v>
      </c>
      <c r="DB47" s="45">
        <v>1337.81</v>
      </c>
      <c r="DC47" s="45">
        <v>1363.51</v>
      </c>
      <c r="DD47" s="45">
        <v>1391.28</v>
      </c>
      <c r="DE47" s="45">
        <v>1414.32</v>
      </c>
      <c r="DF47" s="45">
        <v>1465.15</v>
      </c>
      <c r="DG47" s="45">
        <v>1492.71</v>
      </c>
      <c r="DH47" s="45">
        <v>1519.1</v>
      </c>
      <c r="DI47" s="45">
        <v>1541.11</v>
      </c>
      <c r="DJ47" s="45">
        <v>1555.75</v>
      </c>
      <c r="DK47" s="45">
        <v>1689.81</v>
      </c>
      <c r="DL47" s="45">
        <v>1705.85</v>
      </c>
      <c r="DM47" s="45">
        <v>1716.87</v>
      </c>
      <c r="DN47" s="45">
        <v>1864.22</v>
      </c>
      <c r="DO47" s="45">
        <v>1866.54</v>
      </c>
    </row>
    <row r="48" spans="1:119" s="2" customFormat="1" ht="14.25" x14ac:dyDescent="0.25">
      <c r="A48" s="252">
        <v>52</v>
      </c>
      <c r="B48" s="253"/>
      <c r="C48" s="45">
        <v>513.20000000000005</v>
      </c>
      <c r="D48" s="45">
        <v>558.99</v>
      </c>
      <c r="E48" s="45">
        <v>563.05999999999995</v>
      </c>
      <c r="F48" s="45">
        <v>587.89</v>
      </c>
      <c r="G48" s="45">
        <v>621.72</v>
      </c>
      <c r="H48" s="45">
        <v>640.55999999999995</v>
      </c>
      <c r="I48" s="45">
        <v>649.1</v>
      </c>
      <c r="J48" s="45">
        <v>707.23</v>
      </c>
      <c r="K48" s="45">
        <v>796.54</v>
      </c>
      <c r="L48" s="45">
        <v>824.52</v>
      </c>
      <c r="M48" s="45">
        <v>854.84</v>
      </c>
      <c r="N48" s="45">
        <v>867.93</v>
      </c>
      <c r="O48" s="45">
        <v>898.39</v>
      </c>
      <c r="P48" s="45">
        <v>1027.8599999999999</v>
      </c>
      <c r="Q48" s="45">
        <v>1096.31</v>
      </c>
      <c r="R48" s="45">
        <v>1167.6199999999999</v>
      </c>
      <c r="S48" s="45">
        <v>1179.1099999999999</v>
      </c>
      <c r="T48" s="45">
        <v>1195.02</v>
      </c>
      <c r="U48" s="45">
        <v>1206.31</v>
      </c>
      <c r="V48" s="45">
        <v>1256.55</v>
      </c>
      <c r="W48" s="45">
        <v>1290.49</v>
      </c>
      <c r="X48" s="45">
        <v>1290.9000000000001</v>
      </c>
      <c r="Y48" s="45">
        <v>1298.8</v>
      </c>
      <c r="Z48" s="45">
        <v>1302.05</v>
      </c>
      <c r="AA48" s="45">
        <v>1369.16</v>
      </c>
      <c r="AB48" s="45">
        <v>1378.87</v>
      </c>
      <c r="AC48" s="45">
        <v>1405.36</v>
      </c>
      <c r="AD48" s="45">
        <v>1433.98</v>
      </c>
      <c r="AE48" s="45">
        <v>1457.73</v>
      </c>
      <c r="AF48" s="45">
        <v>1510.12</v>
      </c>
      <c r="AG48" s="45">
        <v>1538.52</v>
      </c>
      <c r="AH48" s="45">
        <v>1565.72</v>
      </c>
      <c r="AI48" s="45">
        <v>1588.41</v>
      </c>
      <c r="AJ48" s="45">
        <v>1603.5</v>
      </c>
      <c r="AK48" s="45">
        <v>1741.67</v>
      </c>
      <c r="AL48" s="45">
        <v>1758.2</v>
      </c>
      <c r="AM48" s="45">
        <v>1769.57</v>
      </c>
      <c r="AN48" s="45">
        <v>1921.44</v>
      </c>
      <c r="AO48" s="45">
        <v>1923.83</v>
      </c>
      <c r="AP48" s="45">
        <v>513.20000000000005</v>
      </c>
      <c r="AQ48" s="45">
        <v>558.99</v>
      </c>
      <c r="AR48" s="45">
        <v>563.05999999999995</v>
      </c>
      <c r="AS48" s="45">
        <v>587.89</v>
      </c>
      <c r="AT48" s="45">
        <v>621.72</v>
      </c>
      <c r="AU48" s="45">
        <v>640.55999999999995</v>
      </c>
      <c r="AV48" s="45">
        <v>649.1</v>
      </c>
      <c r="AW48" s="45">
        <v>707.23</v>
      </c>
      <c r="AX48" s="45">
        <v>796.54</v>
      </c>
      <c r="AY48" s="45">
        <v>824.52</v>
      </c>
      <c r="AZ48" s="45">
        <v>854.84</v>
      </c>
      <c r="BA48" s="45">
        <v>867.93</v>
      </c>
      <c r="BB48" s="45">
        <v>898.39</v>
      </c>
      <c r="BC48" s="45">
        <v>1027.8599999999999</v>
      </c>
      <c r="BD48" s="45">
        <v>1096.31</v>
      </c>
      <c r="BE48" s="45">
        <v>1167.6199999999999</v>
      </c>
      <c r="BF48" s="45">
        <v>1179.1099999999999</v>
      </c>
      <c r="BG48" s="45">
        <v>1195.02</v>
      </c>
      <c r="BH48" s="45">
        <v>1206.31</v>
      </c>
      <c r="BI48" s="45">
        <v>1256.55</v>
      </c>
      <c r="BJ48" s="45">
        <v>1290.49</v>
      </c>
      <c r="BK48" s="45">
        <v>1290.9000000000001</v>
      </c>
      <c r="BL48" s="45">
        <v>1298.8</v>
      </c>
      <c r="BM48" s="45">
        <v>1302.05</v>
      </c>
      <c r="BN48" s="45">
        <v>1369.16</v>
      </c>
      <c r="BO48" s="45">
        <v>1378.87</v>
      </c>
      <c r="BP48" s="45">
        <v>1405.36</v>
      </c>
      <c r="BQ48" s="45">
        <v>1433.98</v>
      </c>
      <c r="BR48" s="45">
        <v>1457.73</v>
      </c>
      <c r="BS48" s="45">
        <v>1510.12</v>
      </c>
      <c r="BT48" s="45">
        <v>1538.52</v>
      </c>
      <c r="BU48" s="45">
        <v>1565.72</v>
      </c>
      <c r="BV48" s="45">
        <v>1588.41</v>
      </c>
      <c r="BW48" s="45">
        <v>1603.5</v>
      </c>
      <c r="BX48" s="45">
        <v>1741.67</v>
      </c>
      <c r="BY48" s="45">
        <v>1758.2</v>
      </c>
      <c r="BZ48" s="45">
        <v>1769.57</v>
      </c>
      <c r="CA48" s="45">
        <v>1921.44</v>
      </c>
      <c r="CB48" s="45">
        <v>1923.83</v>
      </c>
      <c r="CC48" s="45">
        <v>513.20000000000005</v>
      </c>
      <c r="CD48" s="45">
        <v>558.99</v>
      </c>
      <c r="CE48" s="45">
        <v>563.05999999999995</v>
      </c>
      <c r="CF48" s="45">
        <v>587.89</v>
      </c>
      <c r="CG48" s="45">
        <v>621.72</v>
      </c>
      <c r="CH48" s="45">
        <v>640.55999999999995</v>
      </c>
      <c r="CI48" s="45">
        <v>649.1</v>
      </c>
      <c r="CJ48" s="45">
        <v>707.23</v>
      </c>
      <c r="CK48" s="45">
        <v>796.54</v>
      </c>
      <c r="CL48" s="45">
        <v>824.52</v>
      </c>
      <c r="CM48" s="45">
        <v>854.84</v>
      </c>
      <c r="CN48" s="45">
        <v>867.93</v>
      </c>
      <c r="CO48" s="45">
        <v>898.39</v>
      </c>
      <c r="CP48" s="45">
        <v>1027.8599999999999</v>
      </c>
      <c r="CQ48" s="45">
        <v>1096.31</v>
      </c>
      <c r="CR48" s="45">
        <v>1167.6199999999999</v>
      </c>
      <c r="CS48" s="45">
        <v>1179.1099999999999</v>
      </c>
      <c r="CT48" s="45">
        <v>1195.02</v>
      </c>
      <c r="CU48" s="45">
        <v>1206.31</v>
      </c>
      <c r="CV48" s="45">
        <v>1256.55</v>
      </c>
      <c r="CW48" s="45">
        <v>1290.49</v>
      </c>
      <c r="CX48" s="45">
        <v>1290.9000000000001</v>
      </c>
      <c r="CY48" s="45">
        <v>1298.8</v>
      </c>
      <c r="CZ48" s="45">
        <v>1302.05</v>
      </c>
      <c r="DA48" s="45">
        <v>1369.16</v>
      </c>
      <c r="DB48" s="45">
        <v>1378.87</v>
      </c>
      <c r="DC48" s="45">
        <v>1405.36</v>
      </c>
      <c r="DD48" s="45">
        <v>1433.98</v>
      </c>
      <c r="DE48" s="45">
        <v>1457.73</v>
      </c>
      <c r="DF48" s="45">
        <v>1510.12</v>
      </c>
      <c r="DG48" s="45">
        <v>1538.52</v>
      </c>
      <c r="DH48" s="45">
        <v>1565.72</v>
      </c>
      <c r="DI48" s="45">
        <v>1588.41</v>
      </c>
      <c r="DJ48" s="45">
        <v>1603.5</v>
      </c>
      <c r="DK48" s="45">
        <v>1741.67</v>
      </c>
      <c r="DL48" s="45">
        <v>1758.2</v>
      </c>
      <c r="DM48" s="45">
        <v>1769.57</v>
      </c>
      <c r="DN48" s="45">
        <v>1921.44</v>
      </c>
      <c r="DO48" s="45">
        <v>1923.83</v>
      </c>
    </row>
    <row r="49" spans="1:119" s="2" customFormat="1" ht="14.25" x14ac:dyDescent="0.25">
      <c r="A49" s="252">
        <v>53</v>
      </c>
      <c r="B49" s="253"/>
      <c r="C49" s="45">
        <v>528.49</v>
      </c>
      <c r="D49" s="45">
        <v>575.63</v>
      </c>
      <c r="E49" s="45">
        <v>579.83000000000004</v>
      </c>
      <c r="F49" s="45">
        <v>605.39</v>
      </c>
      <c r="G49" s="45">
        <v>640.23</v>
      </c>
      <c r="H49" s="45">
        <v>659.64</v>
      </c>
      <c r="I49" s="45">
        <v>668.43</v>
      </c>
      <c r="J49" s="45">
        <v>728.29</v>
      </c>
      <c r="K49" s="45">
        <v>820.26</v>
      </c>
      <c r="L49" s="45">
        <v>849.07</v>
      </c>
      <c r="M49" s="45">
        <v>880.29</v>
      </c>
      <c r="N49" s="45">
        <v>893.77</v>
      </c>
      <c r="O49" s="45">
        <v>925.14</v>
      </c>
      <c r="P49" s="45">
        <v>1058.47</v>
      </c>
      <c r="Q49" s="45">
        <v>1128.96</v>
      </c>
      <c r="R49" s="45">
        <v>1202.3900000000001</v>
      </c>
      <c r="S49" s="45">
        <v>1214.22</v>
      </c>
      <c r="T49" s="45">
        <v>1230.5999999999999</v>
      </c>
      <c r="U49" s="45">
        <v>1242.23</v>
      </c>
      <c r="V49" s="45">
        <v>1293.97</v>
      </c>
      <c r="W49" s="45">
        <v>1328.91</v>
      </c>
      <c r="X49" s="45">
        <v>1329.34</v>
      </c>
      <c r="Y49" s="45">
        <v>1337.48</v>
      </c>
      <c r="Z49" s="45">
        <v>1340.83</v>
      </c>
      <c r="AA49" s="45">
        <v>1409.93</v>
      </c>
      <c r="AB49" s="45">
        <v>1419.93</v>
      </c>
      <c r="AC49" s="45">
        <v>1447.2</v>
      </c>
      <c r="AD49" s="45">
        <v>1476.68</v>
      </c>
      <c r="AE49" s="45">
        <v>1501.14</v>
      </c>
      <c r="AF49" s="45">
        <v>1555.09</v>
      </c>
      <c r="AG49" s="45">
        <v>1584.34</v>
      </c>
      <c r="AH49" s="45">
        <v>1612.34</v>
      </c>
      <c r="AI49" s="45">
        <v>1635.71</v>
      </c>
      <c r="AJ49" s="45">
        <v>1651.25</v>
      </c>
      <c r="AK49" s="45">
        <v>1793.53</v>
      </c>
      <c r="AL49" s="45">
        <v>1810.56</v>
      </c>
      <c r="AM49" s="45">
        <v>1822.26</v>
      </c>
      <c r="AN49" s="45">
        <v>1978.66</v>
      </c>
      <c r="AO49" s="45">
        <v>1981.12</v>
      </c>
      <c r="AP49" s="45">
        <v>528.49</v>
      </c>
      <c r="AQ49" s="45">
        <v>575.63</v>
      </c>
      <c r="AR49" s="45">
        <v>579.83000000000004</v>
      </c>
      <c r="AS49" s="45">
        <v>605.39</v>
      </c>
      <c r="AT49" s="45">
        <v>640.23</v>
      </c>
      <c r="AU49" s="45">
        <v>659.64</v>
      </c>
      <c r="AV49" s="45">
        <v>668.43</v>
      </c>
      <c r="AW49" s="45">
        <v>728.29</v>
      </c>
      <c r="AX49" s="45">
        <v>820.26</v>
      </c>
      <c r="AY49" s="45">
        <v>849.07</v>
      </c>
      <c r="AZ49" s="45">
        <v>880.29</v>
      </c>
      <c r="BA49" s="45">
        <v>893.77</v>
      </c>
      <c r="BB49" s="45">
        <v>925.14</v>
      </c>
      <c r="BC49" s="45">
        <v>1058.47</v>
      </c>
      <c r="BD49" s="45">
        <v>1128.96</v>
      </c>
      <c r="BE49" s="45">
        <v>1202.3900000000001</v>
      </c>
      <c r="BF49" s="45">
        <v>1214.22</v>
      </c>
      <c r="BG49" s="45">
        <v>1230.5999999999999</v>
      </c>
      <c r="BH49" s="45">
        <v>1242.23</v>
      </c>
      <c r="BI49" s="45">
        <v>1293.97</v>
      </c>
      <c r="BJ49" s="45">
        <v>1328.91</v>
      </c>
      <c r="BK49" s="45">
        <v>1329.34</v>
      </c>
      <c r="BL49" s="45">
        <v>1337.48</v>
      </c>
      <c r="BM49" s="45">
        <v>1340.83</v>
      </c>
      <c r="BN49" s="45">
        <v>1409.93</v>
      </c>
      <c r="BO49" s="45">
        <v>1419.93</v>
      </c>
      <c r="BP49" s="45">
        <v>1447.2</v>
      </c>
      <c r="BQ49" s="45">
        <v>1476.68</v>
      </c>
      <c r="BR49" s="45">
        <v>1501.14</v>
      </c>
      <c r="BS49" s="45">
        <v>1555.09</v>
      </c>
      <c r="BT49" s="45">
        <v>1584.34</v>
      </c>
      <c r="BU49" s="45">
        <v>1612.34</v>
      </c>
      <c r="BV49" s="45">
        <v>1635.71</v>
      </c>
      <c r="BW49" s="45">
        <v>1651.25</v>
      </c>
      <c r="BX49" s="45">
        <v>1793.53</v>
      </c>
      <c r="BY49" s="45">
        <v>1810.56</v>
      </c>
      <c r="BZ49" s="45">
        <v>1822.26</v>
      </c>
      <c r="CA49" s="45">
        <v>1978.66</v>
      </c>
      <c r="CB49" s="45">
        <v>1981.12</v>
      </c>
      <c r="CC49" s="45">
        <v>528.49</v>
      </c>
      <c r="CD49" s="45">
        <v>575.63</v>
      </c>
      <c r="CE49" s="45">
        <v>579.83000000000004</v>
      </c>
      <c r="CF49" s="45">
        <v>605.39</v>
      </c>
      <c r="CG49" s="45">
        <v>640.23</v>
      </c>
      <c r="CH49" s="45">
        <v>659.64</v>
      </c>
      <c r="CI49" s="45">
        <v>668.43</v>
      </c>
      <c r="CJ49" s="45">
        <v>728.29</v>
      </c>
      <c r="CK49" s="45">
        <v>820.26</v>
      </c>
      <c r="CL49" s="45">
        <v>849.07</v>
      </c>
      <c r="CM49" s="45">
        <v>880.29</v>
      </c>
      <c r="CN49" s="45">
        <v>893.77</v>
      </c>
      <c r="CO49" s="45">
        <v>925.14</v>
      </c>
      <c r="CP49" s="45">
        <v>1058.47</v>
      </c>
      <c r="CQ49" s="45">
        <v>1128.96</v>
      </c>
      <c r="CR49" s="45">
        <v>1202.3900000000001</v>
      </c>
      <c r="CS49" s="45">
        <v>1214.22</v>
      </c>
      <c r="CT49" s="45">
        <v>1230.5999999999999</v>
      </c>
      <c r="CU49" s="45">
        <v>1242.23</v>
      </c>
      <c r="CV49" s="45">
        <v>1293.97</v>
      </c>
      <c r="CW49" s="45">
        <v>1328.91</v>
      </c>
      <c r="CX49" s="45">
        <v>1329.34</v>
      </c>
      <c r="CY49" s="45">
        <v>1337.48</v>
      </c>
      <c r="CZ49" s="45">
        <v>1340.83</v>
      </c>
      <c r="DA49" s="45">
        <v>1409.93</v>
      </c>
      <c r="DB49" s="45">
        <v>1419.93</v>
      </c>
      <c r="DC49" s="45">
        <v>1447.2</v>
      </c>
      <c r="DD49" s="45">
        <v>1476.68</v>
      </c>
      <c r="DE49" s="45">
        <v>1501.14</v>
      </c>
      <c r="DF49" s="45">
        <v>1555.09</v>
      </c>
      <c r="DG49" s="45">
        <v>1584.34</v>
      </c>
      <c r="DH49" s="45">
        <v>1612.34</v>
      </c>
      <c r="DI49" s="45">
        <v>1635.71</v>
      </c>
      <c r="DJ49" s="45">
        <v>1651.25</v>
      </c>
      <c r="DK49" s="45">
        <v>1793.53</v>
      </c>
      <c r="DL49" s="45">
        <v>1810.56</v>
      </c>
      <c r="DM49" s="45">
        <v>1822.26</v>
      </c>
      <c r="DN49" s="45">
        <v>1978.66</v>
      </c>
      <c r="DO49" s="45">
        <v>1981.12</v>
      </c>
    </row>
    <row r="50" spans="1:119" s="2" customFormat="1" ht="14.25" x14ac:dyDescent="0.25">
      <c r="A50" s="252">
        <v>54</v>
      </c>
      <c r="B50" s="253"/>
      <c r="C50" s="45">
        <v>544.88</v>
      </c>
      <c r="D50" s="45">
        <v>593.49</v>
      </c>
      <c r="E50" s="45">
        <v>597.82000000000005</v>
      </c>
      <c r="F50" s="45">
        <v>624.16999999999996</v>
      </c>
      <c r="G50" s="45">
        <v>660.09</v>
      </c>
      <c r="H50" s="45">
        <v>680.1</v>
      </c>
      <c r="I50" s="45">
        <v>689.16</v>
      </c>
      <c r="J50" s="45">
        <v>750.88</v>
      </c>
      <c r="K50" s="45">
        <v>845.71</v>
      </c>
      <c r="L50" s="45">
        <v>875.41</v>
      </c>
      <c r="M50" s="45">
        <v>907.6</v>
      </c>
      <c r="N50" s="45">
        <v>921.5</v>
      </c>
      <c r="O50" s="45">
        <v>953.83</v>
      </c>
      <c r="P50" s="45">
        <v>1091.31</v>
      </c>
      <c r="Q50" s="45">
        <v>1163.98</v>
      </c>
      <c r="R50" s="45">
        <v>1239.69</v>
      </c>
      <c r="S50" s="45">
        <v>1251.8800000000001</v>
      </c>
      <c r="T50" s="45">
        <v>1268.77</v>
      </c>
      <c r="U50" s="45">
        <v>1280.76</v>
      </c>
      <c r="V50" s="45">
        <v>1334.1</v>
      </c>
      <c r="W50" s="45">
        <v>1370.14</v>
      </c>
      <c r="X50" s="45">
        <v>1370.58</v>
      </c>
      <c r="Y50" s="45">
        <v>1378.96</v>
      </c>
      <c r="Z50" s="45">
        <v>1382.42</v>
      </c>
      <c r="AA50" s="45">
        <v>1453.67</v>
      </c>
      <c r="AB50" s="45">
        <v>1463.98</v>
      </c>
      <c r="AC50" s="45">
        <v>1492.1</v>
      </c>
      <c r="AD50" s="45">
        <v>1522.48</v>
      </c>
      <c r="AE50" s="45">
        <v>1547.71</v>
      </c>
      <c r="AF50" s="45">
        <v>1603.33</v>
      </c>
      <c r="AG50" s="45">
        <v>1633.48</v>
      </c>
      <c r="AH50" s="45">
        <v>1662.36</v>
      </c>
      <c r="AI50" s="45">
        <v>1686.45</v>
      </c>
      <c r="AJ50" s="45">
        <v>1702.47</v>
      </c>
      <c r="AK50" s="45">
        <v>1849.17</v>
      </c>
      <c r="AL50" s="45">
        <v>1866.72</v>
      </c>
      <c r="AM50" s="45">
        <v>1878.79</v>
      </c>
      <c r="AN50" s="45">
        <v>2040.04</v>
      </c>
      <c r="AO50" s="45">
        <v>2042.57</v>
      </c>
      <c r="AP50" s="45">
        <v>544.88</v>
      </c>
      <c r="AQ50" s="45">
        <v>593.49</v>
      </c>
      <c r="AR50" s="45">
        <v>597.82000000000005</v>
      </c>
      <c r="AS50" s="45">
        <v>624.16999999999996</v>
      </c>
      <c r="AT50" s="45">
        <v>660.09</v>
      </c>
      <c r="AU50" s="45">
        <v>680.1</v>
      </c>
      <c r="AV50" s="45">
        <v>689.16</v>
      </c>
      <c r="AW50" s="45">
        <v>750.88</v>
      </c>
      <c r="AX50" s="45">
        <v>845.71</v>
      </c>
      <c r="AY50" s="45">
        <v>875.41</v>
      </c>
      <c r="AZ50" s="45">
        <v>907.6</v>
      </c>
      <c r="BA50" s="45">
        <v>921.5</v>
      </c>
      <c r="BB50" s="45">
        <v>953.83</v>
      </c>
      <c r="BC50" s="45">
        <v>1091.31</v>
      </c>
      <c r="BD50" s="45">
        <v>1163.98</v>
      </c>
      <c r="BE50" s="45">
        <v>1239.69</v>
      </c>
      <c r="BF50" s="45">
        <v>1251.8800000000001</v>
      </c>
      <c r="BG50" s="45">
        <v>1268.77</v>
      </c>
      <c r="BH50" s="45">
        <v>1280.76</v>
      </c>
      <c r="BI50" s="45">
        <v>1334.1</v>
      </c>
      <c r="BJ50" s="45">
        <v>1370.14</v>
      </c>
      <c r="BK50" s="45">
        <v>1370.58</v>
      </c>
      <c r="BL50" s="45">
        <v>1378.96</v>
      </c>
      <c r="BM50" s="45">
        <v>1382.42</v>
      </c>
      <c r="BN50" s="45">
        <v>1453.67</v>
      </c>
      <c r="BO50" s="45">
        <v>1463.98</v>
      </c>
      <c r="BP50" s="45">
        <v>1492.1</v>
      </c>
      <c r="BQ50" s="45">
        <v>1522.48</v>
      </c>
      <c r="BR50" s="45">
        <v>1547.71</v>
      </c>
      <c r="BS50" s="45">
        <v>1603.33</v>
      </c>
      <c r="BT50" s="45">
        <v>1633.48</v>
      </c>
      <c r="BU50" s="45">
        <v>1662.36</v>
      </c>
      <c r="BV50" s="45">
        <v>1686.45</v>
      </c>
      <c r="BW50" s="45">
        <v>1702.47</v>
      </c>
      <c r="BX50" s="45">
        <v>1849.17</v>
      </c>
      <c r="BY50" s="45">
        <v>1866.72</v>
      </c>
      <c r="BZ50" s="45">
        <v>1878.79</v>
      </c>
      <c r="CA50" s="45">
        <v>2040.04</v>
      </c>
      <c r="CB50" s="45">
        <v>2042.57</v>
      </c>
      <c r="CC50" s="45">
        <v>544.88</v>
      </c>
      <c r="CD50" s="45">
        <v>593.49</v>
      </c>
      <c r="CE50" s="45">
        <v>597.82000000000005</v>
      </c>
      <c r="CF50" s="45">
        <v>624.16999999999996</v>
      </c>
      <c r="CG50" s="45">
        <v>660.09</v>
      </c>
      <c r="CH50" s="45">
        <v>680.1</v>
      </c>
      <c r="CI50" s="45">
        <v>689.16</v>
      </c>
      <c r="CJ50" s="45">
        <v>750.88</v>
      </c>
      <c r="CK50" s="45">
        <v>845.71</v>
      </c>
      <c r="CL50" s="45">
        <v>875.41</v>
      </c>
      <c r="CM50" s="45">
        <v>907.6</v>
      </c>
      <c r="CN50" s="45">
        <v>921.5</v>
      </c>
      <c r="CO50" s="45">
        <v>953.83</v>
      </c>
      <c r="CP50" s="45">
        <v>1091.31</v>
      </c>
      <c r="CQ50" s="45">
        <v>1163.98</v>
      </c>
      <c r="CR50" s="45">
        <v>1239.69</v>
      </c>
      <c r="CS50" s="45">
        <v>1251.8800000000001</v>
      </c>
      <c r="CT50" s="45">
        <v>1268.77</v>
      </c>
      <c r="CU50" s="45">
        <v>1280.76</v>
      </c>
      <c r="CV50" s="45">
        <v>1334.1</v>
      </c>
      <c r="CW50" s="45">
        <v>1370.14</v>
      </c>
      <c r="CX50" s="45">
        <v>1370.58</v>
      </c>
      <c r="CY50" s="45">
        <v>1378.96</v>
      </c>
      <c r="CZ50" s="45">
        <v>1382.42</v>
      </c>
      <c r="DA50" s="45">
        <v>1453.67</v>
      </c>
      <c r="DB50" s="45">
        <v>1463.98</v>
      </c>
      <c r="DC50" s="45">
        <v>1492.1</v>
      </c>
      <c r="DD50" s="45">
        <v>1522.48</v>
      </c>
      <c r="DE50" s="45">
        <v>1547.71</v>
      </c>
      <c r="DF50" s="45">
        <v>1603.33</v>
      </c>
      <c r="DG50" s="45">
        <v>1633.48</v>
      </c>
      <c r="DH50" s="45">
        <v>1662.36</v>
      </c>
      <c r="DI50" s="45">
        <v>1686.45</v>
      </c>
      <c r="DJ50" s="45">
        <v>1702.47</v>
      </c>
      <c r="DK50" s="45">
        <v>1849.17</v>
      </c>
      <c r="DL50" s="45">
        <v>1866.72</v>
      </c>
      <c r="DM50" s="45">
        <v>1878.79</v>
      </c>
      <c r="DN50" s="45">
        <v>2040.04</v>
      </c>
      <c r="DO50" s="45">
        <v>2042.57</v>
      </c>
    </row>
    <row r="51" spans="1:119" s="2" customFormat="1" ht="14.25" x14ac:dyDescent="0.25">
      <c r="A51" s="252">
        <v>55</v>
      </c>
      <c r="B51" s="253"/>
      <c r="C51" s="45">
        <v>560.99</v>
      </c>
      <c r="D51" s="45">
        <v>611.04</v>
      </c>
      <c r="E51" s="45">
        <v>615.5</v>
      </c>
      <c r="F51" s="45">
        <v>642.63</v>
      </c>
      <c r="G51" s="45">
        <v>679.62</v>
      </c>
      <c r="H51" s="45">
        <v>700.22</v>
      </c>
      <c r="I51" s="45">
        <v>709.54</v>
      </c>
      <c r="J51" s="45">
        <v>773.09</v>
      </c>
      <c r="K51" s="45">
        <v>870.72</v>
      </c>
      <c r="L51" s="45">
        <v>901.3</v>
      </c>
      <c r="M51" s="45">
        <v>934.44</v>
      </c>
      <c r="N51" s="45">
        <v>948.75</v>
      </c>
      <c r="O51" s="45">
        <v>982.05</v>
      </c>
      <c r="P51" s="45">
        <v>1123.58</v>
      </c>
      <c r="Q51" s="45">
        <v>1198.4000000000001</v>
      </c>
      <c r="R51" s="45">
        <v>1276.3599999999999</v>
      </c>
      <c r="S51" s="45">
        <v>1288.9100000000001</v>
      </c>
      <c r="T51" s="45">
        <v>1306.3</v>
      </c>
      <c r="U51" s="45">
        <v>1318.64</v>
      </c>
      <c r="V51" s="45">
        <v>1373.56</v>
      </c>
      <c r="W51" s="45">
        <v>1410.66</v>
      </c>
      <c r="X51" s="45">
        <v>1411.11</v>
      </c>
      <c r="Y51" s="45">
        <v>1419.75</v>
      </c>
      <c r="Z51" s="45">
        <v>1423.31</v>
      </c>
      <c r="AA51" s="45">
        <v>1496.66</v>
      </c>
      <c r="AB51" s="45">
        <v>1507.28</v>
      </c>
      <c r="AC51" s="45">
        <v>1536.23</v>
      </c>
      <c r="AD51" s="45">
        <v>1567.51</v>
      </c>
      <c r="AE51" s="45">
        <v>1593.48</v>
      </c>
      <c r="AF51" s="45">
        <v>1650.75</v>
      </c>
      <c r="AG51" s="45">
        <v>1681.8</v>
      </c>
      <c r="AH51" s="45">
        <v>1711.53</v>
      </c>
      <c r="AI51" s="45">
        <v>1736.33</v>
      </c>
      <c r="AJ51" s="45">
        <v>1752.82</v>
      </c>
      <c r="AK51" s="45">
        <v>1903.86</v>
      </c>
      <c r="AL51" s="45">
        <v>1921.93</v>
      </c>
      <c r="AM51" s="45">
        <v>1934.35</v>
      </c>
      <c r="AN51" s="45">
        <v>2100.37</v>
      </c>
      <c r="AO51" s="45">
        <v>2102.9899999999998</v>
      </c>
      <c r="AP51" s="45">
        <v>560.99</v>
      </c>
      <c r="AQ51" s="45">
        <v>611.04</v>
      </c>
      <c r="AR51" s="45">
        <v>615.5</v>
      </c>
      <c r="AS51" s="45">
        <v>642.63</v>
      </c>
      <c r="AT51" s="45">
        <v>679.62</v>
      </c>
      <c r="AU51" s="45">
        <v>700.22</v>
      </c>
      <c r="AV51" s="45">
        <v>709.54</v>
      </c>
      <c r="AW51" s="45">
        <v>773.09</v>
      </c>
      <c r="AX51" s="45">
        <v>870.72</v>
      </c>
      <c r="AY51" s="45">
        <v>901.3</v>
      </c>
      <c r="AZ51" s="45">
        <v>934.44</v>
      </c>
      <c r="BA51" s="45">
        <v>948.75</v>
      </c>
      <c r="BB51" s="45">
        <v>982.05</v>
      </c>
      <c r="BC51" s="45">
        <v>1123.58</v>
      </c>
      <c r="BD51" s="45">
        <v>1198.4000000000001</v>
      </c>
      <c r="BE51" s="45">
        <v>1276.3599999999999</v>
      </c>
      <c r="BF51" s="45">
        <v>1288.9100000000001</v>
      </c>
      <c r="BG51" s="45">
        <v>1306.3</v>
      </c>
      <c r="BH51" s="45">
        <v>1318.64</v>
      </c>
      <c r="BI51" s="45">
        <v>1373.56</v>
      </c>
      <c r="BJ51" s="45">
        <v>1410.66</v>
      </c>
      <c r="BK51" s="45">
        <v>1411.11</v>
      </c>
      <c r="BL51" s="45">
        <v>1419.75</v>
      </c>
      <c r="BM51" s="45">
        <v>1423.31</v>
      </c>
      <c r="BN51" s="45">
        <v>1496.66</v>
      </c>
      <c r="BO51" s="45">
        <v>1507.28</v>
      </c>
      <c r="BP51" s="45">
        <v>1536.23</v>
      </c>
      <c r="BQ51" s="45">
        <v>1567.51</v>
      </c>
      <c r="BR51" s="45">
        <v>1593.48</v>
      </c>
      <c r="BS51" s="45">
        <v>1650.75</v>
      </c>
      <c r="BT51" s="45">
        <v>1681.8</v>
      </c>
      <c r="BU51" s="45">
        <v>1711.53</v>
      </c>
      <c r="BV51" s="45">
        <v>1736.33</v>
      </c>
      <c r="BW51" s="45">
        <v>1752.82</v>
      </c>
      <c r="BX51" s="45">
        <v>1903.86</v>
      </c>
      <c r="BY51" s="45">
        <v>1921.93</v>
      </c>
      <c r="BZ51" s="45">
        <v>1934.35</v>
      </c>
      <c r="CA51" s="45">
        <v>2100.37</v>
      </c>
      <c r="CB51" s="45">
        <v>2102.9899999999998</v>
      </c>
      <c r="CC51" s="45">
        <v>560.99</v>
      </c>
      <c r="CD51" s="45">
        <v>611.04</v>
      </c>
      <c r="CE51" s="45">
        <v>615.5</v>
      </c>
      <c r="CF51" s="45">
        <v>642.63</v>
      </c>
      <c r="CG51" s="45">
        <v>679.62</v>
      </c>
      <c r="CH51" s="45">
        <v>700.22</v>
      </c>
      <c r="CI51" s="45">
        <v>709.54</v>
      </c>
      <c r="CJ51" s="45">
        <v>773.09</v>
      </c>
      <c r="CK51" s="45">
        <v>870.72</v>
      </c>
      <c r="CL51" s="45">
        <v>901.3</v>
      </c>
      <c r="CM51" s="45">
        <v>934.44</v>
      </c>
      <c r="CN51" s="45">
        <v>948.75</v>
      </c>
      <c r="CO51" s="45">
        <v>982.05</v>
      </c>
      <c r="CP51" s="45">
        <v>1123.58</v>
      </c>
      <c r="CQ51" s="45">
        <v>1198.4000000000001</v>
      </c>
      <c r="CR51" s="45">
        <v>1276.3599999999999</v>
      </c>
      <c r="CS51" s="45">
        <v>1288.9100000000001</v>
      </c>
      <c r="CT51" s="45">
        <v>1306.3</v>
      </c>
      <c r="CU51" s="45">
        <v>1318.64</v>
      </c>
      <c r="CV51" s="45">
        <v>1373.56</v>
      </c>
      <c r="CW51" s="45">
        <v>1410.66</v>
      </c>
      <c r="CX51" s="45">
        <v>1411.11</v>
      </c>
      <c r="CY51" s="45">
        <v>1419.75</v>
      </c>
      <c r="CZ51" s="45">
        <v>1423.31</v>
      </c>
      <c r="DA51" s="45">
        <v>1496.66</v>
      </c>
      <c r="DB51" s="45">
        <v>1507.28</v>
      </c>
      <c r="DC51" s="45">
        <v>1536.23</v>
      </c>
      <c r="DD51" s="45">
        <v>1567.51</v>
      </c>
      <c r="DE51" s="45">
        <v>1593.48</v>
      </c>
      <c r="DF51" s="45">
        <v>1650.75</v>
      </c>
      <c r="DG51" s="45">
        <v>1681.8</v>
      </c>
      <c r="DH51" s="45">
        <v>1711.53</v>
      </c>
      <c r="DI51" s="45">
        <v>1736.33</v>
      </c>
      <c r="DJ51" s="45">
        <v>1752.82</v>
      </c>
      <c r="DK51" s="45">
        <v>1903.86</v>
      </c>
      <c r="DL51" s="45">
        <v>1921.93</v>
      </c>
      <c r="DM51" s="45">
        <v>1934.35</v>
      </c>
      <c r="DN51" s="45">
        <v>2100.37</v>
      </c>
      <c r="DO51" s="45">
        <v>2102.9899999999998</v>
      </c>
    </row>
    <row r="52" spans="1:119" s="2" customFormat="1" ht="14.25" x14ac:dyDescent="0.25">
      <c r="A52" s="252">
        <v>56</v>
      </c>
      <c r="B52" s="253"/>
      <c r="C52" s="45">
        <v>577.94000000000005</v>
      </c>
      <c r="D52" s="45">
        <v>629.5</v>
      </c>
      <c r="E52" s="45">
        <v>634.1</v>
      </c>
      <c r="F52" s="45">
        <v>662.05</v>
      </c>
      <c r="G52" s="45">
        <v>700.15</v>
      </c>
      <c r="H52" s="45">
        <v>721.37</v>
      </c>
      <c r="I52" s="45">
        <v>730.98</v>
      </c>
      <c r="J52" s="45">
        <v>796.45</v>
      </c>
      <c r="K52" s="45">
        <v>897.03</v>
      </c>
      <c r="L52" s="45">
        <v>928.54</v>
      </c>
      <c r="M52" s="45">
        <v>962.68</v>
      </c>
      <c r="N52" s="45">
        <v>977.42</v>
      </c>
      <c r="O52" s="45">
        <v>1011.72</v>
      </c>
      <c r="P52" s="45">
        <v>1157.53</v>
      </c>
      <c r="Q52" s="45">
        <v>1234.6099999999999</v>
      </c>
      <c r="R52" s="45">
        <v>1314.92</v>
      </c>
      <c r="S52" s="45">
        <v>1327.85</v>
      </c>
      <c r="T52" s="45">
        <v>1345.77</v>
      </c>
      <c r="U52" s="45">
        <v>1358.48</v>
      </c>
      <c r="V52" s="45">
        <v>1415.06</v>
      </c>
      <c r="W52" s="45">
        <v>1453.28</v>
      </c>
      <c r="X52" s="45">
        <v>1453.75</v>
      </c>
      <c r="Y52" s="45">
        <v>1462.65</v>
      </c>
      <c r="Z52" s="45">
        <v>1466.31</v>
      </c>
      <c r="AA52" s="45">
        <v>1541.88</v>
      </c>
      <c r="AB52" s="45">
        <v>1552.82</v>
      </c>
      <c r="AC52" s="45">
        <v>1582.64</v>
      </c>
      <c r="AD52" s="45">
        <v>1614.87</v>
      </c>
      <c r="AE52" s="45">
        <v>1641.63</v>
      </c>
      <c r="AF52" s="45">
        <v>1700.62</v>
      </c>
      <c r="AG52" s="45">
        <v>1732.61</v>
      </c>
      <c r="AH52" s="45">
        <v>1763.24</v>
      </c>
      <c r="AI52" s="45">
        <v>1788.79</v>
      </c>
      <c r="AJ52" s="45">
        <v>1805.78</v>
      </c>
      <c r="AK52" s="45">
        <v>1961.38</v>
      </c>
      <c r="AL52" s="45">
        <v>1980</v>
      </c>
      <c r="AM52" s="45">
        <v>1992.8</v>
      </c>
      <c r="AN52" s="45">
        <v>2163.83</v>
      </c>
      <c r="AO52" s="45">
        <v>2166.52</v>
      </c>
      <c r="AP52" s="45">
        <v>577.94000000000005</v>
      </c>
      <c r="AQ52" s="45">
        <v>629.5</v>
      </c>
      <c r="AR52" s="45">
        <v>634.1</v>
      </c>
      <c r="AS52" s="45">
        <v>662.05</v>
      </c>
      <c r="AT52" s="45">
        <v>700.15</v>
      </c>
      <c r="AU52" s="45">
        <v>721.37</v>
      </c>
      <c r="AV52" s="45">
        <v>730.98</v>
      </c>
      <c r="AW52" s="45">
        <v>796.45</v>
      </c>
      <c r="AX52" s="45">
        <v>897.03</v>
      </c>
      <c r="AY52" s="45">
        <v>928.54</v>
      </c>
      <c r="AZ52" s="45">
        <v>962.68</v>
      </c>
      <c r="BA52" s="45">
        <v>977.42</v>
      </c>
      <c r="BB52" s="45">
        <v>1011.72</v>
      </c>
      <c r="BC52" s="45">
        <v>1157.53</v>
      </c>
      <c r="BD52" s="45">
        <v>1234.6099999999999</v>
      </c>
      <c r="BE52" s="45">
        <v>1314.92</v>
      </c>
      <c r="BF52" s="45">
        <v>1327.85</v>
      </c>
      <c r="BG52" s="45">
        <v>1345.77</v>
      </c>
      <c r="BH52" s="45">
        <v>1358.48</v>
      </c>
      <c r="BI52" s="45">
        <v>1415.06</v>
      </c>
      <c r="BJ52" s="45">
        <v>1453.28</v>
      </c>
      <c r="BK52" s="45">
        <v>1453.75</v>
      </c>
      <c r="BL52" s="45">
        <v>1462.65</v>
      </c>
      <c r="BM52" s="45">
        <v>1466.31</v>
      </c>
      <c r="BN52" s="45">
        <v>1541.88</v>
      </c>
      <c r="BO52" s="45">
        <v>1552.82</v>
      </c>
      <c r="BP52" s="45">
        <v>1582.64</v>
      </c>
      <c r="BQ52" s="45">
        <v>1614.87</v>
      </c>
      <c r="BR52" s="45">
        <v>1641.63</v>
      </c>
      <c r="BS52" s="45">
        <v>1700.62</v>
      </c>
      <c r="BT52" s="45">
        <v>1732.61</v>
      </c>
      <c r="BU52" s="45">
        <v>1763.24</v>
      </c>
      <c r="BV52" s="45">
        <v>1788.79</v>
      </c>
      <c r="BW52" s="45">
        <v>1805.78</v>
      </c>
      <c r="BX52" s="45">
        <v>1961.38</v>
      </c>
      <c r="BY52" s="45">
        <v>1980</v>
      </c>
      <c r="BZ52" s="45">
        <v>1992.8</v>
      </c>
      <c r="CA52" s="45">
        <v>2163.83</v>
      </c>
      <c r="CB52" s="45">
        <v>2166.52</v>
      </c>
      <c r="CC52" s="45">
        <v>577.94000000000005</v>
      </c>
      <c r="CD52" s="45">
        <v>629.5</v>
      </c>
      <c r="CE52" s="45">
        <v>634.1</v>
      </c>
      <c r="CF52" s="45">
        <v>662.05</v>
      </c>
      <c r="CG52" s="45">
        <v>700.15</v>
      </c>
      <c r="CH52" s="45">
        <v>721.37</v>
      </c>
      <c r="CI52" s="45">
        <v>730.98</v>
      </c>
      <c r="CJ52" s="45">
        <v>796.45</v>
      </c>
      <c r="CK52" s="45">
        <v>897.03</v>
      </c>
      <c r="CL52" s="45">
        <v>928.54</v>
      </c>
      <c r="CM52" s="45">
        <v>962.68</v>
      </c>
      <c r="CN52" s="45">
        <v>977.42</v>
      </c>
      <c r="CO52" s="45">
        <v>1011.72</v>
      </c>
      <c r="CP52" s="45">
        <v>1157.53</v>
      </c>
      <c r="CQ52" s="45">
        <v>1234.6099999999999</v>
      </c>
      <c r="CR52" s="45">
        <v>1314.92</v>
      </c>
      <c r="CS52" s="45">
        <v>1327.85</v>
      </c>
      <c r="CT52" s="45">
        <v>1345.77</v>
      </c>
      <c r="CU52" s="45">
        <v>1358.48</v>
      </c>
      <c r="CV52" s="45">
        <v>1415.06</v>
      </c>
      <c r="CW52" s="45">
        <v>1453.28</v>
      </c>
      <c r="CX52" s="45">
        <v>1453.75</v>
      </c>
      <c r="CY52" s="45">
        <v>1462.65</v>
      </c>
      <c r="CZ52" s="45">
        <v>1466.31</v>
      </c>
      <c r="DA52" s="45">
        <v>1541.88</v>
      </c>
      <c r="DB52" s="45">
        <v>1552.82</v>
      </c>
      <c r="DC52" s="45">
        <v>1582.64</v>
      </c>
      <c r="DD52" s="45">
        <v>1614.87</v>
      </c>
      <c r="DE52" s="45">
        <v>1641.63</v>
      </c>
      <c r="DF52" s="45">
        <v>1700.62</v>
      </c>
      <c r="DG52" s="45">
        <v>1732.61</v>
      </c>
      <c r="DH52" s="45">
        <v>1763.24</v>
      </c>
      <c r="DI52" s="45">
        <v>1788.79</v>
      </c>
      <c r="DJ52" s="45">
        <v>1805.78</v>
      </c>
      <c r="DK52" s="45">
        <v>1961.38</v>
      </c>
      <c r="DL52" s="45">
        <v>1980</v>
      </c>
      <c r="DM52" s="45">
        <v>1992.8</v>
      </c>
      <c r="DN52" s="45">
        <v>2163.83</v>
      </c>
      <c r="DO52" s="45">
        <v>2166.52</v>
      </c>
    </row>
    <row r="53" spans="1:119" s="2" customFormat="1" ht="14.25" x14ac:dyDescent="0.25">
      <c r="A53" s="252">
        <v>57</v>
      </c>
      <c r="B53" s="253"/>
      <c r="C53" s="45">
        <v>595.16999999999996</v>
      </c>
      <c r="D53" s="45">
        <v>648.27</v>
      </c>
      <c r="E53" s="45">
        <v>653</v>
      </c>
      <c r="F53" s="45">
        <v>681.78</v>
      </c>
      <c r="G53" s="45">
        <v>721.02</v>
      </c>
      <c r="H53" s="45">
        <v>742.87</v>
      </c>
      <c r="I53" s="45">
        <v>752.77</v>
      </c>
      <c r="J53" s="45">
        <v>820.19</v>
      </c>
      <c r="K53" s="45">
        <v>923.77</v>
      </c>
      <c r="L53" s="45">
        <v>956.21</v>
      </c>
      <c r="M53" s="45">
        <v>991.37</v>
      </c>
      <c r="N53" s="45">
        <v>1006.55</v>
      </c>
      <c r="O53" s="45">
        <v>1041.8699999999999</v>
      </c>
      <c r="P53" s="45">
        <v>1192.03</v>
      </c>
      <c r="Q53" s="45">
        <v>1271.4100000000001</v>
      </c>
      <c r="R53" s="45">
        <v>1354.11</v>
      </c>
      <c r="S53" s="45">
        <v>1367.43</v>
      </c>
      <c r="T53" s="45">
        <v>1385.88</v>
      </c>
      <c r="U53" s="45">
        <v>1398.98</v>
      </c>
      <c r="V53" s="45">
        <v>1457.24</v>
      </c>
      <c r="W53" s="45">
        <v>1496.6</v>
      </c>
      <c r="X53" s="45">
        <v>1497.08</v>
      </c>
      <c r="Y53" s="45">
        <v>1506.24</v>
      </c>
      <c r="Z53" s="45">
        <v>1510.01</v>
      </c>
      <c r="AA53" s="45">
        <v>1587.84</v>
      </c>
      <c r="AB53" s="45">
        <v>1599.1</v>
      </c>
      <c r="AC53" s="45">
        <v>1629.82</v>
      </c>
      <c r="AD53" s="45">
        <v>1663.01</v>
      </c>
      <c r="AE53" s="45">
        <v>1690.56</v>
      </c>
      <c r="AF53" s="45">
        <v>1751.31</v>
      </c>
      <c r="AG53" s="45">
        <v>1784.26</v>
      </c>
      <c r="AH53" s="45">
        <v>1815.8</v>
      </c>
      <c r="AI53" s="45">
        <v>1842.11</v>
      </c>
      <c r="AJ53" s="45">
        <v>1859.61</v>
      </c>
      <c r="AK53" s="45">
        <v>2019.85</v>
      </c>
      <c r="AL53" s="45">
        <v>2039.02</v>
      </c>
      <c r="AM53" s="45">
        <v>2052.1999999999998</v>
      </c>
      <c r="AN53" s="45">
        <v>2228.33</v>
      </c>
      <c r="AO53" s="45">
        <v>2231.1</v>
      </c>
      <c r="AP53" s="45">
        <v>595.16999999999996</v>
      </c>
      <c r="AQ53" s="45">
        <v>648.27</v>
      </c>
      <c r="AR53" s="45">
        <v>653</v>
      </c>
      <c r="AS53" s="45">
        <v>681.78</v>
      </c>
      <c r="AT53" s="45">
        <v>721.02</v>
      </c>
      <c r="AU53" s="45">
        <v>742.87</v>
      </c>
      <c r="AV53" s="45">
        <v>752.77</v>
      </c>
      <c r="AW53" s="45">
        <v>820.19</v>
      </c>
      <c r="AX53" s="45">
        <v>923.77</v>
      </c>
      <c r="AY53" s="45">
        <v>956.21</v>
      </c>
      <c r="AZ53" s="45">
        <v>991.37</v>
      </c>
      <c r="BA53" s="45">
        <v>1006.55</v>
      </c>
      <c r="BB53" s="45">
        <v>1041.8699999999999</v>
      </c>
      <c r="BC53" s="45">
        <v>1192.03</v>
      </c>
      <c r="BD53" s="45">
        <v>1271.4100000000001</v>
      </c>
      <c r="BE53" s="45">
        <v>1354.11</v>
      </c>
      <c r="BF53" s="45">
        <v>1367.43</v>
      </c>
      <c r="BG53" s="45">
        <v>1385.88</v>
      </c>
      <c r="BH53" s="45">
        <v>1398.98</v>
      </c>
      <c r="BI53" s="45">
        <v>1457.24</v>
      </c>
      <c r="BJ53" s="45">
        <v>1496.6</v>
      </c>
      <c r="BK53" s="45">
        <v>1497.08</v>
      </c>
      <c r="BL53" s="45">
        <v>1506.24</v>
      </c>
      <c r="BM53" s="45">
        <v>1510.01</v>
      </c>
      <c r="BN53" s="45">
        <v>1587.84</v>
      </c>
      <c r="BO53" s="45">
        <v>1599.1</v>
      </c>
      <c r="BP53" s="45">
        <v>1629.82</v>
      </c>
      <c r="BQ53" s="45">
        <v>1663.01</v>
      </c>
      <c r="BR53" s="45">
        <v>1690.56</v>
      </c>
      <c r="BS53" s="45">
        <v>1751.31</v>
      </c>
      <c r="BT53" s="45">
        <v>1784.26</v>
      </c>
      <c r="BU53" s="45">
        <v>1815.8</v>
      </c>
      <c r="BV53" s="45">
        <v>1842.11</v>
      </c>
      <c r="BW53" s="45">
        <v>1859.61</v>
      </c>
      <c r="BX53" s="45">
        <v>2019.85</v>
      </c>
      <c r="BY53" s="45">
        <v>2039.02</v>
      </c>
      <c r="BZ53" s="45">
        <v>2052.1999999999998</v>
      </c>
      <c r="CA53" s="45">
        <v>2228.33</v>
      </c>
      <c r="CB53" s="45">
        <v>2231.1</v>
      </c>
      <c r="CC53" s="45">
        <v>595.16999999999996</v>
      </c>
      <c r="CD53" s="45">
        <v>648.27</v>
      </c>
      <c r="CE53" s="45">
        <v>653</v>
      </c>
      <c r="CF53" s="45">
        <v>681.78</v>
      </c>
      <c r="CG53" s="45">
        <v>721.02</v>
      </c>
      <c r="CH53" s="45">
        <v>742.87</v>
      </c>
      <c r="CI53" s="45">
        <v>752.77</v>
      </c>
      <c r="CJ53" s="45">
        <v>820.19</v>
      </c>
      <c r="CK53" s="45">
        <v>923.77</v>
      </c>
      <c r="CL53" s="45">
        <v>956.21</v>
      </c>
      <c r="CM53" s="45">
        <v>991.37</v>
      </c>
      <c r="CN53" s="45">
        <v>1006.55</v>
      </c>
      <c r="CO53" s="45">
        <v>1041.8699999999999</v>
      </c>
      <c r="CP53" s="45">
        <v>1192.03</v>
      </c>
      <c r="CQ53" s="45">
        <v>1271.4100000000001</v>
      </c>
      <c r="CR53" s="45">
        <v>1354.11</v>
      </c>
      <c r="CS53" s="45">
        <v>1367.43</v>
      </c>
      <c r="CT53" s="45">
        <v>1385.88</v>
      </c>
      <c r="CU53" s="45">
        <v>1398.98</v>
      </c>
      <c r="CV53" s="45">
        <v>1457.24</v>
      </c>
      <c r="CW53" s="45">
        <v>1496.6</v>
      </c>
      <c r="CX53" s="45">
        <v>1497.08</v>
      </c>
      <c r="CY53" s="45">
        <v>1506.24</v>
      </c>
      <c r="CZ53" s="45">
        <v>1510.01</v>
      </c>
      <c r="DA53" s="45">
        <v>1587.84</v>
      </c>
      <c r="DB53" s="45">
        <v>1599.1</v>
      </c>
      <c r="DC53" s="45">
        <v>1629.82</v>
      </c>
      <c r="DD53" s="45">
        <v>1663.01</v>
      </c>
      <c r="DE53" s="45">
        <v>1690.56</v>
      </c>
      <c r="DF53" s="45">
        <v>1751.31</v>
      </c>
      <c r="DG53" s="45">
        <v>1784.26</v>
      </c>
      <c r="DH53" s="45">
        <v>1815.8</v>
      </c>
      <c r="DI53" s="45">
        <v>1842.11</v>
      </c>
      <c r="DJ53" s="45">
        <v>1859.61</v>
      </c>
      <c r="DK53" s="45">
        <v>2019.85</v>
      </c>
      <c r="DL53" s="45">
        <v>2039.02</v>
      </c>
      <c r="DM53" s="45">
        <v>2052.1999999999998</v>
      </c>
      <c r="DN53" s="45">
        <v>2228.33</v>
      </c>
      <c r="DO53" s="45">
        <v>2231.1</v>
      </c>
    </row>
    <row r="54" spans="1:119" s="2" customFormat="1" ht="14.25" x14ac:dyDescent="0.25">
      <c r="A54" s="252">
        <v>58</v>
      </c>
      <c r="B54" s="253"/>
      <c r="C54" s="45">
        <v>612.95000000000005</v>
      </c>
      <c r="D54" s="45">
        <v>667.64</v>
      </c>
      <c r="E54" s="45">
        <v>672.51</v>
      </c>
      <c r="F54" s="45">
        <v>702.15</v>
      </c>
      <c r="G54" s="45">
        <v>742.56</v>
      </c>
      <c r="H54" s="45">
        <v>765.07</v>
      </c>
      <c r="I54" s="45">
        <v>775.26</v>
      </c>
      <c r="J54" s="45">
        <v>844.7</v>
      </c>
      <c r="K54" s="45">
        <v>951.37</v>
      </c>
      <c r="L54" s="45">
        <v>984.78</v>
      </c>
      <c r="M54" s="45">
        <v>1020.99</v>
      </c>
      <c r="N54" s="45">
        <v>1036.6300000000001</v>
      </c>
      <c r="O54" s="45">
        <v>1073</v>
      </c>
      <c r="P54" s="45">
        <v>1227.6500000000001</v>
      </c>
      <c r="Q54" s="45">
        <v>1309.4000000000001</v>
      </c>
      <c r="R54" s="45">
        <v>1394.57</v>
      </c>
      <c r="S54" s="45">
        <v>1408.29</v>
      </c>
      <c r="T54" s="45">
        <v>1427.29</v>
      </c>
      <c r="U54" s="45">
        <v>1440.78</v>
      </c>
      <c r="V54" s="45">
        <v>1500.78</v>
      </c>
      <c r="W54" s="45">
        <v>1541.32</v>
      </c>
      <c r="X54" s="45">
        <v>1541.81</v>
      </c>
      <c r="Y54" s="45">
        <v>1551.25</v>
      </c>
      <c r="Z54" s="45">
        <v>1555.13</v>
      </c>
      <c r="AA54" s="45">
        <v>1635.28</v>
      </c>
      <c r="AB54" s="45">
        <v>1646.88</v>
      </c>
      <c r="AC54" s="45">
        <v>1678.51</v>
      </c>
      <c r="AD54" s="45">
        <v>1712.7</v>
      </c>
      <c r="AE54" s="45">
        <v>1741.07</v>
      </c>
      <c r="AF54" s="45">
        <v>1803.64</v>
      </c>
      <c r="AG54" s="45">
        <v>1837.57</v>
      </c>
      <c r="AH54" s="45">
        <v>1870.05</v>
      </c>
      <c r="AI54" s="45">
        <v>1897.15</v>
      </c>
      <c r="AJ54" s="45">
        <v>1915.17</v>
      </c>
      <c r="AK54" s="45">
        <v>2080.1999999999998</v>
      </c>
      <c r="AL54" s="45">
        <v>2099.94</v>
      </c>
      <c r="AM54" s="45">
        <v>2113.5100000000002</v>
      </c>
      <c r="AN54" s="45">
        <v>2294.91</v>
      </c>
      <c r="AO54" s="45">
        <v>2297.77</v>
      </c>
      <c r="AP54" s="45">
        <v>612.95000000000005</v>
      </c>
      <c r="AQ54" s="45">
        <v>667.64</v>
      </c>
      <c r="AR54" s="45">
        <v>672.51</v>
      </c>
      <c r="AS54" s="45">
        <v>702.15</v>
      </c>
      <c r="AT54" s="45">
        <v>742.56</v>
      </c>
      <c r="AU54" s="45">
        <v>765.07</v>
      </c>
      <c r="AV54" s="45">
        <v>775.26</v>
      </c>
      <c r="AW54" s="45">
        <v>844.7</v>
      </c>
      <c r="AX54" s="45">
        <v>951.37</v>
      </c>
      <c r="AY54" s="45">
        <v>984.78</v>
      </c>
      <c r="AZ54" s="45">
        <v>1020.99</v>
      </c>
      <c r="BA54" s="45">
        <v>1036.6300000000001</v>
      </c>
      <c r="BB54" s="45">
        <v>1073</v>
      </c>
      <c r="BC54" s="45">
        <v>1227.6500000000001</v>
      </c>
      <c r="BD54" s="45">
        <v>1309.4000000000001</v>
      </c>
      <c r="BE54" s="45">
        <v>1394.57</v>
      </c>
      <c r="BF54" s="45">
        <v>1408.29</v>
      </c>
      <c r="BG54" s="45">
        <v>1427.29</v>
      </c>
      <c r="BH54" s="45">
        <v>1440.78</v>
      </c>
      <c r="BI54" s="45">
        <v>1500.78</v>
      </c>
      <c r="BJ54" s="45">
        <v>1541.32</v>
      </c>
      <c r="BK54" s="45">
        <v>1541.81</v>
      </c>
      <c r="BL54" s="45">
        <v>1551.25</v>
      </c>
      <c r="BM54" s="45">
        <v>1555.13</v>
      </c>
      <c r="BN54" s="45">
        <v>1635.28</v>
      </c>
      <c r="BO54" s="45">
        <v>1646.88</v>
      </c>
      <c r="BP54" s="45">
        <v>1678.51</v>
      </c>
      <c r="BQ54" s="45">
        <v>1712.7</v>
      </c>
      <c r="BR54" s="45">
        <v>1741.07</v>
      </c>
      <c r="BS54" s="45">
        <v>1803.64</v>
      </c>
      <c r="BT54" s="45">
        <v>1837.57</v>
      </c>
      <c r="BU54" s="45">
        <v>1870.05</v>
      </c>
      <c r="BV54" s="45">
        <v>1897.15</v>
      </c>
      <c r="BW54" s="45">
        <v>1915.17</v>
      </c>
      <c r="BX54" s="45">
        <v>2080.1999999999998</v>
      </c>
      <c r="BY54" s="45">
        <v>2099.94</v>
      </c>
      <c r="BZ54" s="45">
        <v>2113.5100000000002</v>
      </c>
      <c r="CA54" s="45">
        <v>2294.91</v>
      </c>
      <c r="CB54" s="45">
        <v>2297.77</v>
      </c>
      <c r="CC54" s="45">
        <v>612.95000000000005</v>
      </c>
      <c r="CD54" s="45">
        <v>667.64</v>
      </c>
      <c r="CE54" s="45">
        <v>672.51</v>
      </c>
      <c r="CF54" s="45">
        <v>702.15</v>
      </c>
      <c r="CG54" s="45">
        <v>742.56</v>
      </c>
      <c r="CH54" s="45">
        <v>765.07</v>
      </c>
      <c r="CI54" s="45">
        <v>775.26</v>
      </c>
      <c r="CJ54" s="45">
        <v>844.7</v>
      </c>
      <c r="CK54" s="45">
        <v>951.37</v>
      </c>
      <c r="CL54" s="45">
        <v>984.78</v>
      </c>
      <c r="CM54" s="45">
        <v>1020.99</v>
      </c>
      <c r="CN54" s="45">
        <v>1036.6300000000001</v>
      </c>
      <c r="CO54" s="45">
        <v>1073</v>
      </c>
      <c r="CP54" s="45">
        <v>1227.6500000000001</v>
      </c>
      <c r="CQ54" s="45">
        <v>1309.4000000000001</v>
      </c>
      <c r="CR54" s="45">
        <v>1394.57</v>
      </c>
      <c r="CS54" s="45">
        <v>1408.29</v>
      </c>
      <c r="CT54" s="45">
        <v>1427.29</v>
      </c>
      <c r="CU54" s="45">
        <v>1440.78</v>
      </c>
      <c r="CV54" s="45">
        <v>1500.78</v>
      </c>
      <c r="CW54" s="45">
        <v>1541.32</v>
      </c>
      <c r="CX54" s="45">
        <v>1541.81</v>
      </c>
      <c r="CY54" s="45">
        <v>1551.25</v>
      </c>
      <c r="CZ54" s="45">
        <v>1555.13</v>
      </c>
      <c r="DA54" s="45">
        <v>1635.28</v>
      </c>
      <c r="DB54" s="45">
        <v>1646.88</v>
      </c>
      <c r="DC54" s="45">
        <v>1678.51</v>
      </c>
      <c r="DD54" s="45">
        <v>1712.7</v>
      </c>
      <c r="DE54" s="45">
        <v>1741.07</v>
      </c>
      <c r="DF54" s="45">
        <v>1803.64</v>
      </c>
      <c r="DG54" s="45">
        <v>1837.57</v>
      </c>
      <c r="DH54" s="45">
        <v>1870.05</v>
      </c>
      <c r="DI54" s="45">
        <v>1897.15</v>
      </c>
      <c r="DJ54" s="45">
        <v>1915.17</v>
      </c>
      <c r="DK54" s="45">
        <v>2080.1999999999998</v>
      </c>
      <c r="DL54" s="45">
        <v>2099.94</v>
      </c>
      <c r="DM54" s="45">
        <v>2113.5100000000002</v>
      </c>
      <c r="DN54" s="45">
        <v>2294.91</v>
      </c>
      <c r="DO54" s="45">
        <v>2297.77</v>
      </c>
    </row>
    <row r="55" spans="1:119" s="2" customFormat="1" ht="14.25" x14ac:dyDescent="0.25">
      <c r="A55" s="252">
        <v>59</v>
      </c>
      <c r="B55" s="253"/>
      <c r="C55" s="45">
        <v>633.52</v>
      </c>
      <c r="D55" s="45">
        <v>690.03</v>
      </c>
      <c r="E55" s="45">
        <v>695.07</v>
      </c>
      <c r="F55" s="45">
        <v>725.71</v>
      </c>
      <c r="G55" s="45">
        <v>767.47</v>
      </c>
      <c r="H55" s="45">
        <v>790.73</v>
      </c>
      <c r="I55" s="45">
        <v>801.27</v>
      </c>
      <c r="J55" s="45">
        <v>873.03</v>
      </c>
      <c r="K55" s="45">
        <v>983.28</v>
      </c>
      <c r="L55" s="45">
        <v>1017.82</v>
      </c>
      <c r="M55" s="45">
        <v>1055.24</v>
      </c>
      <c r="N55" s="45">
        <v>1071.4000000000001</v>
      </c>
      <c r="O55" s="45">
        <v>1109</v>
      </c>
      <c r="P55" s="45">
        <v>1268.83</v>
      </c>
      <c r="Q55" s="45">
        <v>1353.32</v>
      </c>
      <c r="R55" s="45">
        <v>1441.35</v>
      </c>
      <c r="S55" s="45">
        <v>1455.53</v>
      </c>
      <c r="T55" s="45">
        <v>1475.17</v>
      </c>
      <c r="U55" s="45">
        <v>1489.11</v>
      </c>
      <c r="V55" s="45">
        <v>1551.13</v>
      </c>
      <c r="W55" s="45">
        <v>1593.02</v>
      </c>
      <c r="X55" s="45">
        <v>1593.53</v>
      </c>
      <c r="Y55" s="45">
        <v>1603.28</v>
      </c>
      <c r="Z55" s="45">
        <v>1607.3</v>
      </c>
      <c r="AA55" s="45">
        <v>1690.14</v>
      </c>
      <c r="AB55" s="45">
        <v>1702.13</v>
      </c>
      <c r="AC55" s="45">
        <v>1734.82</v>
      </c>
      <c r="AD55" s="45">
        <v>1770.15</v>
      </c>
      <c r="AE55" s="45">
        <v>1799.47</v>
      </c>
      <c r="AF55" s="45">
        <v>1864.14</v>
      </c>
      <c r="AG55" s="45">
        <v>1899.21</v>
      </c>
      <c r="AH55" s="45">
        <v>1932.78</v>
      </c>
      <c r="AI55" s="45">
        <v>1960.79</v>
      </c>
      <c r="AJ55" s="45">
        <v>1979.42</v>
      </c>
      <c r="AK55" s="45">
        <v>2149.98</v>
      </c>
      <c r="AL55" s="45">
        <v>2170.39</v>
      </c>
      <c r="AM55" s="45">
        <v>2184.41</v>
      </c>
      <c r="AN55" s="45">
        <v>2371.89</v>
      </c>
      <c r="AO55" s="45">
        <v>2374.84</v>
      </c>
      <c r="AP55" s="45">
        <v>633.52</v>
      </c>
      <c r="AQ55" s="45">
        <v>690.03</v>
      </c>
      <c r="AR55" s="45">
        <v>695.07</v>
      </c>
      <c r="AS55" s="45">
        <v>725.71</v>
      </c>
      <c r="AT55" s="45">
        <v>767.47</v>
      </c>
      <c r="AU55" s="45">
        <v>790.73</v>
      </c>
      <c r="AV55" s="45">
        <v>801.27</v>
      </c>
      <c r="AW55" s="45">
        <v>873.03</v>
      </c>
      <c r="AX55" s="45">
        <v>983.28</v>
      </c>
      <c r="AY55" s="45">
        <v>1017.82</v>
      </c>
      <c r="AZ55" s="45">
        <v>1055.24</v>
      </c>
      <c r="BA55" s="45">
        <v>1071.4000000000001</v>
      </c>
      <c r="BB55" s="45">
        <v>1109</v>
      </c>
      <c r="BC55" s="45">
        <v>1268.83</v>
      </c>
      <c r="BD55" s="45">
        <v>1353.32</v>
      </c>
      <c r="BE55" s="45">
        <v>1441.35</v>
      </c>
      <c r="BF55" s="45">
        <v>1455.53</v>
      </c>
      <c r="BG55" s="45">
        <v>1475.17</v>
      </c>
      <c r="BH55" s="45">
        <v>1489.11</v>
      </c>
      <c r="BI55" s="45">
        <v>1551.13</v>
      </c>
      <c r="BJ55" s="45">
        <v>1593.02</v>
      </c>
      <c r="BK55" s="45">
        <v>1593.53</v>
      </c>
      <c r="BL55" s="45">
        <v>1603.28</v>
      </c>
      <c r="BM55" s="45">
        <v>1607.3</v>
      </c>
      <c r="BN55" s="45">
        <v>1690.14</v>
      </c>
      <c r="BO55" s="45">
        <v>1702.13</v>
      </c>
      <c r="BP55" s="45">
        <v>1734.82</v>
      </c>
      <c r="BQ55" s="45">
        <v>1770.15</v>
      </c>
      <c r="BR55" s="45">
        <v>1799.47</v>
      </c>
      <c r="BS55" s="45">
        <v>1864.14</v>
      </c>
      <c r="BT55" s="45">
        <v>1899.21</v>
      </c>
      <c r="BU55" s="45">
        <v>1932.78</v>
      </c>
      <c r="BV55" s="45">
        <v>1960.79</v>
      </c>
      <c r="BW55" s="45">
        <v>1979.42</v>
      </c>
      <c r="BX55" s="45">
        <v>2149.98</v>
      </c>
      <c r="BY55" s="45">
        <v>2170.39</v>
      </c>
      <c r="BZ55" s="45">
        <v>2184.41</v>
      </c>
      <c r="CA55" s="45">
        <v>2371.89</v>
      </c>
      <c r="CB55" s="45">
        <v>2374.84</v>
      </c>
      <c r="CC55" s="45">
        <v>633.52</v>
      </c>
      <c r="CD55" s="45">
        <v>690.03</v>
      </c>
      <c r="CE55" s="45">
        <v>695.07</v>
      </c>
      <c r="CF55" s="45">
        <v>725.71</v>
      </c>
      <c r="CG55" s="45">
        <v>767.47</v>
      </c>
      <c r="CH55" s="45">
        <v>790.73</v>
      </c>
      <c r="CI55" s="45">
        <v>801.27</v>
      </c>
      <c r="CJ55" s="45">
        <v>873.03</v>
      </c>
      <c r="CK55" s="45">
        <v>983.28</v>
      </c>
      <c r="CL55" s="45">
        <v>1017.82</v>
      </c>
      <c r="CM55" s="45">
        <v>1055.24</v>
      </c>
      <c r="CN55" s="45">
        <v>1071.4000000000001</v>
      </c>
      <c r="CO55" s="45">
        <v>1109</v>
      </c>
      <c r="CP55" s="45">
        <v>1268.83</v>
      </c>
      <c r="CQ55" s="45">
        <v>1353.32</v>
      </c>
      <c r="CR55" s="45">
        <v>1441.35</v>
      </c>
      <c r="CS55" s="45">
        <v>1455.53</v>
      </c>
      <c r="CT55" s="45">
        <v>1475.17</v>
      </c>
      <c r="CU55" s="45">
        <v>1489.11</v>
      </c>
      <c r="CV55" s="45">
        <v>1551.13</v>
      </c>
      <c r="CW55" s="45">
        <v>1593.02</v>
      </c>
      <c r="CX55" s="45">
        <v>1593.53</v>
      </c>
      <c r="CY55" s="45">
        <v>1603.28</v>
      </c>
      <c r="CZ55" s="45">
        <v>1607.3</v>
      </c>
      <c r="DA55" s="45">
        <v>1690.14</v>
      </c>
      <c r="DB55" s="45">
        <v>1702.13</v>
      </c>
      <c r="DC55" s="45">
        <v>1734.82</v>
      </c>
      <c r="DD55" s="45">
        <v>1770.15</v>
      </c>
      <c r="DE55" s="45">
        <v>1799.47</v>
      </c>
      <c r="DF55" s="45">
        <v>1864.14</v>
      </c>
      <c r="DG55" s="45">
        <v>1899.21</v>
      </c>
      <c r="DH55" s="45">
        <v>1932.78</v>
      </c>
      <c r="DI55" s="45">
        <v>1960.79</v>
      </c>
      <c r="DJ55" s="45">
        <v>1979.42</v>
      </c>
      <c r="DK55" s="45">
        <v>2149.98</v>
      </c>
      <c r="DL55" s="45">
        <v>2170.39</v>
      </c>
      <c r="DM55" s="45">
        <v>2184.41</v>
      </c>
      <c r="DN55" s="45">
        <v>2371.89</v>
      </c>
      <c r="DO55" s="45">
        <v>2374.84</v>
      </c>
    </row>
    <row r="56" spans="1:119" s="2" customFormat="1" ht="14.25" x14ac:dyDescent="0.25">
      <c r="A56" s="252">
        <v>60</v>
      </c>
      <c r="B56" s="253"/>
      <c r="C56" s="45">
        <v>633.52</v>
      </c>
      <c r="D56" s="45">
        <v>690.03</v>
      </c>
      <c r="E56" s="45">
        <v>695.07</v>
      </c>
      <c r="F56" s="45">
        <v>725.71</v>
      </c>
      <c r="G56" s="45">
        <v>767.47</v>
      </c>
      <c r="H56" s="45">
        <v>790.73</v>
      </c>
      <c r="I56" s="45">
        <v>801.27</v>
      </c>
      <c r="J56" s="45">
        <v>873.03</v>
      </c>
      <c r="K56" s="45">
        <v>983.28</v>
      </c>
      <c r="L56" s="45">
        <v>1017.82</v>
      </c>
      <c r="M56" s="45">
        <v>1055.24</v>
      </c>
      <c r="N56" s="45">
        <v>1071.4000000000001</v>
      </c>
      <c r="O56" s="45">
        <v>1109</v>
      </c>
      <c r="P56" s="45">
        <v>1268.83</v>
      </c>
      <c r="Q56" s="45">
        <v>1353.32</v>
      </c>
      <c r="R56" s="45">
        <v>1441.35</v>
      </c>
      <c r="S56" s="45">
        <v>1455.53</v>
      </c>
      <c r="T56" s="45">
        <v>1475.17</v>
      </c>
      <c r="U56" s="45">
        <v>1489.11</v>
      </c>
      <c r="V56" s="45">
        <v>1551.13</v>
      </c>
      <c r="W56" s="45">
        <v>1593.02</v>
      </c>
      <c r="X56" s="45">
        <v>1593.53</v>
      </c>
      <c r="Y56" s="45">
        <v>1603.28</v>
      </c>
      <c r="Z56" s="45">
        <v>1607.3</v>
      </c>
      <c r="AA56" s="45">
        <v>1690.14</v>
      </c>
      <c r="AB56" s="45">
        <v>1702.13</v>
      </c>
      <c r="AC56" s="45">
        <v>1734.82</v>
      </c>
      <c r="AD56" s="45">
        <v>1770.15</v>
      </c>
      <c r="AE56" s="45">
        <v>1799.47</v>
      </c>
      <c r="AF56" s="45">
        <v>1864.14</v>
      </c>
      <c r="AG56" s="45">
        <v>1899.21</v>
      </c>
      <c r="AH56" s="45">
        <v>1932.78</v>
      </c>
      <c r="AI56" s="45">
        <v>1960.79</v>
      </c>
      <c r="AJ56" s="45">
        <v>1979.42</v>
      </c>
      <c r="AK56" s="45">
        <v>2149.98</v>
      </c>
      <c r="AL56" s="45">
        <v>2170.39</v>
      </c>
      <c r="AM56" s="45">
        <v>2184.41</v>
      </c>
      <c r="AN56" s="45">
        <v>2371.89</v>
      </c>
      <c r="AO56" s="45">
        <v>2374.84</v>
      </c>
      <c r="AP56" s="45">
        <v>633.52</v>
      </c>
      <c r="AQ56" s="45">
        <v>690.03</v>
      </c>
      <c r="AR56" s="45">
        <v>695.07</v>
      </c>
      <c r="AS56" s="45">
        <v>725.71</v>
      </c>
      <c r="AT56" s="45">
        <v>767.47</v>
      </c>
      <c r="AU56" s="45">
        <v>790.73</v>
      </c>
      <c r="AV56" s="45">
        <v>801.27</v>
      </c>
      <c r="AW56" s="45">
        <v>873.03</v>
      </c>
      <c r="AX56" s="45">
        <v>983.28</v>
      </c>
      <c r="AY56" s="45">
        <v>1017.82</v>
      </c>
      <c r="AZ56" s="45">
        <v>1055.24</v>
      </c>
      <c r="BA56" s="45">
        <v>1071.4000000000001</v>
      </c>
      <c r="BB56" s="45">
        <v>1109</v>
      </c>
      <c r="BC56" s="45">
        <v>1268.83</v>
      </c>
      <c r="BD56" s="45">
        <v>1353.32</v>
      </c>
      <c r="BE56" s="45">
        <v>1441.35</v>
      </c>
      <c r="BF56" s="45">
        <v>1455.53</v>
      </c>
      <c r="BG56" s="45">
        <v>1475.17</v>
      </c>
      <c r="BH56" s="45">
        <v>1489.11</v>
      </c>
      <c r="BI56" s="45">
        <v>1551.13</v>
      </c>
      <c r="BJ56" s="45">
        <v>1593.02</v>
      </c>
      <c r="BK56" s="45">
        <v>1593.53</v>
      </c>
      <c r="BL56" s="45">
        <v>1603.28</v>
      </c>
      <c r="BM56" s="45">
        <v>1607.3</v>
      </c>
      <c r="BN56" s="45">
        <v>1690.14</v>
      </c>
      <c r="BO56" s="45">
        <v>1702.13</v>
      </c>
      <c r="BP56" s="45">
        <v>1734.82</v>
      </c>
      <c r="BQ56" s="45">
        <v>1770.15</v>
      </c>
      <c r="BR56" s="45">
        <v>1799.47</v>
      </c>
      <c r="BS56" s="45">
        <v>1864.14</v>
      </c>
      <c r="BT56" s="45">
        <v>1899.21</v>
      </c>
      <c r="BU56" s="45">
        <v>1932.78</v>
      </c>
      <c r="BV56" s="45">
        <v>1960.79</v>
      </c>
      <c r="BW56" s="45">
        <v>1979.42</v>
      </c>
      <c r="BX56" s="45">
        <v>2149.98</v>
      </c>
      <c r="BY56" s="45">
        <v>2170.39</v>
      </c>
      <c r="BZ56" s="45">
        <v>2184.41</v>
      </c>
      <c r="CA56" s="45">
        <v>2371.89</v>
      </c>
      <c r="CB56" s="45">
        <v>2374.84</v>
      </c>
      <c r="CC56" s="45">
        <v>633.52</v>
      </c>
      <c r="CD56" s="45">
        <v>690.03</v>
      </c>
      <c r="CE56" s="45">
        <v>695.07</v>
      </c>
      <c r="CF56" s="45">
        <v>725.71</v>
      </c>
      <c r="CG56" s="45">
        <v>767.47</v>
      </c>
      <c r="CH56" s="45">
        <v>790.73</v>
      </c>
      <c r="CI56" s="45">
        <v>801.27</v>
      </c>
      <c r="CJ56" s="45">
        <v>873.03</v>
      </c>
      <c r="CK56" s="45">
        <v>983.28</v>
      </c>
      <c r="CL56" s="45">
        <v>1017.82</v>
      </c>
      <c r="CM56" s="45">
        <v>1055.24</v>
      </c>
      <c r="CN56" s="45">
        <v>1071.4000000000001</v>
      </c>
      <c r="CO56" s="45">
        <v>1109</v>
      </c>
      <c r="CP56" s="45">
        <v>1268.83</v>
      </c>
      <c r="CQ56" s="45">
        <v>1353.32</v>
      </c>
      <c r="CR56" s="45">
        <v>1441.35</v>
      </c>
      <c r="CS56" s="45">
        <v>1455.53</v>
      </c>
      <c r="CT56" s="45">
        <v>1475.17</v>
      </c>
      <c r="CU56" s="45">
        <v>1489.11</v>
      </c>
      <c r="CV56" s="45">
        <v>1551.13</v>
      </c>
      <c r="CW56" s="45">
        <v>1593.02</v>
      </c>
      <c r="CX56" s="45">
        <v>1593.53</v>
      </c>
      <c r="CY56" s="45">
        <v>1603.28</v>
      </c>
      <c r="CZ56" s="45">
        <v>1607.3</v>
      </c>
      <c r="DA56" s="45">
        <v>1690.14</v>
      </c>
      <c r="DB56" s="45">
        <v>1702.13</v>
      </c>
      <c r="DC56" s="45">
        <v>1734.82</v>
      </c>
      <c r="DD56" s="45">
        <v>1770.15</v>
      </c>
      <c r="DE56" s="45">
        <v>1799.47</v>
      </c>
      <c r="DF56" s="45">
        <v>1864.14</v>
      </c>
      <c r="DG56" s="45">
        <v>1899.21</v>
      </c>
      <c r="DH56" s="45">
        <v>1932.78</v>
      </c>
      <c r="DI56" s="45">
        <v>1960.79</v>
      </c>
      <c r="DJ56" s="45">
        <v>1979.42</v>
      </c>
      <c r="DK56" s="45">
        <v>2149.98</v>
      </c>
      <c r="DL56" s="45">
        <v>2170.39</v>
      </c>
      <c r="DM56" s="45">
        <v>2184.41</v>
      </c>
      <c r="DN56" s="45">
        <v>2371.89</v>
      </c>
      <c r="DO56" s="45">
        <v>2374.84</v>
      </c>
    </row>
    <row r="57" spans="1:119" s="2" customFormat="1" ht="14.25" x14ac:dyDescent="0.25">
      <c r="A57" s="252">
        <v>61</v>
      </c>
      <c r="B57" s="253"/>
      <c r="C57" s="45">
        <v>633.52</v>
      </c>
      <c r="D57" s="45">
        <v>690.03</v>
      </c>
      <c r="E57" s="45">
        <v>695.07</v>
      </c>
      <c r="F57" s="45">
        <v>725.71</v>
      </c>
      <c r="G57" s="45">
        <v>767.47</v>
      </c>
      <c r="H57" s="45">
        <v>790.73</v>
      </c>
      <c r="I57" s="45">
        <v>801.27</v>
      </c>
      <c r="J57" s="45">
        <v>873.03</v>
      </c>
      <c r="K57" s="45">
        <v>983.28</v>
      </c>
      <c r="L57" s="45">
        <v>1017.82</v>
      </c>
      <c r="M57" s="45">
        <v>1055.24</v>
      </c>
      <c r="N57" s="45">
        <v>1071.4000000000001</v>
      </c>
      <c r="O57" s="45">
        <v>1109</v>
      </c>
      <c r="P57" s="45">
        <v>1268.83</v>
      </c>
      <c r="Q57" s="45">
        <v>1353.32</v>
      </c>
      <c r="R57" s="45">
        <v>1441.35</v>
      </c>
      <c r="S57" s="45">
        <v>1455.53</v>
      </c>
      <c r="T57" s="45">
        <v>1475.17</v>
      </c>
      <c r="U57" s="45">
        <v>1489.11</v>
      </c>
      <c r="V57" s="45">
        <v>1551.13</v>
      </c>
      <c r="W57" s="45">
        <v>1593.02</v>
      </c>
      <c r="X57" s="45">
        <v>1593.53</v>
      </c>
      <c r="Y57" s="45">
        <v>1603.28</v>
      </c>
      <c r="Z57" s="45">
        <v>1607.3</v>
      </c>
      <c r="AA57" s="45">
        <v>1690.14</v>
      </c>
      <c r="AB57" s="45">
        <v>1702.13</v>
      </c>
      <c r="AC57" s="45">
        <v>1734.82</v>
      </c>
      <c r="AD57" s="45">
        <v>1770.15</v>
      </c>
      <c r="AE57" s="45">
        <v>1799.47</v>
      </c>
      <c r="AF57" s="45">
        <v>1864.14</v>
      </c>
      <c r="AG57" s="45">
        <v>1899.21</v>
      </c>
      <c r="AH57" s="45">
        <v>1932.78</v>
      </c>
      <c r="AI57" s="45">
        <v>1960.79</v>
      </c>
      <c r="AJ57" s="45">
        <v>1979.42</v>
      </c>
      <c r="AK57" s="45">
        <v>2149.98</v>
      </c>
      <c r="AL57" s="45">
        <v>2170.39</v>
      </c>
      <c r="AM57" s="45">
        <v>2184.41</v>
      </c>
      <c r="AN57" s="45">
        <v>2371.89</v>
      </c>
      <c r="AO57" s="45">
        <v>2374.84</v>
      </c>
      <c r="AP57" s="45">
        <v>633.52</v>
      </c>
      <c r="AQ57" s="45">
        <v>690.03</v>
      </c>
      <c r="AR57" s="45">
        <v>695.07</v>
      </c>
      <c r="AS57" s="45">
        <v>725.71</v>
      </c>
      <c r="AT57" s="45">
        <v>767.47</v>
      </c>
      <c r="AU57" s="45">
        <v>790.73</v>
      </c>
      <c r="AV57" s="45">
        <v>801.27</v>
      </c>
      <c r="AW57" s="45">
        <v>873.03</v>
      </c>
      <c r="AX57" s="45">
        <v>983.28</v>
      </c>
      <c r="AY57" s="45">
        <v>1017.82</v>
      </c>
      <c r="AZ57" s="45">
        <v>1055.24</v>
      </c>
      <c r="BA57" s="45">
        <v>1071.4000000000001</v>
      </c>
      <c r="BB57" s="45">
        <v>1109</v>
      </c>
      <c r="BC57" s="45">
        <v>1268.83</v>
      </c>
      <c r="BD57" s="45">
        <v>1353.32</v>
      </c>
      <c r="BE57" s="45">
        <v>1441.35</v>
      </c>
      <c r="BF57" s="45">
        <v>1455.53</v>
      </c>
      <c r="BG57" s="45">
        <v>1475.17</v>
      </c>
      <c r="BH57" s="45">
        <v>1489.11</v>
      </c>
      <c r="BI57" s="45">
        <v>1551.13</v>
      </c>
      <c r="BJ57" s="45">
        <v>1593.02</v>
      </c>
      <c r="BK57" s="45">
        <v>1593.53</v>
      </c>
      <c r="BL57" s="45">
        <v>1603.28</v>
      </c>
      <c r="BM57" s="45">
        <v>1607.3</v>
      </c>
      <c r="BN57" s="45">
        <v>1690.14</v>
      </c>
      <c r="BO57" s="45">
        <v>1702.13</v>
      </c>
      <c r="BP57" s="45">
        <v>1734.82</v>
      </c>
      <c r="BQ57" s="45">
        <v>1770.15</v>
      </c>
      <c r="BR57" s="45">
        <v>1799.47</v>
      </c>
      <c r="BS57" s="45">
        <v>1864.14</v>
      </c>
      <c r="BT57" s="45">
        <v>1899.21</v>
      </c>
      <c r="BU57" s="45">
        <v>1932.78</v>
      </c>
      <c r="BV57" s="45">
        <v>1960.79</v>
      </c>
      <c r="BW57" s="45">
        <v>1979.42</v>
      </c>
      <c r="BX57" s="45">
        <v>2149.98</v>
      </c>
      <c r="BY57" s="45">
        <v>2170.39</v>
      </c>
      <c r="BZ57" s="45">
        <v>2184.41</v>
      </c>
      <c r="CA57" s="45">
        <v>2371.89</v>
      </c>
      <c r="CB57" s="45">
        <v>2374.84</v>
      </c>
      <c r="CC57" s="45">
        <v>633.52</v>
      </c>
      <c r="CD57" s="45">
        <v>690.03</v>
      </c>
      <c r="CE57" s="45">
        <v>695.07</v>
      </c>
      <c r="CF57" s="45">
        <v>725.71</v>
      </c>
      <c r="CG57" s="45">
        <v>767.47</v>
      </c>
      <c r="CH57" s="45">
        <v>790.73</v>
      </c>
      <c r="CI57" s="45">
        <v>801.27</v>
      </c>
      <c r="CJ57" s="45">
        <v>873.03</v>
      </c>
      <c r="CK57" s="45">
        <v>983.28</v>
      </c>
      <c r="CL57" s="45">
        <v>1017.82</v>
      </c>
      <c r="CM57" s="45">
        <v>1055.24</v>
      </c>
      <c r="CN57" s="45">
        <v>1071.4000000000001</v>
      </c>
      <c r="CO57" s="45">
        <v>1109</v>
      </c>
      <c r="CP57" s="45">
        <v>1268.83</v>
      </c>
      <c r="CQ57" s="45">
        <v>1353.32</v>
      </c>
      <c r="CR57" s="45">
        <v>1441.35</v>
      </c>
      <c r="CS57" s="45">
        <v>1455.53</v>
      </c>
      <c r="CT57" s="45">
        <v>1475.17</v>
      </c>
      <c r="CU57" s="45">
        <v>1489.11</v>
      </c>
      <c r="CV57" s="45">
        <v>1551.13</v>
      </c>
      <c r="CW57" s="45">
        <v>1593.02</v>
      </c>
      <c r="CX57" s="45">
        <v>1593.53</v>
      </c>
      <c r="CY57" s="45">
        <v>1603.28</v>
      </c>
      <c r="CZ57" s="45">
        <v>1607.3</v>
      </c>
      <c r="DA57" s="45">
        <v>1690.14</v>
      </c>
      <c r="DB57" s="45">
        <v>1702.13</v>
      </c>
      <c r="DC57" s="45">
        <v>1734.82</v>
      </c>
      <c r="DD57" s="45">
        <v>1770.15</v>
      </c>
      <c r="DE57" s="45">
        <v>1799.47</v>
      </c>
      <c r="DF57" s="45">
        <v>1864.14</v>
      </c>
      <c r="DG57" s="45">
        <v>1899.21</v>
      </c>
      <c r="DH57" s="45">
        <v>1932.78</v>
      </c>
      <c r="DI57" s="45">
        <v>1960.79</v>
      </c>
      <c r="DJ57" s="45">
        <v>1979.42</v>
      </c>
      <c r="DK57" s="45">
        <v>2149.98</v>
      </c>
      <c r="DL57" s="45">
        <v>2170.39</v>
      </c>
      <c r="DM57" s="45">
        <v>2184.41</v>
      </c>
      <c r="DN57" s="45">
        <v>2371.89</v>
      </c>
      <c r="DO57" s="45">
        <v>2374.84</v>
      </c>
    </row>
    <row r="58" spans="1:119" s="2" customFormat="1" ht="14.25" x14ac:dyDescent="0.25">
      <c r="A58" s="252">
        <v>62</v>
      </c>
      <c r="B58" s="253"/>
      <c r="C58" s="45">
        <v>633.52</v>
      </c>
      <c r="D58" s="45">
        <v>690.03</v>
      </c>
      <c r="E58" s="45">
        <v>695.07</v>
      </c>
      <c r="F58" s="45">
        <v>725.71</v>
      </c>
      <c r="G58" s="45">
        <v>767.47</v>
      </c>
      <c r="H58" s="45">
        <v>790.73</v>
      </c>
      <c r="I58" s="45">
        <v>801.27</v>
      </c>
      <c r="J58" s="45">
        <v>873.03</v>
      </c>
      <c r="K58" s="45">
        <v>983.28</v>
      </c>
      <c r="L58" s="45">
        <v>1017.82</v>
      </c>
      <c r="M58" s="45">
        <v>1055.24</v>
      </c>
      <c r="N58" s="45">
        <v>1071.4000000000001</v>
      </c>
      <c r="O58" s="45">
        <v>1109</v>
      </c>
      <c r="P58" s="45">
        <v>1268.83</v>
      </c>
      <c r="Q58" s="45">
        <v>1353.32</v>
      </c>
      <c r="R58" s="45">
        <v>1441.35</v>
      </c>
      <c r="S58" s="45">
        <v>1455.53</v>
      </c>
      <c r="T58" s="45">
        <v>1475.17</v>
      </c>
      <c r="U58" s="45">
        <v>1489.11</v>
      </c>
      <c r="V58" s="45">
        <v>1551.13</v>
      </c>
      <c r="W58" s="45">
        <v>1593.02</v>
      </c>
      <c r="X58" s="45">
        <v>1593.53</v>
      </c>
      <c r="Y58" s="45">
        <v>1603.28</v>
      </c>
      <c r="Z58" s="45">
        <v>1607.3</v>
      </c>
      <c r="AA58" s="45">
        <v>1690.14</v>
      </c>
      <c r="AB58" s="45">
        <v>1702.13</v>
      </c>
      <c r="AC58" s="45">
        <v>1734.82</v>
      </c>
      <c r="AD58" s="45">
        <v>1770.15</v>
      </c>
      <c r="AE58" s="45">
        <v>1799.47</v>
      </c>
      <c r="AF58" s="45">
        <v>1864.14</v>
      </c>
      <c r="AG58" s="45">
        <v>1899.21</v>
      </c>
      <c r="AH58" s="45">
        <v>1932.78</v>
      </c>
      <c r="AI58" s="45">
        <v>1960.79</v>
      </c>
      <c r="AJ58" s="45">
        <v>1979.42</v>
      </c>
      <c r="AK58" s="45">
        <v>2149.98</v>
      </c>
      <c r="AL58" s="45">
        <v>2170.39</v>
      </c>
      <c r="AM58" s="45">
        <v>2184.41</v>
      </c>
      <c r="AN58" s="45">
        <v>2371.89</v>
      </c>
      <c r="AO58" s="45">
        <v>2374.84</v>
      </c>
      <c r="AP58" s="45">
        <v>633.52</v>
      </c>
      <c r="AQ58" s="45">
        <v>690.03</v>
      </c>
      <c r="AR58" s="45">
        <v>695.07</v>
      </c>
      <c r="AS58" s="45">
        <v>725.71</v>
      </c>
      <c r="AT58" s="45">
        <v>767.47</v>
      </c>
      <c r="AU58" s="45">
        <v>790.73</v>
      </c>
      <c r="AV58" s="45">
        <v>801.27</v>
      </c>
      <c r="AW58" s="45">
        <v>873.03</v>
      </c>
      <c r="AX58" s="45">
        <v>983.28</v>
      </c>
      <c r="AY58" s="45">
        <v>1017.82</v>
      </c>
      <c r="AZ58" s="45">
        <v>1055.24</v>
      </c>
      <c r="BA58" s="45">
        <v>1071.4000000000001</v>
      </c>
      <c r="BB58" s="45">
        <v>1109</v>
      </c>
      <c r="BC58" s="45">
        <v>1268.83</v>
      </c>
      <c r="BD58" s="45">
        <v>1353.32</v>
      </c>
      <c r="BE58" s="45">
        <v>1441.35</v>
      </c>
      <c r="BF58" s="45">
        <v>1455.53</v>
      </c>
      <c r="BG58" s="45">
        <v>1475.17</v>
      </c>
      <c r="BH58" s="45">
        <v>1489.11</v>
      </c>
      <c r="BI58" s="45">
        <v>1551.13</v>
      </c>
      <c r="BJ58" s="45">
        <v>1593.02</v>
      </c>
      <c r="BK58" s="45">
        <v>1593.53</v>
      </c>
      <c r="BL58" s="45">
        <v>1603.28</v>
      </c>
      <c r="BM58" s="45">
        <v>1607.3</v>
      </c>
      <c r="BN58" s="45">
        <v>1690.14</v>
      </c>
      <c r="BO58" s="45">
        <v>1702.13</v>
      </c>
      <c r="BP58" s="45">
        <v>1734.82</v>
      </c>
      <c r="BQ58" s="45">
        <v>1770.15</v>
      </c>
      <c r="BR58" s="45">
        <v>1799.47</v>
      </c>
      <c r="BS58" s="45">
        <v>1864.14</v>
      </c>
      <c r="BT58" s="45">
        <v>1899.21</v>
      </c>
      <c r="BU58" s="45">
        <v>1932.78</v>
      </c>
      <c r="BV58" s="45">
        <v>1960.79</v>
      </c>
      <c r="BW58" s="45">
        <v>1979.42</v>
      </c>
      <c r="BX58" s="45">
        <v>2149.98</v>
      </c>
      <c r="BY58" s="45">
        <v>2170.39</v>
      </c>
      <c r="BZ58" s="45">
        <v>2184.41</v>
      </c>
      <c r="CA58" s="45">
        <v>2371.89</v>
      </c>
      <c r="CB58" s="45">
        <v>2374.84</v>
      </c>
      <c r="CC58" s="45">
        <v>633.52</v>
      </c>
      <c r="CD58" s="45">
        <v>690.03</v>
      </c>
      <c r="CE58" s="45">
        <v>695.07</v>
      </c>
      <c r="CF58" s="45">
        <v>725.71</v>
      </c>
      <c r="CG58" s="45">
        <v>767.47</v>
      </c>
      <c r="CH58" s="45">
        <v>790.73</v>
      </c>
      <c r="CI58" s="45">
        <v>801.27</v>
      </c>
      <c r="CJ58" s="45">
        <v>873.03</v>
      </c>
      <c r="CK58" s="45">
        <v>983.28</v>
      </c>
      <c r="CL58" s="45">
        <v>1017.82</v>
      </c>
      <c r="CM58" s="45">
        <v>1055.24</v>
      </c>
      <c r="CN58" s="45">
        <v>1071.4000000000001</v>
      </c>
      <c r="CO58" s="45">
        <v>1109</v>
      </c>
      <c r="CP58" s="45">
        <v>1268.83</v>
      </c>
      <c r="CQ58" s="45">
        <v>1353.32</v>
      </c>
      <c r="CR58" s="45">
        <v>1441.35</v>
      </c>
      <c r="CS58" s="45">
        <v>1455.53</v>
      </c>
      <c r="CT58" s="45">
        <v>1475.17</v>
      </c>
      <c r="CU58" s="45">
        <v>1489.11</v>
      </c>
      <c r="CV58" s="45">
        <v>1551.13</v>
      </c>
      <c r="CW58" s="45">
        <v>1593.02</v>
      </c>
      <c r="CX58" s="45">
        <v>1593.53</v>
      </c>
      <c r="CY58" s="45">
        <v>1603.28</v>
      </c>
      <c r="CZ58" s="45">
        <v>1607.3</v>
      </c>
      <c r="DA58" s="45">
        <v>1690.14</v>
      </c>
      <c r="DB58" s="45">
        <v>1702.13</v>
      </c>
      <c r="DC58" s="45">
        <v>1734.82</v>
      </c>
      <c r="DD58" s="45">
        <v>1770.15</v>
      </c>
      <c r="DE58" s="45">
        <v>1799.47</v>
      </c>
      <c r="DF58" s="45">
        <v>1864.14</v>
      </c>
      <c r="DG58" s="45">
        <v>1899.21</v>
      </c>
      <c r="DH58" s="45">
        <v>1932.78</v>
      </c>
      <c r="DI58" s="45">
        <v>1960.79</v>
      </c>
      <c r="DJ58" s="45">
        <v>1979.42</v>
      </c>
      <c r="DK58" s="45">
        <v>2149.98</v>
      </c>
      <c r="DL58" s="45">
        <v>2170.39</v>
      </c>
      <c r="DM58" s="45">
        <v>2184.41</v>
      </c>
      <c r="DN58" s="45">
        <v>2371.89</v>
      </c>
      <c r="DO58" s="45">
        <v>2374.84</v>
      </c>
    </row>
    <row r="59" spans="1:119" s="2" customFormat="1" ht="14.25" x14ac:dyDescent="0.25">
      <c r="A59" s="252">
        <v>63</v>
      </c>
      <c r="B59" s="253"/>
      <c r="C59" s="45">
        <v>633.52</v>
      </c>
      <c r="D59" s="45">
        <v>690.03</v>
      </c>
      <c r="E59" s="45">
        <v>695.07</v>
      </c>
      <c r="F59" s="45">
        <v>725.71</v>
      </c>
      <c r="G59" s="45">
        <v>767.47</v>
      </c>
      <c r="H59" s="45">
        <v>790.73</v>
      </c>
      <c r="I59" s="45">
        <v>801.27</v>
      </c>
      <c r="J59" s="45">
        <v>873.03</v>
      </c>
      <c r="K59" s="45">
        <v>983.28</v>
      </c>
      <c r="L59" s="45">
        <v>1017.82</v>
      </c>
      <c r="M59" s="45">
        <v>1055.24</v>
      </c>
      <c r="N59" s="45">
        <v>1071.4000000000001</v>
      </c>
      <c r="O59" s="45">
        <v>1109</v>
      </c>
      <c r="P59" s="45">
        <v>1268.83</v>
      </c>
      <c r="Q59" s="45">
        <v>1353.32</v>
      </c>
      <c r="R59" s="45">
        <v>1441.35</v>
      </c>
      <c r="S59" s="45">
        <v>1455.53</v>
      </c>
      <c r="T59" s="45">
        <v>1475.17</v>
      </c>
      <c r="U59" s="45">
        <v>1489.11</v>
      </c>
      <c r="V59" s="45">
        <v>1551.13</v>
      </c>
      <c r="W59" s="45">
        <v>1593.02</v>
      </c>
      <c r="X59" s="45">
        <v>1593.53</v>
      </c>
      <c r="Y59" s="45">
        <v>1603.28</v>
      </c>
      <c r="Z59" s="45">
        <v>1607.3</v>
      </c>
      <c r="AA59" s="45">
        <v>1690.14</v>
      </c>
      <c r="AB59" s="45">
        <v>1702.13</v>
      </c>
      <c r="AC59" s="45">
        <v>1734.82</v>
      </c>
      <c r="AD59" s="45">
        <v>1770.15</v>
      </c>
      <c r="AE59" s="45">
        <v>1799.47</v>
      </c>
      <c r="AF59" s="45">
        <v>1864.14</v>
      </c>
      <c r="AG59" s="45">
        <v>1899.21</v>
      </c>
      <c r="AH59" s="45">
        <v>1932.78</v>
      </c>
      <c r="AI59" s="45">
        <v>1960.79</v>
      </c>
      <c r="AJ59" s="45">
        <v>1979.42</v>
      </c>
      <c r="AK59" s="45">
        <v>2149.98</v>
      </c>
      <c r="AL59" s="45">
        <v>2170.39</v>
      </c>
      <c r="AM59" s="45">
        <v>2184.41</v>
      </c>
      <c r="AN59" s="45">
        <v>2371.89</v>
      </c>
      <c r="AO59" s="45">
        <v>2374.84</v>
      </c>
      <c r="AP59" s="45">
        <v>633.52</v>
      </c>
      <c r="AQ59" s="45">
        <v>690.03</v>
      </c>
      <c r="AR59" s="45">
        <v>695.07</v>
      </c>
      <c r="AS59" s="45">
        <v>725.71</v>
      </c>
      <c r="AT59" s="45">
        <v>767.47</v>
      </c>
      <c r="AU59" s="45">
        <v>790.73</v>
      </c>
      <c r="AV59" s="45">
        <v>801.27</v>
      </c>
      <c r="AW59" s="45">
        <v>873.03</v>
      </c>
      <c r="AX59" s="45">
        <v>983.28</v>
      </c>
      <c r="AY59" s="45">
        <v>1017.82</v>
      </c>
      <c r="AZ59" s="45">
        <v>1055.24</v>
      </c>
      <c r="BA59" s="45">
        <v>1071.4000000000001</v>
      </c>
      <c r="BB59" s="45">
        <v>1109</v>
      </c>
      <c r="BC59" s="45">
        <v>1268.83</v>
      </c>
      <c r="BD59" s="45">
        <v>1353.32</v>
      </c>
      <c r="BE59" s="45">
        <v>1441.35</v>
      </c>
      <c r="BF59" s="45">
        <v>1455.53</v>
      </c>
      <c r="BG59" s="45">
        <v>1475.17</v>
      </c>
      <c r="BH59" s="45">
        <v>1489.11</v>
      </c>
      <c r="BI59" s="45">
        <v>1551.13</v>
      </c>
      <c r="BJ59" s="45">
        <v>1593.02</v>
      </c>
      <c r="BK59" s="45">
        <v>1593.53</v>
      </c>
      <c r="BL59" s="45">
        <v>1603.28</v>
      </c>
      <c r="BM59" s="45">
        <v>1607.3</v>
      </c>
      <c r="BN59" s="45">
        <v>1690.14</v>
      </c>
      <c r="BO59" s="45">
        <v>1702.13</v>
      </c>
      <c r="BP59" s="45">
        <v>1734.82</v>
      </c>
      <c r="BQ59" s="45">
        <v>1770.15</v>
      </c>
      <c r="BR59" s="45">
        <v>1799.47</v>
      </c>
      <c r="BS59" s="45">
        <v>1864.14</v>
      </c>
      <c r="BT59" s="45">
        <v>1899.21</v>
      </c>
      <c r="BU59" s="45">
        <v>1932.78</v>
      </c>
      <c r="BV59" s="45">
        <v>1960.79</v>
      </c>
      <c r="BW59" s="45">
        <v>1979.42</v>
      </c>
      <c r="BX59" s="45">
        <v>2149.98</v>
      </c>
      <c r="BY59" s="45">
        <v>2170.39</v>
      </c>
      <c r="BZ59" s="45">
        <v>2184.41</v>
      </c>
      <c r="CA59" s="45">
        <v>2371.89</v>
      </c>
      <c r="CB59" s="45">
        <v>2374.84</v>
      </c>
      <c r="CC59" s="45">
        <v>633.52</v>
      </c>
      <c r="CD59" s="45">
        <v>690.03</v>
      </c>
      <c r="CE59" s="45">
        <v>695.07</v>
      </c>
      <c r="CF59" s="45">
        <v>725.71</v>
      </c>
      <c r="CG59" s="45">
        <v>767.47</v>
      </c>
      <c r="CH59" s="45">
        <v>790.73</v>
      </c>
      <c r="CI59" s="45">
        <v>801.27</v>
      </c>
      <c r="CJ59" s="45">
        <v>873.03</v>
      </c>
      <c r="CK59" s="45">
        <v>983.28</v>
      </c>
      <c r="CL59" s="45">
        <v>1017.82</v>
      </c>
      <c r="CM59" s="45">
        <v>1055.24</v>
      </c>
      <c r="CN59" s="45">
        <v>1071.4000000000001</v>
      </c>
      <c r="CO59" s="45">
        <v>1109</v>
      </c>
      <c r="CP59" s="45">
        <v>1268.83</v>
      </c>
      <c r="CQ59" s="45">
        <v>1353.32</v>
      </c>
      <c r="CR59" s="45">
        <v>1441.35</v>
      </c>
      <c r="CS59" s="45">
        <v>1455.53</v>
      </c>
      <c r="CT59" s="45">
        <v>1475.17</v>
      </c>
      <c r="CU59" s="45">
        <v>1489.11</v>
      </c>
      <c r="CV59" s="45">
        <v>1551.13</v>
      </c>
      <c r="CW59" s="45">
        <v>1593.02</v>
      </c>
      <c r="CX59" s="45">
        <v>1593.53</v>
      </c>
      <c r="CY59" s="45">
        <v>1603.28</v>
      </c>
      <c r="CZ59" s="45">
        <v>1607.3</v>
      </c>
      <c r="DA59" s="45">
        <v>1690.14</v>
      </c>
      <c r="DB59" s="45">
        <v>1702.13</v>
      </c>
      <c r="DC59" s="45">
        <v>1734.82</v>
      </c>
      <c r="DD59" s="45">
        <v>1770.15</v>
      </c>
      <c r="DE59" s="45">
        <v>1799.47</v>
      </c>
      <c r="DF59" s="45">
        <v>1864.14</v>
      </c>
      <c r="DG59" s="45">
        <v>1899.21</v>
      </c>
      <c r="DH59" s="45">
        <v>1932.78</v>
      </c>
      <c r="DI59" s="45">
        <v>1960.79</v>
      </c>
      <c r="DJ59" s="45">
        <v>1979.42</v>
      </c>
      <c r="DK59" s="45">
        <v>2149.98</v>
      </c>
      <c r="DL59" s="45">
        <v>2170.39</v>
      </c>
      <c r="DM59" s="45">
        <v>2184.41</v>
      </c>
      <c r="DN59" s="45">
        <v>2371.89</v>
      </c>
      <c r="DO59" s="45">
        <v>2374.84</v>
      </c>
    </row>
    <row r="60" spans="1:119" s="2" customFormat="1" ht="14.25" x14ac:dyDescent="0.25">
      <c r="A60" s="252" t="s">
        <v>87</v>
      </c>
      <c r="B60" s="253"/>
      <c r="C60" s="45">
        <v>633.52</v>
      </c>
      <c r="D60" s="45">
        <v>690.03</v>
      </c>
      <c r="E60" s="45">
        <v>695.07</v>
      </c>
      <c r="F60" s="45">
        <v>725.71</v>
      </c>
      <c r="G60" s="45">
        <v>767.47</v>
      </c>
      <c r="H60" s="45">
        <v>790.73</v>
      </c>
      <c r="I60" s="45">
        <v>801.27</v>
      </c>
      <c r="J60" s="45">
        <v>873.03</v>
      </c>
      <c r="K60" s="45">
        <v>983.28</v>
      </c>
      <c r="L60" s="45">
        <v>1017.82</v>
      </c>
      <c r="M60" s="45">
        <v>1055.24</v>
      </c>
      <c r="N60" s="45">
        <v>1071.4000000000001</v>
      </c>
      <c r="O60" s="45">
        <v>1109</v>
      </c>
      <c r="P60" s="45">
        <v>1268.83</v>
      </c>
      <c r="Q60" s="45">
        <v>1353.32</v>
      </c>
      <c r="R60" s="45">
        <v>1441.35</v>
      </c>
      <c r="S60" s="45">
        <v>1455.53</v>
      </c>
      <c r="T60" s="45">
        <v>1475.17</v>
      </c>
      <c r="U60" s="45">
        <v>1489.11</v>
      </c>
      <c r="V60" s="45">
        <v>1551.13</v>
      </c>
      <c r="W60" s="45">
        <v>1593.02</v>
      </c>
      <c r="X60" s="45">
        <v>1593.53</v>
      </c>
      <c r="Y60" s="45">
        <v>1603.28</v>
      </c>
      <c r="Z60" s="45">
        <v>1607.3</v>
      </c>
      <c r="AA60" s="45">
        <v>1690.14</v>
      </c>
      <c r="AB60" s="45">
        <v>1702.13</v>
      </c>
      <c r="AC60" s="45">
        <v>1734.82</v>
      </c>
      <c r="AD60" s="45">
        <v>1770.15</v>
      </c>
      <c r="AE60" s="45">
        <v>1799.47</v>
      </c>
      <c r="AF60" s="45">
        <v>1864.14</v>
      </c>
      <c r="AG60" s="45">
        <v>1899.21</v>
      </c>
      <c r="AH60" s="45">
        <v>1932.78</v>
      </c>
      <c r="AI60" s="45">
        <v>1960.79</v>
      </c>
      <c r="AJ60" s="45">
        <v>1979.42</v>
      </c>
      <c r="AK60" s="45">
        <v>2149.98</v>
      </c>
      <c r="AL60" s="45">
        <v>2170.39</v>
      </c>
      <c r="AM60" s="45">
        <v>2184.41</v>
      </c>
      <c r="AN60" s="45">
        <v>2371.89</v>
      </c>
      <c r="AO60" s="45">
        <v>2374.84</v>
      </c>
      <c r="AP60" s="45">
        <v>633.52</v>
      </c>
      <c r="AQ60" s="45">
        <v>690.03</v>
      </c>
      <c r="AR60" s="45">
        <v>695.07</v>
      </c>
      <c r="AS60" s="45">
        <v>725.71</v>
      </c>
      <c r="AT60" s="45">
        <v>767.47</v>
      </c>
      <c r="AU60" s="45">
        <v>790.73</v>
      </c>
      <c r="AV60" s="45">
        <v>801.27</v>
      </c>
      <c r="AW60" s="45">
        <v>873.03</v>
      </c>
      <c r="AX60" s="45">
        <v>983.28</v>
      </c>
      <c r="AY60" s="45">
        <v>1017.82</v>
      </c>
      <c r="AZ60" s="45">
        <v>1055.24</v>
      </c>
      <c r="BA60" s="45">
        <v>1071.4000000000001</v>
      </c>
      <c r="BB60" s="45">
        <v>1109</v>
      </c>
      <c r="BC60" s="45">
        <v>1268.83</v>
      </c>
      <c r="BD60" s="45">
        <v>1353.32</v>
      </c>
      <c r="BE60" s="45">
        <v>1441.35</v>
      </c>
      <c r="BF60" s="45">
        <v>1455.53</v>
      </c>
      <c r="BG60" s="45">
        <v>1475.17</v>
      </c>
      <c r="BH60" s="45">
        <v>1489.11</v>
      </c>
      <c r="BI60" s="45">
        <v>1551.13</v>
      </c>
      <c r="BJ60" s="45">
        <v>1593.02</v>
      </c>
      <c r="BK60" s="45">
        <v>1593.53</v>
      </c>
      <c r="BL60" s="45">
        <v>1603.28</v>
      </c>
      <c r="BM60" s="45">
        <v>1607.3</v>
      </c>
      <c r="BN60" s="45">
        <v>1690.14</v>
      </c>
      <c r="BO60" s="45">
        <v>1702.13</v>
      </c>
      <c r="BP60" s="45">
        <v>1734.82</v>
      </c>
      <c r="BQ60" s="45">
        <v>1770.15</v>
      </c>
      <c r="BR60" s="45">
        <v>1799.47</v>
      </c>
      <c r="BS60" s="45">
        <v>1864.14</v>
      </c>
      <c r="BT60" s="45">
        <v>1899.21</v>
      </c>
      <c r="BU60" s="45">
        <v>1932.78</v>
      </c>
      <c r="BV60" s="45">
        <v>1960.79</v>
      </c>
      <c r="BW60" s="45">
        <v>1979.42</v>
      </c>
      <c r="BX60" s="45">
        <v>2149.98</v>
      </c>
      <c r="BY60" s="45">
        <v>2170.39</v>
      </c>
      <c r="BZ60" s="45">
        <v>2184.41</v>
      </c>
      <c r="CA60" s="45">
        <v>2371.89</v>
      </c>
      <c r="CB60" s="45">
        <v>2374.84</v>
      </c>
      <c r="CC60" s="45">
        <v>633.52</v>
      </c>
      <c r="CD60" s="45">
        <v>690.03</v>
      </c>
      <c r="CE60" s="45">
        <v>695.07</v>
      </c>
      <c r="CF60" s="45">
        <v>725.71</v>
      </c>
      <c r="CG60" s="45">
        <v>767.47</v>
      </c>
      <c r="CH60" s="45">
        <v>790.73</v>
      </c>
      <c r="CI60" s="45">
        <v>801.27</v>
      </c>
      <c r="CJ60" s="45">
        <v>873.03</v>
      </c>
      <c r="CK60" s="45">
        <v>983.28</v>
      </c>
      <c r="CL60" s="45">
        <v>1017.82</v>
      </c>
      <c r="CM60" s="45">
        <v>1055.24</v>
      </c>
      <c r="CN60" s="45">
        <v>1071.4000000000001</v>
      </c>
      <c r="CO60" s="45">
        <v>1109</v>
      </c>
      <c r="CP60" s="45">
        <v>1268.83</v>
      </c>
      <c r="CQ60" s="45">
        <v>1353.32</v>
      </c>
      <c r="CR60" s="45">
        <v>1441.35</v>
      </c>
      <c r="CS60" s="45">
        <v>1455.53</v>
      </c>
      <c r="CT60" s="45">
        <v>1475.17</v>
      </c>
      <c r="CU60" s="45">
        <v>1489.11</v>
      </c>
      <c r="CV60" s="45">
        <v>1551.13</v>
      </c>
      <c r="CW60" s="45">
        <v>1593.02</v>
      </c>
      <c r="CX60" s="45">
        <v>1593.53</v>
      </c>
      <c r="CY60" s="45">
        <v>1603.28</v>
      </c>
      <c r="CZ60" s="45">
        <v>1607.3</v>
      </c>
      <c r="DA60" s="45">
        <v>1690.14</v>
      </c>
      <c r="DB60" s="45">
        <v>1702.13</v>
      </c>
      <c r="DC60" s="45">
        <v>1734.82</v>
      </c>
      <c r="DD60" s="45">
        <v>1770.15</v>
      </c>
      <c r="DE60" s="45">
        <v>1799.47</v>
      </c>
      <c r="DF60" s="45">
        <v>1864.14</v>
      </c>
      <c r="DG60" s="45">
        <v>1899.21</v>
      </c>
      <c r="DH60" s="45">
        <v>1932.78</v>
      </c>
      <c r="DI60" s="45">
        <v>1960.79</v>
      </c>
      <c r="DJ60" s="45">
        <v>1979.42</v>
      </c>
      <c r="DK60" s="45">
        <v>2149.98</v>
      </c>
      <c r="DL60" s="45">
        <v>2170.39</v>
      </c>
      <c r="DM60" s="45">
        <v>2184.41</v>
      </c>
      <c r="DN60" s="45">
        <v>2371.89</v>
      </c>
      <c r="DO60" s="45">
        <v>2374.84</v>
      </c>
    </row>
    <row r="61" spans="1:119" s="2" customFormat="1" ht="55.15" customHeight="1" x14ac:dyDescent="0.25">
      <c r="A61" s="140" t="s">
        <v>31</v>
      </c>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c r="CM61" s="140"/>
      <c r="CN61" s="140"/>
      <c r="CO61" s="140"/>
      <c r="CP61" s="140"/>
      <c r="CQ61" s="140"/>
      <c r="CR61" s="140"/>
      <c r="CS61" s="140"/>
      <c r="CT61" s="140"/>
      <c r="CU61" s="140"/>
      <c r="CV61" s="140"/>
      <c r="CW61" s="140"/>
      <c r="CX61" s="140"/>
      <c r="CY61" s="140"/>
      <c r="CZ61" s="140"/>
      <c r="DA61" s="140"/>
      <c r="DB61" s="140"/>
      <c r="DC61" s="140"/>
      <c r="DD61" s="140"/>
      <c r="DE61" s="140"/>
      <c r="DF61" s="140"/>
      <c r="DG61" s="140"/>
      <c r="DH61" s="140"/>
      <c r="DI61" s="140"/>
      <c r="DJ61" s="140"/>
      <c r="DK61" s="140"/>
      <c r="DL61" s="140"/>
      <c r="DM61" s="140"/>
      <c r="DN61" s="140"/>
      <c r="DO61" s="140"/>
    </row>
  </sheetData>
  <mergeCells count="57">
    <mergeCell ref="A14:B14"/>
    <mergeCell ref="A15:B15"/>
    <mergeCell ref="A16:B16"/>
    <mergeCell ref="A17:B17"/>
    <mergeCell ref="A18:B18"/>
    <mergeCell ref="A19:B19"/>
    <mergeCell ref="A20:B20"/>
    <mergeCell ref="A32:B32"/>
    <mergeCell ref="A21:B21"/>
    <mergeCell ref="A22:B22"/>
    <mergeCell ref="A23:B23"/>
    <mergeCell ref="A24:B24"/>
    <mergeCell ref="A25:B25"/>
    <mergeCell ref="A26:B26"/>
    <mergeCell ref="A27:B27"/>
    <mergeCell ref="A28:B28"/>
    <mergeCell ref="A29:B29"/>
    <mergeCell ref="A30:B30"/>
    <mergeCell ref="A31:B31"/>
    <mergeCell ref="A41:B41"/>
    <mergeCell ref="A42:B42"/>
    <mergeCell ref="A33:B33"/>
    <mergeCell ref="A34:B34"/>
    <mergeCell ref="A35:B35"/>
    <mergeCell ref="A36:B36"/>
    <mergeCell ref="A37:B37"/>
    <mergeCell ref="A5:B8"/>
    <mergeCell ref="A10:B10"/>
    <mergeCell ref="A11:B11"/>
    <mergeCell ref="A12:B12"/>
    <mergeCell ref="A13:B13"/>
    <mergeCell ref="A9:B9"/>
    <mergeCell ref="A56:B56"/>
    <mergeCell ref="A57:B57"/>
    <mergeCell ref="A58:B58"/>
    <mergeCell ref="A59:B59"/>
    <mergeCell ref="A43:B43"/>
    <mergeCell ref="A44:B44"/>
    <mergeCell ref="A45:B45"/>
    <mergeCell ref="A46:B46"/>
    <mergeCell ref="A47:B47"/>
    <mergeCell ref="A2:DO2"/>
    <mergeCell ref="A3:DO3"/>
    <mergeCell ref="A4:DO4"/>
    <mergeCell ref="A61:DO61"/>
    <mergeCell ref="A48:B48"/>
    <mergeCell ref="A38:B38"/>
    <mergeCell ref="A39:B39"/>
    <mergeCell ref="A40:B40"/>
    <mergeCell ref="A60:B60"/>
    <mergeCell ref="A49:B49"/>
    <mergeCell ref="A50:B50"/>
    <mergeCell ref="A51:B51"/>
    <mergeCell ref="A52:B52"/>
    <mergeCell ref="A53:B53"/>
    <mergeCell ref="A54:B54"/>
    <mergeCell ref="A55:B55"/>
  </mergeCells>
  <hyperlinks>
    <hyperlink ref="C8" r:id="rId1" xr:uid="{00000000-0004-0000-5F00-000000000000}"/>
    <hyperlink ref="D8" r:id="rId2" xr:uid="{00000000-0004-0000-5F00-000001000000}"/>
    <hyperlink ref="E8" r:id="rId3" xr:uid="{00000000-0004-0000-5F00-000002000000}"/>
    <hyperlink ref="F8" r:id="rId4" xr:uid="{00000000-0004-0000-5F00-000003000000}"/>
    <hyperlink ref="G8" r:id="rId5" xr:uid="{00000000-0004-0000-5F00-000004000000}"/>
    <hyperlink ref="H8" r:id="rId6" xr:uid="{00000000-0004-0000-5F00-000005000000}"/>
    <hyperlink ref="I8" r:id="rId7" xr:uid="{00000000-0004-0000-5F00-000006000000}"/>
    <hyperlink ref="J8" r:id="rId8" xr:uid="{00000000-0004-0000-5F00-000007000000}"/>
    <hyperlink ref="K8" r:id="rId9" xr:uid="{00000000-0004-0000-5F00-000008000000}"/>
    <hyperlink ref="L8" r:id="rId10" xr:uid="{00000000-0004-0000-5F00-000009000000}"/>
    <hyperlink ref="M8" r:id="rId11" xr:uid="{00000000-0004-0000-5F00-00000A000000}"/>
    <hyperlink ref="N8" r:id="rId12" xr:uid="{00000000-0004-0000-5F00-00000B000000}"/>
    <hyperlink ref="O8" r:id="rId13" xr:uid="{00000000-0004-0000-5F00-00000C000000}"/>
    <hyperlink ref="P8" r:id="rId14" xr:uid="{00000000-0004-0000-5F00-00000D000000}"/>
    <hyperlink ref="Q8" r:id="rId15" xr:uid="{00000000-0004-0000-5F00-00000E000000}"/>
    <hyperlink ref="R8" r:id="rId16" xr:uid="{00000000-0004-0000-5F00-00000F000000}"/>
    <hyperlink ref="S8" r:id="rId17" xr:uid="{00000000-0004-0000-5F00-000010000000}"/>
    <hyperlink ref="T8" r:id="rId18" xr:uid="{00000000-0004-0000-5F00-000011000000}"/>
    <hyperlink ref="U8" r:id="rId19" xr:uid="{00000000-0004-0000-5F00-000012000000}"/>
    <hyperlink ref="V8" r:id="rId20" xr:uid="{00000000-0004-0000-5F00-000013000000}"/>
    <hyperlink ref="W8" r:id="rId21" xr:uid="{00000000-0004-0000-5F00-000014000000}"/>
    <hyperlink ref="X8" r:id="rId22" xr:uid="{00000000-0004-0000-5F00-000015000000}"/>
    <hyperlink ref="Y8" r:id="rId23" xr:uid="{00000000-0004-0000-5F00-000016000000}"/>
    <hyperlink ref="Z8" r:id="rId24" xr:uid="{00000000-0004-0000-5F00-000017000000}"/>
    <hyperlink ref="AA8" r:id="rId25" xr:uid="{00000000-0004-0000-5F00-000018000000}"/>
    <hyperlink ref="AB8" r:id="rId26" xr:uid="{00000000-0004-0000-5F00-000019000000}"/>
    <hyperlink ref="AC8" r:id="rId27" xr:uid="{00000000-0004-0000-5F00-00001A000000}"/>
    <hyperlink ref="AD8" r:id="rId28" xr:uid="{00000000-0004-0000-5F00-00001B000000}"/>
    <hyperlink ref="AE8" r:id="rId29" xr:uid="{00000000-0004-0000-5F00-00001C000000}"/>
    <hyperlink ref="AF8" r:id="rId30" xr:uid="{00000000-0004-0000-5F00-00001D000000}"/>
    <hyperlink ref="AG8" r:id="rId31" xr:uid="{00000000-0004-0000-5F00-00001E000000}"/>
    <hyperlink ref="AH8" r:id="rId32" xr:uid="{00000000-0004-0000-5F00-00001F000000}"/>
    <hyperlink ref="AI8" r:id="rId33" xr:uid="{00000000-0004-0000-5F00-000020000000}"/>
    <hyperlink ref="AJ8" r:id="rId34" xr:uid="{00000000-0004-0000-5F00-000021000000}"/>
    <hyperlink ref="AK8" r:id="rId35" xr:uid="{00000000-0004-0000-5F00-000022000000}"/>
    <hyperlink ref="AL8" r:id="rId36" xr:uid="{00000000-0004-0000-5F00-000023000000}"/>
    <hyperlink ref="AM8" r:id="rId37" xr:uid="{00000000-0004-0000-5F00-000024000000}"/>
    <hyperlink ref="AN8" r:id="rId38" xr:uid="{00000000-0004-0000-5F00-000025000000}"/>
    <hyperlink ref="AO8" r:id="rId39" xr:uid="{00000000-0004-0000-5F00-000026000000}"/>
    <hyperlink ref="AP8" r:id="rId40" xr:uid="{00000000-0004-0000-5F00-000027000000}"/>
    <hyperlink ref="AQ8" r:id="rId41" xr:uid="{00000000-0004-0000-5F00-000028000000}"/>
    <hyperlink ref="AR8" r:id="rId42" xr:uid="{00000000-0004-0000-5F00-000029000000}"/>
    <hyperlink ref="AS8" r:id="rId43" xr:uid="{00000000-0004-0000-5F00-00002A000000}"/>
    <hyperlink ref="AT8" r:id="rId44" xr:uid="{00000000-0004-0000-5F00-00002B000000}"/>
    <hyperlink ref="AU8" r:id="rId45" xr:uid="{00000000-0004-0000-5F00-00002C000000}"/>
    <hyperlink ref="AV8" r:id="rId46" xr:uid="{00000000-0004-0000-5F00-00002D000000}"/>
    <hyperlink ref="AW8" r:id="rId47" xr:uid="{00000000-0004-0000-5F00-00002E000000}"/>
    <hyperlink ref="AX8" r:id="rId48" xr:uid="{00000000-0004-0000-5F00-00002F000000}"/>
    <hyperlink ref="AY8" r:id="rId49" xr:uid="{00000000-0004-0000-5F00-000030000000}"/>
    <hyperlink ref="AZ8" r:id="rId50" xr:uid="{00000000-0004-0000-5F00-000031000000}"/>
    <hyperlink ref="BA8" r:id="rId51" xr:uid="{00000000-0004-0000-5F00-000032000000}"/>
    <hyperlink ref="BB8" r:id="rId52" xr:uid="{00000000-0004-0000-5F00-000033000000}"/>
    <hyperlink ref="BC8" r:id="rId53" xr:uid="{00000000-0004-0000-5F00-000034000000}"/>
    <hyperlink ref="BD8" r:id="rId54" xr:uid="{00000000-0004-0000-5F00-000035000000}"/>
    <hyperlink ref="BE8" r:id="rId55" xr:uid="{00000000-0004-0000-5F00-000036000000}"/>
    <hyperlink ref="BF8" r:id="rId56" xr:uid="{00000000-0004-0000-5F00-000037000000}"/>
    <hyperlink ref="BG8" r:id="rId57" xr:uid="{00000000-0004-0000-5F00-000038000000}"/>
    <hyperlink ref="BH8" r:id="rId58" xr:uid="{00000000-0004-0000-5F00-000039000000}"/>
    <hyperlink ref="BI8" r:id="rId59" xr:uid="{00000000-0004-0000-5F00-00003A000000}"/>
    <hyperlink ref="BJ8" r:id="rId60" xr:uid="{00000000-0004-0000-5F00-00003B000000}"/>
    <hyperlink ref="BK8" r:id="rId61" xr:uid="{00000000-0004-0000-5F00-00003C000000}"/>
    <hyperlink ref="BL8" r:id="rId62" xr:uid="{00000000-0004-0000-5F00-00003D000000}"/>
    <hyperlink ref="BM8" r:id="rId63" xr:uid="{00000000-0004-0000-5F00-00003E000000}"/>
    <hyperlink ref="BN8" r:id="rId64" xr:uid="{00000000-0004-0000-5F00-00003F000000}"/>
    <hyperlink ref="BO8" r:id="rId65" xr:uid="{00000000-0004-0000-5F00-000040000000}"/>
    <hyperlink ref="BP8" r:id="rId66" xr:uid="{00000000-0004-0000-5F00-000041000000}"/>
    <hyperlink ref="BQ8" r:id="rId67" xr:uid="{00000000-0004-0000-5F00-000042000000}"/>
    <hyperlink ref="BR8" r:id="rId68" xr:uid="{00000000-0004-0000-5F00-000043000000}"/>
    <hyperlink ref="BS8" r:id="rId69" xr:uid="{00000000-0004-0000-5F00-000044000000}"/>
    <hyperlink ref="BT8" r:id="rId70" xr:uid="{00000000-0004-0000-5F00-000045000000}"/>
    <hyperlink ref="BU8" r:id="rId71" xr:uid="{00000000-0004-0000-5F00-000046000000}"/>
    <hyperlink ref="BV8" r:id="rId72" xr:uid="{00000000-0004-0000-5F00-000047000000}"/>
    <hyperlink ref="BW8" r:id="rId73" xr:uid="{00000000-0004-0000-5F00-000048000000}"/>
    <hyperlink ref="BX8" r:id="rId74" xr:uid="{00000000-0004-0000-5F00-000049000000}"/>
    <hyperlink ref="BY8" r:id="rId75" xr:uid="{00000000-0004-0000-5F00-00004A000000}"/>
    <hyperlink ref="BZ8" r:id="rId76" xr:uid="{00000000-0004-0000-5F00-00004B000000}"/>
    <hyperlink ref="CA8" r:id="rId77" xr:uid="{00000000-0004-0000-5F00-00004C000000}"/>
    <hyperlink ref="CB8" r:id="rId78" xr:uid="{00000000-0004-0000-5F00-00004D000000}"/>
    <hyperlink ref="CC8" r:id="rId79" xr:uid="{00000000-0004-0000-5F00-00004E000000}"/>
    <hyperlink ref="CD8" r:id="rId80" xr:uid="{00000000-0004-0000-5F00-00004F000000}"/>
    <hyperlink ref="CE8" r:id="rId81" xr:uid="{00000000-0004-0000-5F00-000050000000}"/>
    <hyperlink ref="CF8" r:id="rId82" xr:uid="{00000000-0004-0000-5F00-000051000000}"/>
    <hyperlink ref="CG8" r:id="rId83" xr:uid="{00000000-0004-0000-5F00-000052000000}"/>
    <hyperlink ref="CH8" r:id="rId84" xr:uid="{00000000-0004-0000-5F00-000053000000}"/>
    <hyperlink ref="CI8" r:id="rId85" xr:uid="{00000000-0004-0000-5F00-000054000000}"/>
    <hyperlink ref="CJ8" r:id="rId86" xr:uid="{00000000-0004-0000-5F00-000055000000}"/>
    <hyperlink ref="CK8" r:id="rId87" xr:uid="{00000000-0004-0000-5F00-000056000000}"/>
    <hyperlink ref="CL8" r:id="rId88" xr:uid="{00000000-0004-0000-5F00-000057000000}"/>
    <hyperlink ref="CM8" r:id="rId89" xr:uid="{00000000-0004-0000-5F00-000058000000}"/>
    <hyperlink ref="CN8" r:id="rId90" xr:uid="{00000000-0004-0000-5F00-000059000000}"/>
    <hyperlink ref="CO8" r:id="rId91" xr:uid="{00000000-0004-0000-5F00-00005A000000}"/>
    <hyperlink ref="CP8" r:id="rId92" xr:uid="{00000000-0004-0000-5F00-00005B000000}"/>
    <hyperlink ref="CQ8" r:id="rId93" xr:uid="{00000000-0004-0000-5F00-00005C000000}"/>
    <hyperlink ref="CR8" r:id="rId94" xr:uid="{00000000-0004-0000-5F00-00005D000000}"/>
    <hyperlink ref="CS8" r:id="rId95" xr:uid="{00000000-0004-0000-5F00-00005E000000}"/>
    <hyperlink ref="CT8" r:id="rId96" xr:uid="{00000000-0004-0000-5F00-00005F000000}"/>
    <hyperlink ref="CU8" r:id="rId97" xr:uid="{00000000-0004-0000-5F00-000060000000}"/>
    <hyperlink ref="CV8" r:id="rId98" xr:uid="{00000000-0004-0000-5F00-000061000000}"/>
    <hyperlink ref="CW8" r:id="rId99" xr:uid="{00000000-0004-0000-5F00-000062000000}"/>
    <hyperlink ref="CX8" r:id="rId100" xr:uid="{00000000-0004-0000-5F00-000063000000}"/>
    <hyperlink ref="CY8" r:id="rId101" xr:uid="{00000000-0004-0000-5F00-000064000000}"/>
    <hyperlink ref="CZ8" r:id="rId102" xr:uid="{00000000-0004-0000-5F00-000065000000}"/>
    <hyperlink ref="DA8" r:id="rId103" xr:uid="{00000000-0004-0000-5F00-000066000000}"/>
    <hyperlink ref="DB8" r:id="rId104" xr:uid="{00000000-0004-0000-5F00-000067000000}"/>
    <hyperlink ref="DC8" r:id="rId105" xr:uid="{00000000-0004-0000-5F00-000068000000}"/>
    <hyperlink ref="DD8" r:id="rId106" xr:uid="{00000000-0004-0000-5F00-000069000000}"/>
    <hyperlink ref="DE8" r:id="rId107" xr:uid="{00000000-0004-0000-5F00-00006A000000}"/>
    <hyperlink ref="DF8" r:id="rId108" xr:uid="{00000000-0004-0000-5F00-00006B000000}"/>
    <hyperlink ref="DG8" r:id="rId109" xr:uid="{00000000-0004-0000-5F00-00006C000000}"/>
    <hyperlink ref="DH8" r:id="rId110" xr:uid="{00000000-0004-0000-5F00-00006D000000}"/>
    <hyperlink ref="DI8" r:id="rId111" xr:uid="{00000000-0004-0000-5F00-00006E000000}"/>
    <hyperlink ref="DJ8" r:id="rId112" xr:uid="{00000000-0004-0000-5F00-00006F000000}"/>
    <hyperlink ref="DK8" r:id="rId113" xr:uid="{00000000-0004-0000-5F00-000070000000}"/>
    <hyperlink ref="DL8" r:id="rId114" xr:uid="{00000000-0004-0000-5F00-000071000000}"/>
    <hyperlink ref="DM8" r:id="rId115" xr:uid="{00000000-0004-0000-5F00-000072000000}"/>
    <hyperlink ref="DN8" r:id="rId116" xr:uid="{00000000-0004-0000-5F00-000073000000}"/>
    <hyperlink ref="DO8" r:id="rId117" xr:uid="{00000000-0004-0000-5F00-000074000000}"/>
  </hyperlinks>
  <printOptions horizontalCentered="1"/>
  <pageMargins left="0.25" right="0.25" top="0.25" bottom="0.25" header="0" footer="0.3"/>
  <pageSetup scale="35" fitToWidth="0" orientation="landscape" r:id="rId118"/>
  <headerFooter>
    <oddFooter>&amp;C&amp;"Tahoma,Regular"Page &amp;P of &amp;N</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8BC8-A832-4857-BEA9-E978DE65ED0B}">
  <dimension ref="A1:F121"/>
  <sheetViews>
    <sheetView workbookViewId="0">
      <pane ySplit="1" topLeftCell="A2" activePane="bottomLeft" state="frozen"/>
      <selection activeCell="B101" sqref="B101"/>
      <selection pane="bottomLeft"/>
    </sheetView>
  </sheetViews>
  <sheetFormatPr defaultColWidth="8.75" defaultRowHeight="15.75" x14ac:dyDescent="0.25"/>
  <cols>
    <col min="1" max="1" width="30.75" bestFit="1" customWidth="1"/>
    <col min="2" max="2" width="20.75" customWidth="1"/>
    <col min="3" max="3" width="14.25" customWidth="1"/>
    <col min="4" max="4" width="32.75" customWidth="1"/>
    <col min="5" max="5" width="12" bestFit="1" customWidth="1"/>
    <col min="6" max="6" width="15.75" bestFit="1" customWidth="1"/>
  </cols>
  <sheetData>
    <row r="1" spans="1:6" x14ac:dyDescent="0.25">
      <c r="A1" s="6" t="s">
        <v>42</v>
      </c>
      <c r="B1" s="7" t="s">
        <v>43</v>
      </c>
      <c r="C1" s="7" t="s">
        <v>44</v>
      </c>
      <c r="D1" s="7" t="s">
        <v>45</v>
      </c>
      <c r="E1" s="7" t="s">
        <v>28</v>
      </c>
      <c r="F1" s="7" t="s">
        <v>46</v>
      </c>
    </row>
    <row r="2" spans="1:6" x14ac:dyDescent="0.25">
      <c r="A2" t="str">
        <f t="shared" ref="A2:A33" si="0">B2&amp;"|"&amp;C2&amp;"|"&amp;D2</f>
        <v>Current Plan 1|UnitedHealthcare|SurestCC50002026RXALT2</v>
      </c>
      <c r="B2" t="s">
        <v>229</v>
      </c>
      <c r="C2" t="s">
        <v>98</v>
      </c>
      <c r="D2" t="s">
        <v>99</v>
      </c>
      <c r="E2">
        <v>4</v>
      </c>
      <c r="F2">
        <v>11900.85</v>
      </c>
    </row>
    <row r="3" spans="1:6" x14ac:dyDescent="0.25">
      <c r="A3" t="str">
        <f t="shared" si="0"/>
        <v>Current Plan 1|AmeriHealth New Jersey|SEH Select Bronze EPO Local Value $40/$85</v>
      </c>
      <c r="B3" t="s">
        <v>229</v>
      </c>
      <c r="C3" t="s">
        <v>101</v>
      </c>
      <c r="D3" t="s">
        <v>100</v>
      </c>
      <c r="E3">
        <v>4</v>
      </c>
      <c r="F3">
        <v>4517.1400000000003</v>
      </c>
    </row>
    <row r="4" spans="1:6" x14ac:dyDescent="0.25">
      <c r="A4" t="str">
        <f t="shared" si="0"/>
        <v>Current Plan 1|AmeriHealth New Jersey|SEH Select Bronze EPO Regional Preferred with NY $40/$85</v>
      </c>
      <c r="B4" t="s">
        <v>229</v>
      </c>
      <c r="C4" t="s">
        <v>101</v>
      </c>
      <c r="D4" t="s">
        <v>102</v>
      </c>
      <c r="E4">
        <v>4</v>
      </c>
      <c r="F4">
        <v>4920.12</v>
      </c>
    </row>
    <row r="5" spans="1:6" x14ac:dyDescent="0.25">
      <c r="A5" t="str">
        <f t="shared" si="0"/>
        <v>Current Plan 1|AmeriHealth New Jersey|SEH Select Bronze EPO HSA AmeriHealth Advantage LV $25/$50</v>
      </c>
      <c r="B5" t="s">
        <v>229</v>
      </c>
      <c r="C5" t="s">
        <v>101</v>
      </c>
      <c r="D5" t="s">
        <v>148</v>
      </c>
      <c r="E5">
        <v>4</v>
      </c>
      <c r="F5">
        <v>4956.03</v>
      </c>
    </row>
    <row r="6" spans="1:6" x14ac:dyDescent="0.25">
      <c r="A6" t="str">
        <f t="shared" si="0"/>
        <v>Current Plan 1|AmeriHealth New Jersey|SEH Select Bronze EPO Local Value $50/$75</v>
      </c>
      <c r="B6" t="s">
        <v>229</v>
      </c>
      <c r="C6" t="s">
        <v>101</v>
      </c>
      <c r="D6" t="s">
        <v>149</v>
      </c>
      <c r="E6">
        <v>4</v>
      </c>
      <c r="F6">
        <v>5174.4799999999996</v>
      </c>
    </row>
    <row r="7" spans="1:6" x14ac:dyDescent="0.25">
      <c r="A7" t="str">
        <f t="shared" si="0"/>
        <v>Current Plan 1|AmeriHealth New Jersey|SEH Select Bronze EPO HSA AmeriHealth Advantage RP with NY $25/$50</v>
      </c>
      <c r="B7" t="s">
        <v>229</v>
      </c>
      <c r="C7" t="s">
        <v>101</v>
      </c>
      <c r="D7" t="s">
        <v>150</v>
      </c>
      <c r="E7">
        <v>4</v>
      </c>
      <c r="F7">
        <v>5472.26</v>
      </c>
    </row>
    <row r="8" spans="1:6" x14ac:dyDescent="0.25">
      <c r="A8" t="str">
        <f t="shared" si="0"/>
        <v>Current Plan 1|AmeriHealth New Jersey|SEH Select Bronze EPO Regional Preferred with NY $50/$75</v>
      </c>
      <c r="B8" t="s">
        <v>229</v>
      </c>
      <c r="C8" t="s">
        <v>101</v>
      </c>
      <c r="D8" t="s">
        <v>151</v>
      </c>
      <c r="E8">
        <v>4</v>
      </c>
      <c r="F8">
        <v>5638.13</v>
      </c>
    </row>
    <row r="9" spans="1:6" x14ac:dyDescent="0.25">
      <c r="A9" t="str">
        <f t="shared" si="0"/>
        <v>Current Plan 1|AmeriHealth New Jersey|SEH Select Bronze EPO HSA Local Value 50%/50%</v>
      </c>
      <c r="B9" t="s">
        <v>229</v>
      </c>
      <c r="C9" t="s">
        <v>101</v>
      </c>
      <c r="D9" t="s">
        <v>152</v>
      </c>
      <c r="E9">
        <v>4</v>
      </c>
      <c r="F9">
        <v>5713.26</v>
      </c>
    </row>
    <row r="10" spans="1:6" x14ac:dyDescent="0.25">
      <c r="A10" t="str">
        <f t="shared" si="0"/>
        <v>Current Plan 1|AmeriHealth New Jersey|SEH Select Bronze EPO HSA Regional Preferred with NY 50%/50%</v>
      </c>
      <c r="B10" t="s">
        <v>229</v>
      </c>
      <c r="C10" t="s">
        <v>101</v>
      </c>
      <c r="D10" t="s">
        <v>154</v>
      </c>
      <c r="E10">
        <v>4</v>
      </c>
      <c r="F10">
        <v>6224.94</v>
      </c>
    </row>
    <row r="11" spans="1:6" x14ac:dyDescent="0.25">
      <c r="A11" t="str">
        <f t="shared" si="0"/>
        <v>Current Plan 1|AmeriHealth New Jersey|SEH Select Silver EPO Local Value $40/$75</v>
      </c>
      <c r="B11" t="s">
        <v>229</v>
      </c>
      <c r="C11" t="s">
        <v>101</v>
      </c>
      <c r="D11" t="s">
        <v>156</v>
      </c>
      <c r="E11">
        <v>4</v>
      </c>
      <c r="F11">
        <v>7011.06</v>
      </c>
    </row>
    <row r="12" spans="1:6" x14ac:dyDescent="0.25">
      <c r="A12" t="str">
        <f t="shared" si="0"/>
        <v>Current Plan 1|AmeriHealth New Jersey|SEH Select Bronze EPO HSA Local Value 0%/0%</v>
      </c>
      <c r="B12" t="s">
        <v>229</v>
      </c>
      <c r="C12" t="s">
        <v>101</v>
      </c>
      <c r="D12" t="s">
        <v>158</v>
      </c>
      <c r="E12">
        <v>4</v>
      </c>
      <c r="F12">
        <v>7257.31</v>
      </c>
    </row>
    <row r="13" spans="1:6" x14ac:dyDescent="0.25">
      <c r="A13" t="str">
        <f t="shared" si="0"/>
        <v>Current Plan 1|AmeriHealth New Jersey|SEH Select Silver EPO AmeriHealth Hospital Advantage $50/$75</v>
      </c>
      <c r="B13" t="s">
        <v>229</v>
      </c>
      <c r="C13" t="s">
        <v>101</v>
      </c>
      <c r="D13" t="s">
        <v>160</v>
      </c>
      <c r="E13">
        <v>4</v>
      </c>
      <c r="F13">
        <v>7524.14</v>
      </c>
    </row>
    <row r="14" spans="1:6" x14ac:dyDescent="0.25">
      <c r="A14" t="str">
        <f t="shared" si="0"/>
        <v>Current Plan 1|AmeriHealth New Jersey|SEH Select Silver EPO Regional Preferred with NY $40/$75</v>
      </c>
      <c r="B14" t="s">
        <v>229</v>
      </c>
      <c r="C14" t="s">
        <v>101</v>
      </c>
      <c r="D14" t="s">
        <v>162</v>
      </c>
      <c r="E14">
        <v>4</v>
      </c>
      <c r="F14">
        <v>7639.38</v>
      </c>
    </row>
    <row r="15" spans="1:6" x14ac:dyDescent="0.25">
      <c r="A15" t="str">
        <f t="shared" si="0"/>
        <v>Current Plan 1|AmeriHealth New Jersey|SEH Select Bronze EPO HSA Regional Preferred with NY 0%/0%</v>
      </c>
      <c r="B15" t="s">
        <v>229</v>
      </c>
      <c r="C15" t="s">
        <v>101</v>
      </c>
      <c r="D15" t="s">
        <v>164</v>
      </c>
      <c r="E15">
        <v>4</v>
      </c>
      <c r="F15">
        <v>7907.45</v>
      </c>
    </row>
    <row r="16" spans="1:6" x14ac:dyDescent="0.25">
      <c r="A16" t="str">
        <f t="shared" si="0"/>
        <v>Current Plan 1|Horizon|OMNIA Bronze</v>
      </c>
      <c r="B16" t="s">
        <v>229</v>
      </c>
      <c r="C16" t="s">
        <v>167</v>
      </c>
      <c r="D16" t="s">
        <v>166</v>
      </c>
      <c r="E16">
        <v>4</v>
      </c>
      <c r="F16">
        <v>9047.09</v>
      </c>
    </row>
    <row r="17" spans="1:6" x14ac:dyDescent="0.25">
      <c r="A17" t="str">
        <f t="shared" si="0"/>
        <v>Current Plan 1|AmeriHealth New Jersey|SEH Select Gold EPO AmeriHealth Advantage LV $20/$40</v>
      </c>
      <c r="B17" t="s">
        <v>229</v>
      </c>
      <c r="C17" t="s">
        <v>101</v>
      </c>
      <c r="D17" t="s">
        <v>169</v>
      </c>
      <c r="E17">
        <v>4</v>
      </c>
      <c r="F17">
        <v>9649.5400000000009</v>
      </c>
    </row>
    <row r="18" spans="1:6" x14ac:dyDescent="0.25">
      <c r="A18" t="str">
        <f t="shared" si="0"/>
        <v>Current Plan 1|UnitedHealthcare Oxford|NJ S MTRO NG 50/75/2500/50 EPO 26</v>
      </c>
      <c r="B18" t="s">
        <v>229</v>
      </c>
      <c r="C18" t="s">
        <v>172</v>
      </c>
      <c r="D18" t="s">
        <v>171</v>
      </c>
      <c r="E18">
        <v>4</v>
      </c>
      <c r="F18">
        <v>10277.219999999999</v>
      </c>
    </row>
    <row r="19" spans="1:6" x14ac:dyDescent="0.25">
      <c r="A19" t="str">
        <f t="shared" si="0"/>
        <v>Current Plan 1|AmeriHealth New Jersey|SEH Select Silver EPO HSA Local Value 0%/0% $6,000</v>
      </c>
      <c r="B19" t="s">
        <v>229</v>
      </c>
      <c r="C19" t="s">
        <v>101</v>
      </c>
      <c r="D19" t="s">
        <v>174</v>
      </c>
      <c r="E19">
        <v>4</v>
      </c>
      <c r="F19">
        <v>10378.32</v>
      </c>
    </row>
    <row r="20" spans="1:6" x14ac:dyDescent="0.25">
      <c r="A20" t="str">
        <f t="shared" si="0"/>
        <v>Current Plan 1|AmeriHealth New Jersey|SEH Select Silver EPO HSA Local Value 20%/20%</v>
      </c>
      <c r="B20" t="s">
        <v>229</v>
      </c>
      <c r="C20" t="s">
        <v>101</v>
      </c>
      <c r="D20" t="s">
        <v>176</v>
      </c>
      <c r="E20">
        <v>4</v>
      </c>
      <c r="F20">
        <v>10518.33</v>
      </c>
    </row>
    <row r="21" spans="1:6" x14ac:dyDescent="0.25">
      <c r="A21" t="str">
        <f t="shared" si="0"/>
        <v>Current Plan 1|AmeriHealth New Jersey|SEH Select Gold EPO AmeriHealth Advantage RP with NY $20/$40</v>
      </c>
      <c r="B21" t="s">
        <v>229</v>
      </c>
      <c r="C21" t="s">
        <v>101</v>
      </c>
      <c r="D21" t="s">
        <v>178</v>
      </c>
      <c r="E21">
        <v>4</v>
      </c>
      <c r="F21">
        <v>10617.74</v>
      </c>
    </row>
    <row r="22" spans="1:6" x14ac:dyDescent="0.25">
      <c r="A22" t="str">
        <f t="shared" si="0"/>
        <v>Current Plan 1|AmeriHealth New Jersey|SEH Select Gold EPO Local Value $30/$60</v>
      </c>
      <c r="B22" t="s">
        <v>229</v>
      </c>
      <c r="C22" t="s">
        <v>101</v>
      </c>
      <c r="D22" t="s">
        <v>180</v>
      </c>
      <c r="E22">
        <v>4</v>
      </c>
      <c r="F22">
        <v>11059.95</v>
      </c>
    </row>
    <row r="23" spans="1:6" x14ac:dyDescent="0.25">
      <c r="A23" t="str">
        <f t="shared" si="0"/>
        <v>Current Plan 1|Horizon|OMNIA Silver BlueCard</v>
      </c>
      <c r="B23" t="s">
        <v>229</v>
      </c>
      <c r="C23" t="s">
        <v>167</v>
      </c>
      <c r="D23" t="s">
        <v>182</v>
      </c>
      <c r="E23">
        <v>4</v>
      </c>
      <c r="F23">
        <v>11358.65</v>
      </c>
    </row>
    <row r="24" spans="1:6" x14ac:dyDescent="0.25">
      <c r="A24" t="str">
        <f t="shared" si="0"/>
        <v>Current Plan 1|Horizon|OMNIA Silver</v>
      </c>
      <c r="B24" t="s">
        <v>229</v>
      </c>
      <c r="C24" t="s">
        <v>167</v>
      </c>
      <c r="D24" t="s">
        <v>184</v>
      </c>
      <c r="E24">
        <v>4</v>
      </c>
      <c r="F24">
        <v>11362.29</v>
      </c>
    </row>
    <row r="25" spans="1:6" x14ac:dyDescent="0.25">
      <c r="A25" t="str">
        <f t="shared" si="0"/>
        <v>Current Plan 1|UnitedHealthcare Oxford|NJ G MTRO NG 30/60/1600/100 EPO 26</v>
      </c>
      <c r="B25" t="s">
        <v>229</v>
      </c>
      <c r="C25" t="s">
        <v>172</v>
      </c>
      <c r="D25" t="s">
        <v>186</v>
      </c>
      <c r="E25">
        <v>4</v>
      </c>
      <c r="F25">
        <v>11431.82</v>
      </c>
    </row>
    <row r="26" spans="1:6" x14ac:dyDescent="0.25">
      <c r="A26" t="str">
        <f t="shared" si="0"/>
        <v>Current Plan 1|AmeriHealth New Jersey|SEH Select Silver EPO HSA Regional Preferred with NY 20%/20%</v>
      </c>
      <c r="B26" t="s">
        <v>229</v>
      </c>
      <c r="C26" t="s">
        <v>101</v>
      </c>
      <c r="D26" t="s">
        <v>188</v>
      </c>
      <c r="E26">
        <v>4</v>
      </c>
      <c r="F26">
        <v>11460.47</v>
      </c>
    </row>
    <row r="27" spans="1:6" x14ac:dyDescent="0.25">
      <c r="A27" t="str">
        <f t="shared" si="0"/>
        <v>Current Plan 1|AmeriHealth New Jersey|SEH Select Gold EPO Regional Preferred with NY $30/$60</v>
      </c>
      <c r="B27" t="s">
        <v>229</v>
      </c>
      <c r="C27" t="s">
        <v>101</v>
      </c>
      <c r="D27" t="s">
        <v>190</v>
      </c>
      <c r="E27">
        <v>4</v>
      </c>
      <c r="F27">
        <v>12051.13</v>
      </c>
    </row>
    <row r="28" spans="1:6" x14ac:dyDescent="0.25">
      <c r="A28" t="str">
        <f t="shared" si="0"/>
        <v>Current Plan 1|AmeriHealth New Jersey|SEH Select Silver EPO HSA Local Value 0%/0%</v>
      </c>
      <c r="B28" t="s">
        <v>229</v>
      </c>
      <c r="C28" t="s">
        <v>101</v>
      </c>
      <c r="D28" t="s">
        <v>192</v>
      </c>
      <c r="E28">
        <v>4</v>
      </c>
      <c r="F28">
        <v>12136.62</v>
      </c>
    </row>
    <row r="29" spans="1:6" x14ac:dyDescent="0.25">
      <c r="A29" t="str">
        <f t="shared" si="0"/>
        <v>Current Plan 1|UnitedHealthcare Oxford|NJ G LBTY NG 25/50/1250/50 EPO 26</v>
      </c>
      <c r="B29" t="s">
        <v>229</v>
      </c>
      <c r="C29" t="s">
        <v>172</v>
      </c>
      <c r="D29" t="s">
        <v>194</v>
      </c>
      <c r="E29">
        <v>4</v>
      </c>
      <c r="F29">
        <v>12369.72</v>
      </c>
    </row>
    <row r="30" spans="1:6" x14ac:dyDescent="0.25">
      <c r="A30" t="str">
        <f t="shared" si="0"/>
        <v>Current Plan 1|Horizon|Advantage EPO Silver 100/50</v>
      </c>
      <c r="B30" t="s">
        <v>229</v>
      </c>
      <c r="C30" t="s">
        <v>167</v>
      </c>
      <c r="D30" t="s">
        <v>196</v>
      </c>
      <c r="E30">
        <v>4</v>
      </c>
      <c r="F30">
        <v>12621.64</v>
      </c>
    </row>
    <row r="31" spans="1:6" x14ac:dyDescent="0.25">
      <c r="A31" t="str">
        <f t="shared" si="0"/>
        <v>Current Plan 1|AmeriHealth New Jersey|SEH Select Gold EPO Local Value $10/$40</v>
      </c>
      <c r="B31" t="s">
        <v>229</v>
      </c>
      <c r="C31" t="s">
        <v>101</v>
      </c>
      <c r="D31" t="s">
        <v>198</v>
      </c>
      <c r="E31">
        <v>4</v>
      </c>
      <c r="F31">
        <v>12830.71</v>
      </c>
    </row>
    <row r="32" spans="1:6" x14ac:dyDescent="0.25">
      <c r="A32" t="str">
        <f t="shared" si="0"/>
        <v>Current Plan 1|UnitedHealthcare Oxford|NJ G LBTY GT 50/75/100 EPO ZD 26</v>
      </c>
      <c r="B32" t="s">
        <v>229</v>
      </c>
      <c r="C32" t="s">
        <v>172</v>
      </c>
      <c r="D32" t="s">
        <v>200</v>
      </c>
      <c r="E32">
        <v>4</v>
      </c>
      <c r="F32">
        <v>13291.82</v>
      </c>
    </row>
    <row r="33" spans="1:6" x14ac:dyDescent="0.25">
      <c r="A33" t="str">
        <f t="shared" si="0"/>
        <v>Current Plan 1|Horizon|OMNIA Gold</v>
      </c>
      <c r="B33" t="s">
        <v>229</v>
      </c>
      <c r="C33" t="s">
        <v>167</v>
      </c>
      <c r="D33" t="s">
        <v>202</v>
      </c>
      <c r="E33">
        <v>4</v>
      </c>
      <c r="F33">
        <v>13541.87</v>
      </c>
    </row>
    <row r="34" spans="1:6" x14ac:dyDescent="0.25">
      <c r="A34" t="str">
        <f t="shared" ref="A34:A65" si="1">B34&amp;"|"&amp;C34&amp;"|"&amp;D34</f>
        <v>Current Plan 1|Horizon|Advantage EPO Silver 100/50 BlueCard</v>
      </c>
      <c r="B34" t="s">
        <v>229</v>
      </c>
      <c r="C34" t="s">
        <v>167</v>
      </c>
      <c r="D34" t="s">
        <v>204</v>
      </c>
      <c r="E34">
        <v>4</v>
      </c>
      <c r="F34">
        <v>13781.23</v>
      </c>
    </row>
    <row r="35" spans="1:6" x14ac:dyDescent="0.25">
      <c r="A35" t="str">
        <f t="shared" si="1"/>
        <v>Current Plan 1|AmeriHealth New Jersey|SEH Select Gold EPO Regional Preferred with NY $10/$40</v>
      </c>
      <c r="B35" t="s">
        <v>229</v>
      </c>
      <c r="C35" t="s">
        <v>101</v>
      </c>
      <c r="D35" t="s">
        <v>206</v>
      </c>
      <c r="E35">
        <v>4</v>
      </c>
      <c r="F35">
        <v>13980.95</v>
      </c>
    </row>
    <row r="36" spans="1:6" x14ac:dyDescent="0.25">
      <c r="A36" t="str">
        <f t="shared" si="1"/>
        <v>Current Plan 1|Horizon|Advantage EPO Gold 100 $40/$60</v>
      </c>
      <c r="B36" t="s">
        <v>229</v>
      </c>
      <c r="C36" t="s">
        <v>167</v>
      </c>
      <c r="D36" t="s">
        <v>208</v>
      </c>
      <c r="E36">
        <v>4</v>
      </c>
      <c r="F36">
        <v>14113.77</v>
      </c>
    </row>
    <row r="37" spans="1:6" x14ac:dyDescent="0.25">
      <c r="A37" t="str">
        <f t="shared" si="1"/>
        <v>Current Plan 1|Horizon|OMNIA Platinum</v>
      </c>
      <c r="B37" t="s">
        <v>229</v>
      </c>
      <c r="C37" t="s">
        <v>167</v>
      </c>
      <c r="D37" t="s">
        <v>210</v>
      </c>
      <c r="E37">
        <v>4</v>
      </c>
      <c r="F37">
        <v>15329.9</v>
      </c>
    </row>
    <row r="38" spans="1:6" x14ac:dyDescent="0.25">
      <c r="A38" t="str">
        <f t="shared" si="1"/>
        <v>Current Plan 1|Horizon|Advantage EPO Gold 100 $25/$45</v>
      </c>
      <c r="B38" t="s">
        <v>229</v>
      </c>
      <c r="C38" t="s">
        <v>167</v>
      </c>
      <c r="D38" t="s">
        <v>212</v>
      </c>
      <c r="E38">
        <v>4</v>
      </c>
      <c r="F38">
        <v>15475.45</v>
      </c>
    </row>
    <row r="39" spans="1:6" x14ac:dyDescent="0.25">
      <c r="A39" t="str">
        <f t="shared" si="1"/>
        <v>Current Plan 1|UnitedHealthcare Oxford|NJ P LBTY NG 15/45/100 PPO 26</v>
      </c>
      <c r="B39" t="s">
        <v>229</v>
      </c>
      <c r="C39" t="s">
        <v>172</v>
      </c>
      <c r="D39" t="s">
        <v>214</v>
      </c>
      <c r="E39">
        <v>4</v>
      </c>
      <c r="F39">
        <v>15575.41</v>
      </c>
    </row>
    <row r="40" spans="1:6" x14ac:dyDescent="0.25">
      <c r="A40" t="str">
        <f t="shared" si="1"/>
        <v>Current Plan 1|Horizon|Advantage EPO Gold 100 $25/$45 BlueCard</v>
      </c>
      <c r="B40" t="s">
        <v>229</v>
      </c>
      <c r="C40" t="s">
        <v>167</v>
      </c>
      <c r="D40" t="s">
        <v>216</v>
      </c>
      <c r="E40">
        <v>4</v>
      </c>
      <c r="F40">
        <v>16912.2</v>
      </c>
    </row>
    <row r="41" spans="1:6" x14ac:dyDescent="0.25">
      <c r="A41" t="str">
        <f t="shared" si="1"/>
        <v>Current Plan 1|AmeriHealth New Jersey|SEH Gold EPO National Access with NY $10/$40</v>
      </c>
      <c r="B41" t="s">
        <v>229</v>
      </c>
      <c r="C41" t="s">
        <v>101</v>
      </c>
      <c r="D41" t="s">
        <v>218</v>
      </c>
      <c r="E41">
        <v>4</v>
      </c>
      <c r="F41">
        <v>16933.25</v>
      </c>
    </row>
    <row r="42" spans="1:6" x14ac:dyDescent="0.25">
      <c r="A42" t="str">
        <f t="shared" si="1"/>
        <v>Current Plan 2|UnitedHealthcare|SurestCE70002026RXALT2</v>
      </c>
      <c r="B42" t="s">
        <v>233</v>
      </c>
      <c r="C42" t="s">
        <v>98</v>
      </c>
      <c r="D42" t="s">
        <v>221</v>
      </c>
      <c r="E42">
        <v>4</v>
      </c>
      <c r="F42">
        <v>8106.71</v>
      </c>
    </row>
    <row r="43" spans="1:6" x14ac:dyDescent="0.25">
      <c r="A43" t="str">
        <f t="shared" si="1"/>
        <v>Current Plan 2|AmeriHealth New Jersey|SEH Select Bronze EPO Local Value $40/$85</v>
      </c>
      <c r="B43" t="s">
        <v>233</v>
      </c>
      <c r="C43" t="s">
        <v>101</v>
      </c>
      <c r="D43" t="s">
        <v>100</v>
      </c>
      <c r="E43">
        <v>4</v>
      </c>
      <c r="F43">
        <v>3986.98</v>
      </c>
    </row>
    <row r="44" spans="1:6" x14ac:dyDescent="0.25">
      <c r="A44" t="str">
        <f t="shared" si="1"/>
        <v>Current Plan 2|AmeriHealth New Jersey|SEH Select Bronze EPO Regional Preferred with NY $40/$85</v>
      </c>
      <c r="B44" t="s">
        <v>233</v>
      </c>
      <c r="C44" t="s">
        <v>101</v>
      </c>
      <c r="D44" t="s">
        <v>102</v>
      </c>
      <c r="E44">
        <v>4</v>
      </c>
      <c r="F44">
        <v>4342.67</v>
      </c>
    </row>
    <row r="45" spans="1:6" x14ac:dyDescent="0.25">
      <c r="A45" t="str">
        <f t="shared" si="1"/>
        <v>Current Plan 2|AmeriHealth New Jersey|SEH Select Bronze EPO HSA AmeriHealth Advantage LV $25/$50</v>
      </c>
      <c r="B45" t="s">
        <v>233</v>
      </c>
      <c r="C45" t="s">
        <v>101</v>
      </c>
      <c r="D45" t="s">
        <v>148</v>
      </c>
      <c r="E45">
        <v>4</v>
      </c>
      <c r="F45">
        <v>4374.37</v>
      </c>
    </row>
    <row r="46" spans="1:6" x14ac:dyDescent="0.25">
      <c r="A46" t="str">
        <f t="shared" si="1"/>
        <v>Current Plan 2|AmeriHealth New Jersey|SEH Select Bronze EPO Local Value $50/$75</v>
      </c>
      <c r="B46" t="s">
        <v>233</v>
      </c>
      <c r="C46" t="s">
        <v>101</v>
      </c>
      <c r="D46" t="s">
        <v>149</v>
      </c>
      <c r="E46">
        <v>4</v>
      </c>
      <c r="F46">
        <v>4567.17</v>
      </c>
    </row>
    <row r="47" spans="1:6" x14ac:dyDescent="0.25">
      <c r="A47" t="str">
        <f t="shared" si="1"/>
        <v>Current Plan 2|AmeriHealth New Jersey|SEH Select Bronze EPO HSA AmeriHealth Advantage RP with NY $25/$50</v>
      </c>
      <c r="B47" t="s">
        <v>233</v>
      </c>
      <c r="C47" t="s">
        <v>101</v>
      </c>
      <c r="D47" t="s">
        <v>150</v>
      </c>
      <c r="E47">
        <v>4</v>
      </c>
      <c r="F47">
        <v>4830.01</v>
      </c>
    </row>
    <row r="48" spans="1:6" x14ac:dyDescent="0.25">
      <c r="A48" t="str">
        <f t="shared" si="1"/>
        <v>Current Plan 2|AmeriHealth New Jersey|SEH Select Bronze EPO Regional Preferred with NY $50/$75</v>
      </c>
      <c r="B48" t="s">
        <v>233</v>
      </c>
      <c r="C48" t="s">
        <v>101</v>
      </c>
      <c r="D48" t="s">
        <v>151</v>
      </c>
      <c r="E48">
        <v>4</v>
      </c>
      <c r="F48">
        <v>4976.41</v>
      </c>
    </row>
    <row r="49" spans="1:6" x14ac:dyDescent="0.25">
      <c r="A49" t="str">
        <f t="shared" si="1"/>
        <v>Current Plan 2|AmeriHealth New Jersey|SEH Select Bronze EPO HSA Local Value 50%/50%</v>
      </c>
      <c r="B49" t="s">
        <v>233</v>
      </c>
      <c r="C49" t="s">
        <v>101</v>
      </c>
      <c r="D49" t="s">
        <v>152</v>
      </c>
      <c r="E49">
        <v>4</v>
      </c>
      <c r="F49">
        <v>5042.72</v>
      </c>
    </row>
    <row r="50" spans="1:6" x14ac:dyDescent="0.25">
      <c r="A50" t="str">
        <f t="shared" si="1"/>
        <v>Current Plan 2|AmeriHealth New Jersey|SEH Select Bronze EPO HSA Regional Preferred with NY 50%/50%</v>
      </c>
      <c r="B50" t="s">
        <v>233</v>
      </c>
      <c r="C50" t="s">
        <v>101</v>
      </c>
      <c r="D50" t="s">
        <v>154</v>
      </c>
      <c r="E50">
        <v>4</v>
      </c>
      <c r="F50">
        <v>5494.36</v>
      </c>
    </row>
    <row r="51" spans="1:6" x14ac:dyDescent="0.25">
      <c r="A51" t="str">
        <f t="shared" si="1"/>
        <v>Current Plan 2|AmeriHealth New Jersey|SEH Select Silver EPO Local Value $40/$75</v>
      </c>
      <c r="B51" t="s">
        <v>233</v>
      </c>
      <c r="C51" t="s">
        <v>101</v>
      </c>
      <c r="D51" t="s">
        <v>156</v>
      </c>
      <c r="E51">
        <v>4</v>
      </c>
      <c r="F51">
        <v>6188.21</v>
      </c>
    </row>
    <row r="52" spans="1:6" x14ac:dyDescent="0.25">
      <c r="A52" t="str">
        <f t="shared" si="1"/>
        <v>Current Plan 2|AmeriHealth New Jersey|SEH Select Bronze EPO HSA Local Value 0%/0%</v>
      </c>
      <c r="B52" t="s">
        <v>233</v>
      </c>
      <c r="C52" t="s">
        <v>101</v>
      </c>
      <c r="D52" t="s">
        <v>158</v>
      </c>
      <c r="E52">
        <v>4</v>
      </c>
      <c r="F52">
        <v>6405.55</v>
      </c>
    </row>
    <row r="53" spans="1:6" x14ac:dyDescent="0.25">
      <c r="A53" t="str">
        <f t="shared" si="1"/>
        <v>Current Plan 2|AmeriHealth New Jersey|SEH Select Silver EPO AmeriHealth Hospital Advantage $50/$75</v>
      </c>
      <c r="B53" t="s">
        <v>233</v>
      </c>
      <c r="C53" t="s">
        <v>101</v>
      </c>
      <c r="D53" t="s">
        <v>160</v>
      </c>
      <c r="E53">
        <v>4</v>
      </c>
      <c r="F53">
        <v>6641.07</v>
      </c>
    </row>
    <row r="54" spans="1:6" x14ac:dyDescent="0.25">
      <c r="A54" t="str">
        <f t="shared" si="1"/>
        <v>Current Plan 2|AmeriHealth New Jersey|SEH Select Silver EPO Regional Preferred with NY $40/$75</v>
      </c>
      <c r="B54" t="s">
        <v>233</v>
      </c>
      <c r="C54" t="s">
        <v>101</v>
      </c>
      <c r="D54" t="s">
        <v>162</v>
      </c>
      <c r="E54">
        <v>4</v>
      </c>
      <c r="F54">
        <v>6742.78</v>
      </c>
    </row>
    <row r="55" spans="1:6" x14ac:dyDescent="0.25">
      <c r="A55" t="str">
        <f t="shared" si="1"/>
        <v>Current Plan 2|AmeriHealth New Jersey|SEH Select Bronze EPO HSA Regional Preferred with NY 0%/0%</v>
      </c>
      <c r="B55" t="s">
        <v>233</v>
      </c>
      <c r="C55" t="s">
        <v>101</v>
      </c>
      <c r="D55" t="s">
        <v>164</v>
      </c>
      <c r="E55">
        <v>4</v>
      </c>
      <c r="F55">
        <v>6979.38</v>
      </c>
    </row>
    <row r="56" spans="1:6" x14ac:dyDescent="0.25">
      <c r="A56" t="str">
        <f t="shared" si="1"/>
        <v>Current Plan 2|Horizon|OMNIA Bronze</v>
      </c>
      <c r="B56" t="s">
        <v>233</v>
      </c>
      <c r="C56" t="s">
        <v>167</v>
      </c>
      <c r="D56" t="s">
        <v>166</v>
      </c>
      <c r="E56">
        <v>4</v>
      </c>
      <c r="F56">
        <v>7985.28</v>
      </c>
    </row>
    <row r="57" spans="1:6" x14ac:dyDescent="0.25">
      <c r="A57" t="str">
        <f t="shared" si="1"/>
        <v>Current Plan 2|AmeriHealth New Jersey|SEH Select Gold EPO AmeriHealth Advantage LV $20/$40</v>
      </c>
      <c r="B57" t="s">
        <v>233</v>
      </c>
      <c r="C57" t="s">
        <v>101</v>
      </c>
      <c r="D57" t="s">
        <v>169</v>
      </c>
      <c r="E57">
        <v>4</v>
      </c>
      <c r="F57">
        <v>8517.02</v>
      </c>
    </row>
    <row r="58" spans="1:6" x14ac:dyDescent="0.25">
      <c r="A58" t="str">
        <f t="shared" si="1"/>
        <v>Current Plan 2|UnitedHealthcare Oxford|NJ S MTRO NG 50/75/2500/50 EPO 26</v>
      </c>
      <c r="B58" t="s">
        <v>233</v>
      </c>
      <c r="C58" t="s">
        <v>172</v>
      </c>
      <c r="D58" t="s">
        <v>171</v>
      </c>
      <c r="E58">
        <v>4</v>
      </c>
      <c r="F58">
        <v>9071.0300000000007</v>
      </c>
    </row>
    <row r="59" spans="1:6" x14ac:dyDescent="0.25">
      <c r="A59" t="str">
        <f t="shared" si="1"/>
        <v>Current Plan 2|AmeriHealth New Jersey|SEH Select Silver EPO HSA Local Value 0%/0% $6,000</v>
      </c>
      <c r="B59" t="s">
        <v>233</v>
      </c>
      <c r="C59" t="s">
        <v>101</v>
      </c>
      <c r="D59" t="s">
        <v>174</v>
      </c>
      <c r="E59">
        <v>4</v>
      </c>
      <c r="F59">
        <v>9160.27</v>
      </c>
    </row>
    <row r="60" spans="1:6" x14ac:dyDescent="0.25">
      <c r="A60" t="str">
        <f t="shared" si="1"/>
        <v>Current Plan 2|AmeriHealth New Jersey|SEH Select Silver EPO HSA Local Value 20%/20%</v>
      </c>
      <c r="B60" t="s">
        <v>233</v>
      </c>
      <c r="C60" t="s">
        <v>101</v>
      </c>
      <c r="D60" t="s">
        <v>176</v>
      </c>
      <c r="E60">
        <v>4</v>
      </c>
      <c r="F60">
        <v>9283.85</v>
      </c>
    </row>
    <row r="61" spans="1:6" x14ac:dyDescent="0.25">
      <c r="A61" t="str">
        <f t="shared" si="1"/>
        <v>Current Plan 2|AmeriHealth New Jersey|SEH Select Gold EPO AmeriHealth Advantage RP with NY $20/$40</v>
      </c>
      <c r="B61" t="s">
        <v>233</v>
      </c>
      <c r="C61" t="s">
        <v>101</v>
      </c>
      <c r="D61" t="s">
        <v>178</v>
      </c>
      <c r="E61">
        <v>4</v>
      </c>
      <c r="F61">
        <v>9371.59</v>
      </c>
    </row>
    <row r="62" spans="1:6" x14ac:dyDescent="0.25">
      <c r="A62" t="str">
        <f t="shared" si="1"/>
        <v>Current Plan 2|AmeriHealth New Jersey|SEH Select Gold EPO Local Value $30/$60</v>
      </c>
      <c r="B62" t="s">
        <v>233</v>
      </c>
      <c r="C62" t="s">
        <v>101</v>
      </c>
      <c r="D62" t="s">
        <v>180</v>
      </c>
      <c r="E62">
        <v>4</v>
      </c>
      <c r="F62">
        <v>9761.9</v>
      </c>
    </row>
    <row r="63" spans="1:6" x14ac:dyDescent="0.25">
      <c r="A63" t="str">
        <f t="shared" si="1"/>
        <v>Current Plan 2|Horizon|OMNIA Silver BlueCard</v>
      </c>
      <c r="B63" t="s">
        <v>233</v>
      </c>
      <c r="C63" t="s">
        <v>167</v>
      </c>
      <c r="D63" t="s">
        <v>182</v>
      </c>
      <c r="E63">
        <v>4</v>
      </c>
      <c r="F63">
        <v>10025.549999999999</v>
      </c>
    </row>
    <row r="64" spans="1:6" x14ac:dyDescent="0.25">
      <c r="A64" t="str">
        <f t="shared" si="1"/>
        <v>Current Plan 2|Horizon|OMNIA Silver</v>
      </c>
      <c r="B64" t="s">
        <v>233</v>
      </c>
      <c r="C64" t="s">
        <v>167</v>
      </c>
      <c r="D64" t="s">
        <v>184</v>
      </c>
      <c r="E64">
        <v>4</v>
      </c>
      <c r="F64">
        <v>10028.76</v>
      </c>
    </row>
    <row r="65" spans="1:6" x14ac:dyDescent="0.25">
      <c r="A65" t="str">
        <f t="shared" si="1"/>
        <v>Current Plan 2|UnitedHealthcare Oxford|NJ G MTRO NG 30/60/1600/100 EPO 26</v>
      </c>
      <c r="B65" t="s">
        <v>233</v>
      </c>
      <c r="C65" t="s">
        <v>172</v>
      </c>
      <c r="D65" t="s">
        <v>186</v>
      </c>
      <c r="E65">
        <v>4</v>
      </c>
      <c r="F65">
        <v>10090.129999999999</v>
      </c>
    </row>
    <row r="66" spans="1:6" x14ac:dyDescent="0.25">
      <c r="A66" t="str">
        <f t="shared" ref="A66:A97" si="2">B66&amp;"|"&amp;C66&amp;"|"&amp;D66</f>
        <v>Current Plan 2|AmeriHealth New Jersey|SEH Select Silver EPO HSA Regional Preferred with NY 20%/20%</v>
      </c>
      <c r="B66" t="s">
        <v>233</v>
      </c>
      <c r="C66" t="s">
        <v>101</v>
      </c>
      <c r="D66" t="s">
        <v>188</v>
      </c>
      <c r="E66">
        <v>4</v>
      </c>
      <c r="F66">
        <v>10115.4</v>
      </c>
    </row>
    <row r="67" spans="1:6" x14ac:dyDescent="0.25">
      <c r="A67" t="str">
        <f t="shared" si="2"/>
        <v>Current Plan 2|AmeriHealth New Jersey|SEH Select Gold EPO Regional Preferred with NY $30/$60</v>
      </c>
      <c r="B67" t="s">
        <v>233</v>
      </c>
      <c r="C67" t="s">
        <v>101</v>
      </c>
      <c r="D67" t="s">
        <v>190</v>
      </c>
      <c r="E67">
        <v>4</v>
      </c>
      <c r="F67">
        <v>10636.75</v>
      </c>
    </row>
    <row r="68" spans="1:6" x14ac:dyDescent="0.25">
      <c r="A68" t="str">
        <f t="shared" si="2"/>
        <v>Current Plan 2|AmeriHealth New Jersey|SEH Select Silver EPO HSA Local Value 0%/0%</v>
      </c>
      <c r="B68" t="s">
        <v>233</v>
      </c>
      <c r="C68" t="s">
        <v>101</v>
      </c>
      <c r="D68" t="s">
        <v>192</v>
      </c>
      <c r="E68">
        <v>4</v>
      </c>
      <c r="F68">
        <v>10712.2</v>
      </c>
    </row>
    <row r="69" spans="1:6" x14ac:dyDescent="0.25">
      <c r="A69" t="str">
        <f t="shared" si="2"/>
        <v>Current Plan 2|UnitedHealthcare Oxford|NJ G LBTY NG 25/50/1250/50 EPO 26</v>
      </c>
      <c r="B69" t="s">
        <v>233</v>
      </c>
      <c r="C69" t="s">
        <v>172</v>
      </c>
      <c r="D69" t="s">
        <v>194</v>
      </c>
      <c r="E69">
        <v>4</v>
      </c>
      <c r="F69">
        <v>10917.95</v>
      </c>
    </row>
    <row r="70" spans="1:6" x14ac:dyDescent="0.25">
      <c r="A70" t="str">
        <f t="shared" si="2"/>
        <v>Current Plan 2|Horizon|Advantage EPO Silver 100/50</v>
      </c>
      <c r="B70" t="s">
        <v>233</v>
      </c>
      <c r="C70" t="s">
        <v>167</v>
      </c>
      <c r="D70" t="s">
        <v>196</v>
      </c>
      <c r="E70">
        <v>4</v>
      </c>
      <c r="F70">
        <v>11140.3</v>
      </c>
    </row>
    <row r="71" spans="1:6" x14ac:dyDescent="0.25">
      <c r="A71" t="str">
        <f t="shared" si="2"/>
        <v>Current Plan 2|AmeriHealth New Jersey|SEH Select Gold EPO Local Value $10/$40</v>
      </c>
      <c r="B71" t="s">
        <v>233</v>
      </c>
      <c r="C71" t="s">
        <v>101</v>
      </c>
      <c r="D71" t="s">
        <v>198</v>
      </c>
      <c r="E71">
        <v>4</v>
      </c>
      <c r="F71">
        <v>11324.84</v>
      </c>
    </row>
    <row r="72" spans="1:6" x14ac:dyDescent="0.25">
      <c r="A72" t="str">
        <f t="shared" si="2"/>
        <v>Current Plan 2|UnitedHealthcare Oxford|NJ G LBTY GT 50/75/100 EPO ZD 26</v>
      </c>
      <c r="B72" t="s">
        <v>233</v>
      </c>
      <c r="C72" t="s">
        <v>172</v>
      </c>
      <c r="D72" t="s">
        <v>200</v>
      </c>
      <c r="E72">
        <v>4</v>
      </c>
      <c r="F72">
        <v>11731.83</v>
      </c>
    </row>
    <row r="73" spans="1:6" x14ac:dyDescent="0.25">
      <c r="A73" t="str">
        <f t="shared" si="2"/>
        <v>Current Plan 2|Horizon|OMNIA Gold</v>
      </c>
      <c r="B73" t="s">
        <v>233</v>
      </c>
      <c r="C73" t="s">
        <v>167</v>
      </c>
      <c r="D73" t="s">
        <v>202</v>
      </c>
      <c r="E73">
        <v>4</v>
      </c>
      <c r="F73">
        <v>11952.53</v>
      </c>
    </row>
    <row r="74" spans="1:6" x14ac:dyDescent="0.25">
      <c r="A74" t="str">
        <f t="shared" si="2"/>
        <v>Current Plan 2|Horizon|Advantage EPO Silver 100/50 BlueCard</v>
      </c>
      <c r="B74" t="s">
        <v>233</v>
      </c>
      <c r="C74" t="s">
        <v>167</v>
      </c>
      <c r="D74" t="s">
        <v>204</v>
      </c>
      <c r="E74">
        <v>4</v>
      </c>
      <c r="F74">
        <v>12163.81</v>
      </c>
    </row>
    <row r="75" spans="1:6" x14ac:dyDescent="0.25">
      <c r="A75" t="str">
        <f t="shared" si="2"/>
        <v>Current Plan 2|AmeriHealth New Jersey|SEH Select Gold EPO Regional Preferred with NY $10/$40</v>
      </c>
      <c r="B75" t="s">
        <v>233</v>
      </c>
      <c r="C75" t="s">
        <v>101</v>
      </c>
      <c r="D75" t="s">
        <v>206</v>
      </c>
      <c r="E75">
        <v>4</v>
      </c>
      <c r="F75">
        <v>12340.08</v>
      </c>
    </row>
    <row r="76" spans="1:6" x14ac:dyDescent="0.25">
      <c r="A76" t="str">
        <f t="shared" si="2"/>
        <v>Current Plan 2|Horizon|Advantage EPO Gold 100 $40/$60</v>
      </c>
      <c r="B76" t="s">
        <v>233</v>
      </c>
      <c r="C76" t="s">
        <v>167</v>
      </c>
      <c r="D76" t="s">
        <v>208</v>
      </c>
      <c r="E76">
        <v>4</v>
      </c>
      <c r="F76">
        <v>12457.31</v>
      </c>
    </row>
    <row r="77" spans="1:6" x14ac:dyDescent="0.25">
      <c r="A77" t="str">
        <f t="shared" si="2"/>
        <v>Current Plan 2|Horizon|OMNIA Platinum</v>
      </c>
      <c r="B77" t="s">
        <v>233</v>
      </c>
      <c r="C77" t="s">
        <v>167</v>
      </c>
      <c r="D77" t="s">
        <v>210</v>
      </c>
      <c r="E77">
        <v>4</v>
      </c>
      <c r="F77">
        <v>13530.72</v>
      </c>
    </row>
    <row r="78" spans="1:6" x14ac:dyDescent="0.25">
      <c r="A78" t="str">
        <f t="shared" si="2"/>
        <v>Current Plan 2|Horizon|Advantage EPO Gold 100 $25/$45</v>
      </c>
      <c r="B78" t="s">
        <v>233</v>
      </c>
      <c r="C78" t="s">
        <v>167</v>
      </c>
      <c r="D78" t="s">
        <v>212</v>
      </c>
      <c r="E78">
        <v>4</v>
      </c>
      <c r="F78">
        <v>13659.17</v>
      </c>
    </row>
    <row r="79" spans="1:6" x14ac:dyDescent="0.25">
      <c r="A79" t="str">
        <f t="shared" si="2"/>
        <v>Current Plan 2|UnitedHealthcare Oxford|NJ P LBTY NG 15/45/100 PPO 26</v>
      </c>
      <c r="B79" t="s">
        <v>233</v>
      </c>
      <c r="C79" t="s">
        <v>172</v>
      </c>
      <c r="D79" t="s">
        <v>214</v>
      </c>
      <c r="E79">
        <v>4</v>
      </c>
      <c r="F79">
        <v>13747.41</v>
      </c>
    </row>
    <row r="80" spans="1:6" x14ac:dyDescent="0.25">
      <c r="A80" t="str">
        <f t="shared" si="2"/>
        <v>Current Plan 2|Horizon|Advantage EPO Gold 100 $25/$45 BlueCard</v>
      </c>
      <c r="B80" t="s">
        <v>233</v>
      </c>
      <c r="C80" t="s">
        <v>167</v>
      </c>
      <c r="D80" t="s">
        <v>216</v>
      </c>
      <c r="E80">
        <v>4</v>
      </c>
      <c r="F80">
        <v>14927.31</v>
      </c>
    </row>
    <row r="81" spans="1:6" x14ac:dyDescent="0.25">
      <c r="A81" t="str">
        <f t="shared" si="2"/>
        <v>Current Plan 2|AmeriHealth New Jersey|SEH Gold EPO National Access with NY $10/$40</v>
      </c>
      <c r="B81" t="s">
        <v>233</v>
      </c>
      <c r="C81" t="s">
        <v>101</v>
      </c>
      <c r="D81" t="s">
        <v>218</v>
      </c>
      <c r="E81">
        <v>4</v>
      </c>
      <c r="F81">
        <v>14945.88</v>
      </c>
    </row>
    <row r="82" spans="1:6" x14ac:dyDescent="0.25">
      <c r="A82" t="str">
        <f t="shared" si="2"/>
        <v>Current Plan 3|UnitedHealthcare|SurestCF90002026RXALT3</v>
      </c>
      <c r="B82" t="s">
        <v>237</v>
      </c>
      <c r="C82" t="s">
        <v>98</v>
      </c>
      <c r="D82" t="s">
        <v>223</v>
      </c>
      <c r="E82">
        <v>10</v>
      </c>
      <c r="F82">
        <v>15975.56</v>
      </c>
    </row>
    <row r="83" spans="1:6" x14ac:dyDescent="0.25">
      <c r="A83" t="str">
        <f t="shared" si="2"/>
        <v>Current Plan 3|AmeriHealth New Jersey|SEH Select Bronze EPO Local Value $40/$85</v>
      </c>
      <c r="B83" t="s">
        <v>237</v>
      </c>
      <c r="C83" t="s">
        <v>101</v>
      </c>
      <c r="D83" t="s">
        <v>100</v>
      </c>
      <c r="E83">
        <v>10</v>
      </c>
      <c r="F83">
        <v>6840.58</v>
      </c>
    </row>
    <row r="84" spans="1:6" x14ac:dyDescent="0.25">
      <c r="A84" t="str">
        <f t="shared" si="2"/>
        <v>Current Plan 3|AmeriHealth New Jersey|SEH Select Bronze EPO Regional Preferred with NY $40/$85</v>
      </c>
      <c r="B84" t="s">
        <v>237</v>
      </c>
      <c r="C84" t="s">
        <v>101</v>
      </c>
      <c r="D84" t="s">
        <v>102</v>
      </c>
      <c r="E84">
        <v>10</v>
      </c>
      <c r="F84">
        <v>7450.85</v>
      </c>
    </row>
    <row r="85" spans="1:6" x14ac:dyDescent="0.25">
      <c r="A85" t="str">
        <f t="shared" si="2"/>
        <v>Current Plan 3|AmeriHealth New Jersey|SEH Select Bronze EPO HSA AmeriHealth Advantage LV $25/$50</v>
      </c>
      <c r="B85" t="s">
        <v>237</v>
      </c>
      <c r="C85" t="s">
        <v>101</v>
      </c>
      <c r="D85" t="s">
        <v>148</v>
      </c>
      <c r="E85">
        <v>10</v>
      </c>
      <c r="F85">
        <v>7505.22</v>
      </c>
    </row>
    <row r="86" spans="1:6" x14ac:dyDescent="0.25">
      <c r="A86" t="str">
        <f t="shared" si="2"/>
        <v>Current Plan 3|AmeriHealth New Jersey|SEH Select Bronze EPO Local Value $50/$75</v>
      </c>
      <c r="B86" t="s">
        <v>237</v>
      </c>
      <c r="C86" t="s">
        <v>101</v>
      </c>
      <c r="D86" t="s">
        <v>149</v>
      </c>
      <c r="E86">
        <v>10</v>
      </c>
      <c r="F86">
        <v>7836.01</v>
      </c>
    </row>
    <row r="87" spans="1:6" x14ac:dyDescent="0.25">
      <c r="A87" t="str">
        <f t="shared" si="2"/>
        <v>Current Plan 3|AmeriHealth New Jersey|SEH Select Bronze EPO HSA AmeriHealth Advantage RP with NY $25/$50</v>
      </c>
      <c r="B87" t="s">
        <v>237</v>
      </c>
      <c r="C87" t="s">
        <v>101</v>
      </c>
      <c r="D87" t="s">
        <v>150</v>
      </c>
      <c r="E87">
        <v>10</v>
      </c>
      <c r="F87">
        <v>8287.01</v>
      </c>
    </row>
    <row r="88" spans="1:6" x14ac:dyDescent="0.25">
      <c r="A88" t="str">
        <f t="shared" si="2"/>
        <v>Current Plan 3|AmeriHealth New Jersey|SEH Select Bronze EPO Regional Preferred with NY $50/$75</v>
      </c>
      <c r="B88" t="s">
        <v>237</v>
      </c>
      <c r="C88" t="s">
        <v>101</v>
      </c>
      <c r="D88" t="s">
        <v>151</v>
      </c>
      <c r="E88">
        <v>10</v>
      </c>
      <c r="F88">
        <v>8538.2099999999991</v>
      </c>
    </row>
    <row r="89" spans="1:6" x14ac:dyDescent="0.25">
      <c r="A89" t="str">
        <f t="shared" si="2"/>
        <v>Current Plan 3|AmeriHealth New Jersey|SEH Select Bronze EPO HSA Local Value 50%/50%</v>
      </c>
      <c r="B89" t="s">
        <v>237</v>
      </c>
      <c r="C89" t="s">
        <v>101</v>
      </c>
      <c r="D89" t="s">
        <v>152</v>
      </c>
      <c r="E89">
        <v>10</v>
      </c>
      <c r="F89">
        <v>8651.9599999999991</v>
      </c>
    </row>
    <row r="90" spans="1:6" x14ac:dyDescent="0.25">
      <c r="A90" t="str">
        <f t="shared" si="2"/>
        <v>Current Plan 3|AmeriHealth New Jersey|SEH Select Bronze EPO HSA Regional Preferred with NY 50%/50%</v>
      </c>
      <c r="B90" t="s">
        <v>237</v>
      </c>
      <c r="C90" t="s">
        <v>101</v>
      </c>
      <c r="D90" t="s">
        <v>154</v>
      </c>
      <c r="E90">
        <v>10</v>
      </c>
      <c r="F90">
        <v>9426.83</v>
      </c>
    </row>
    <row r="91" spans="1:6" x14ac:dyDescent="0.25">
      <c r="A91" t="str">
        <f t="shared" si="2"/>
        <v>Current Plan 3|AmeriHealth New Jersey|SEH Select Silver EPO Local Value $40/$75</v>
      </c>
      <c r="B91" t="s">
        <v>237</v>
      </c>
      <c r="C91" t="s">
        <v>101</v>
      </c>
      <c r="D91" t="s">
        <v>156</v>
      </c>
      <c r="E91">
        <v>10</v>
      </c>
      <c r="F91">
        <v>10617.28</v>
      </c>
    </row>
    <row r="92" spans="1:6" x14ac:dyDescent="0.25">
      <c r="A92" t="str">
        <f t="shared" si="2"/>
        <v>Current Plan 3|AmeriHealth New Jersey|SEH Select Bronze EPO HSA Local Value 0%/0%</v>
      </c>
      <c r="B92" t="s">
        <v>237</v>
      </c>
      <c r="C92" t="s">
        <v>101</v>
      </c>
      <c r="D92" t="s">
        <v>158</v>
      </c>
      <c r="E92">
        <v>10</v>
      </c>
      <c r="F92">
        <v>10990.17</v>
      </c>
    </row>
    <row r="93" spans="1:6" x14ac:dyDescent="0.25">
      <c r="A93" t="str">
        <f t="shared" si="2"/>
        <v>Current Plan 3|AmeriHealth New Jersey|SEH Select Silver EPO AmeriHealth Hospital Advantage $50/$75</v>
      </c>
      <c r="B93" t="s">
        <v>237</v>
      </c>
      <c r="C93" t="s">
        <v>101</v>
      </c>
      <c r="D93" t="s">
        <v>160</v>
      </c>
      <c r="E93">
        <v>10</v>
      </c>
      <c r="F93">
        <v>11394.28</v>
      </c>
    </row>
    <row r="94" spans="1:6" x14ac:dyDescent="0.25">
      <c r="A94" t="str">
        <f t="shared" si="2"/>
        <v>Current Plan 3|AmeriHealth New Jersey|SEH Select Silver EPO Regional Preferred with NY $40/$75</v>
      </c>
      <c r="B94" t="s">
        <v>237</v>
      </c>
      <c r="C94" t="s">
        <v>101</v>
      </c>
      <c r="D94" t="s">
        <v>162</v>
      </c>
      <c r="E94">
        <v>10</v>
      </c>
      <c r="F94">
        <v>11568.78</v>
      </c>
    </row>
    <row r="95" spans="1:6" x14ac:dyDescent="0.25">
      <c r="A95" t="str">
        <f t="shared" si="2"/>
        <v>Current Plan 3|AmeriHealth New Jersey|SEH Select Bronze EPO HSA Regional Preferred with NY 0%/0%</v>
      </c>
      <c r="B95" t="s">
        <v>237</v>
      </c>
      <c r="C95" t="s">
        <v>101</v>
      </c>
      <c r="D95" t="s">
        <v>164</v>
      </c>
      <c r="E95">
        <v>10</v>
      </c>
      <c r="F95">
        <v>11974.72</v>
      </c>
    </row>
    <row r="96" spans="1:6" x14ac:dyDescent="0.25">
      <c r="A96" t="str">
        <f t="shared" si="2"/>
        <v>Current Plan 3|Horizon|OMNIA Bronze</v>
      </c>
      <c r="B96" t="s">
        <v>237</v>
      </c>
      <c r="C96" t="s">
        <v>167</v>
      </c>
      <c r="D96" t="s">
        <v>166</v>
      </c>
      <c r="E96">
        <v>10</v>
      </c>
      <c r="F96">
        <v>13700.57</v>
      </c>
    </row>
    <row r="97" spans="1:6" x14ac:dyDescent="0.25">
      <c r="A97" t="str">
        <f t="shared" si="2"/>
        <v>Current Plan 3|AmeriHealth New Jersey|SEH Select Gold EPO AmeriHealth Advantage LV $20/$40</v>
      </c>
      <c r="B97" t="s">
        <v>237</v>
      </c>
      <c r="C97" t="s">
        <v>101</v>
      </c>
      <c r="D97" t="s">
        <v>169</v>
      </c>
      <c r="E97">
        <v>10</v>
      </c>
      <c r="F97">
        <v>14612.92</v>
      </c>
    </row>
    <row r="98" spans="1:6" x14ac:dyDescent="0.25">
      <c r="A98" t="str">
        <f t="shared" ref="A98:A121" si="3">B98&amp;"|"&amp;C98&amp;"|"&amp;D98</f>
        <v>Current Plan 3|UnitedHealthcare Oxford|NJ S MTRO NG 50/75/2500/50 EPO 26</v>
      </c>
      <c r="B98" t="s">
        <v>237</v>
      </c>
      <c r="C98" t="s">
        <v>172</v>
      </c>
      <c r="D98" t="s">
        <v>171</v>
      </c>
      <c r="E98">
        <v>10</v>
      </c>
      <c r="F98">
        <v>15563.46</v>
      </c>
    </row>
    <row r="99" spans="1:6" x14ac:dyDescent="0.25">
      <c r="A99" t="str">
        <f t="shared" si="3"/>
        <v>Current Plan 3|AmeriHealth New Jersey|SEH Select Silver EPO HSA Local Value 0%/0% $6,000</v>
      </c>
      <c r="B99" t="s">
        <v>237</v>
      </c>
      <c r="C99" t="s">
        <v>101</v>
      </c>
      <c r="D99" t="s">
        <v>174</v>
      </c>
      <c r="E99">
        <v>10</v>
      </c>
      <c r="F99">
        <v>15716.56</v>
      </c>
    </row>
    <row r="100" spans="1:6" x14ac:dyDescent="0.25">
      <c r="A100" t="str">
        <f t="shared" si="3"/>
        <v>Current Plan 3|AmeriHealth New Jersey|SEH Select Silver EPO HSA Local Value 20%/20%</v>
      </c>
      <c r="B100" t="s">
        <v>237</v>
      </c>
      <c r="C100" t="s">
        <v>101</v>
      </c>
      <c r="D100" t="s">
        <v>176</v>
      </c>
      <c r="E100">
        <v>10</v>
      </c>
      <c r="F100">
        <v>15928.56</v>
      </c>
    </row>
    <row r="101" spans="1:6" x14ac:dyDescent="0.25">
      <c r="A101" t="str">
        <f t="shared" si="3"/>
        <v>Current Plan 3|AmeriHealth New Jersey|SEH Select Gold EPO AmeriHealth Advantage RP with NY $20/$40</v>
      </c>
      <c r="B101" t="s">
        <v>237</v>
      </c>
      <c r="C101" t="s">
        <v>101</v>
      </c>
      <c r="D101" t="s">
        <v>178</v>
      </c>
      <c r="E101">
        <v>10</v>
      </c>
      <c r="F101">
        <v>16079.1</v>
      </c>
    </row>
    <row r="102" spans="1:6" x14ac:dyDescent="0.25">
      <c r="A102" t="str">
        <f t="shared" si="3"/>
        <v>Current Plan 3|AmeriHealth New Jersey|SEH Select Gold EPO Local Value $30/$60</v>
      </c>
      <c r="B102" t="s">
        <v>237</v>
      </c>
      <c r="C102" t="s">
        <v>101</v>
      </c>
      <c r="D102" t="s">
        <v>180</v>
      </c>
      <c r="E102">
        <v>10</v>
      </c>
      <c r="F102">
        <v>16748.79</v>
      </c>
    </row>
    <row r="103" spans="1:6" x14ac:dyDescent="0.25">
      <c r="A103" t="str">
        <f t="shared" si="3"/>
        <v>Current Plan 3|Horizon|OMNIA Silver BlueCard</v>
      </c>
      <c r="B103" t="s">
        <v>237</v>
      </c>
      <c r="C103" t="s">
        <v>167</v>
      </c>
      <c r="D103" t="s">
        <v>182</v>
      </c>
      <c r="E103">
        <v>10</v>
      </c>
      <c r="F103">
        <v>17201.13</v>
      </c>
    </row>
    <row r="104" spans="1:6" x14ac:dyDescent="0.25">
      <c r="A104" t="str">
        <f t="shared" si="3"/>
        <v>Current Plan 3|Horizon|OMNIA Silver</v>
      </c>
      <c r="B104" t="s">
        <v>237</v>
      </c>
      <c r="C104" t="s">
        <v>167</v>
      </c>
      <c r="D104" t="s">
        <v>184</v>
      </c>
      <c r="E104">
        <v>10</v>
      </c>
      <c r="F104">
        <v>17206.650000000001</v>
      </c>
    </row>
    <row r="105" spans="1:6" x14ac:dyDescent="0.25">
      <c r="A105" t="str">
        <f t="shared" si="3"/>
        <v>Current Plan 3|UnitedHealthcare Oxford|NJ G MTRO NG 30/60/1600/100 EPO 26</v>
      </c>
      <c r="B105" t="s">
        <v>237</v>
      </c>
      <c r="C105" t="s">
        <v>172</v>
      </c>
      <c r="D105" t="s">
        <v>186</v>
      </c>
      <c r="E105">
        <v>10</v>
      </c>
      <c r="F105">
        <v>17311.919999999998</v>
      </c>
    </row>
    <row r="106" spans="1:6" x14ac:dyDescent="0.25">
      <c r="A106" t="str">
        <f t="shared" si="3"/>
        <v>Current Plan 3|AmeriHealth New Jersey|SEH Select Silver EPO HSA Regional Preferred with NY 20%/20%</v>
      </c>
      <c r="B106" t="s">
        <v>237</v>
      </c>
      <c r="C106" t="s">
        <v>101</v>
      </c>
      <c r="D106" t="s">
        <v>188</v>
      </c>
      <c r="E106">
        <v>10</v>
      </c>
      <c r="F106">
        <v>17355.3</v>
      </c>
    </row>
    <row r="107" spans="1:6" x14ac:dyDescent="0.25">
      <c r="A107" t="str">
        <f t="shared" si="3"/>
        <v>Current Plan 3|AmeriHealth New Jersey|SEH Select Gold EPO Regional Preferred with NY $30/$60</v>
      </c>
      <c r="B107" t="s">
        <v>237</v>
      </c>
      <c r="C107" t="s">
        <v>101</v>
      </c>
      <c r="D107" t="s">
        <v>190</v>
      </c>
      <c r="E107">
        <v>10</v>
      </c>
      <c r="F107">
        <v>18249.78</v>
      </c>
    </row>
    <row r="108" spans="1:6" x14ac:dyDescent="0.25">
      <c r="A108" t="str">
        <f t="shared" si="3"/>
        <v>Current Plan 3|AmeriHealth New Jersey|SEH Select Silver EPO HSA Local Value 0%/0%</v>
      </c>
      <c r="B108" t="s">
        <v>237</v>
      </c>
      <c r="C108" t="s">
        <v>101</v>
      </c>
      <c r="D108" t="s">
        <v>192</v>
      </c>
      <c r="E108">
        <v>10</v>
      </c>
      <c r="F108">
        <v>18379.240000000002</v>
      </c>
    </row>
    <row r="109" spans="1:6" x14ac:dyDescent="0.25">
      <c r="A109" t="str">
        <f t="shared" si="3"/>
        <v>Current Plan 3|UnitedHealthcare Oxford|NJ G LBTY NG 25/50/1250/50 EPO 26</v>
      </c>
      <c r="B109" t="s">
        <v>237</v>
      </c>
      <c r="C109" t="s">
        <v>172</v>
      </c>
      <c r="D109" t="s">
        <v>194</v>
      </c>
      <c r="E109">
        <v>10</v>
      </c>
      <c r="F109">
        <v>18732.259999999998</v>
      </c>
    </row>
    <row r="110" spans="1:6" x14ac:dyDescent="0.25">
      <c r="A110" t="str">
        <f t="shared" si="3"/>
        <v>Current Plan 3|Horizon|Advantage EPO Silver 100/50</v>
      </c>
      <c r="B110" t="s">
        <v>237</v>
      </c>
      <c r="C110" t="s">
        <v>167</v>
      </c>
      <c r="D110" t="s">
        <v>196</v>
      </c>
      <c r="E110">
        <v>10</v>
      </c>
      <c r="F110">
        <v>19113.759999999998</v>
      </c>
    </row>
    <row r="111" spans="1:6" x14ac:dyDescent="0.25">
      <c r="A111" t="str">
        <f t="shared" si="3"/>
        <v>Current Plan 3|AmeriHealth New Jersey|SEH Select Gold EPO Local Value $10/$40</v>
      </c>
      <c r="B111" t="s">
        <v>237</v>
      </c>
      <c r="C111" t="s">
        <v>101</v>
      </c>
      <c r="D111" t="s">
        <v>198</v>
      </c>
      <c r="E111">
        <v>10</v>
      </c>
      <c r="F111">
        <v>19430.38</v>
      </c>
    </row>
    <row r="112" spans="1:6" x14ac:dyDescent="0.25">
      <c r="A112" t="str">
        <f t="shared" si="3"/>
        <v>Current Plan 3|UnitedHealthcare Oxford|NJ G LBTY GT 50/75/100 EPO ZD 26</v>
      </c>
      <c r="B112" t="s">
        <v>237</v>
      </c>
      <c r="C112" t="s">
        <v>172</v>
      </c>
      <c r="D112" t="s">
        <v>200</v>
      </c>
      <c r="E112">
        <v>10</v>
      </c>
      <c r="F112">
        <v>20128.66</v>
      </c>
    </row>
    <row r="113" spans="1:6" x14ac:dyDescent="0.25">
      <c r="A113" t="str">
        <f t="shared" si="3"/>
        <v>Current Plan 3|Horizon|OMNIA Gold</v>
      </c>
      <c r="B113" t="s">
        <v>237</v>
      </c>
      <c r="C113" t="s">
        <v>167</v>
      </c>
      <c r="D113" t="s">
        <v>202</v>
      </c>
      <c r="E113">
        <v>10</v>
      </c>
      <c r="F113">
        <v>20507.29</v>
      </c>
    </row>
    <row r="114" spans="1:6" x14ac:dyDescent="0.25">
      <c r="A114" t="str">
        <f t="shared" si="3"/>
        <v>Current Plan 3|Horizon|Advantage EPO Silver 100/50 BlueCard</v>
      </c>
      <c r="B114" t="s">
        <v>237</v>
      </c>
      <c r="C114" t="s">
        <v>167</v>
      </c>
      <c r="D114" t="s">
        <v>204</v>
      </c>
      <c r="E114">
        <v>10</v>
      </c>
      <c r="F114">
        <v>20869.78</v>
      </c>
    </row>
    <row r="115" spans="1:6" x14ac:dyDescent="0.25">
      <c r="A115" t="str">
        <f t="shared" si="3"/>
        <v>Current Plan 3|AmeriHealth New Jersey|SEH Select Gold EPO Regional Preferred with NY $10/$40</v>
      </c>
      <c r="B115" t="s">
        <v>237</v>
      </c>
      <c r="C115" t="s">
        <v>101</v>
      </c>
      <c r="D115" t="s">
        <v>206</v>
      </c>
      <c r="E115">
        <v>10</v>
      </c>
      <c r="F115">
        <v>21172.19</v>
      </c>
    </row>
    <row r="116" spans="1:6" x14ac:dyDescent="0.25">
      <c r="A116" t="str">
        <f t="shared" si="3"/>
        <v>Current Plan 3|Horizon|Advantage EPO Gold 100 $40/$60</v>
      </c>
      <c r="B116" t="s">
        <v>237</v>
      </c>
      <c r="C116" t="s">
        <v>167</v>
      </c>
      <c r="D116" t="s">
        <v>208</v>
      </c>
      <c r="E116">
        <v>10</v>
      </c>
      <c r="F116">
        <v>21373.38</v>
      </c>
    </row>
    <row r="117" spans="1:6" x14ac:dyDescent="0.25">
      <c r="A117" t="str">
        <f t="shared" si="3"/>
        <v>Current Plan 3|Horizon|OMNIA Platinum</v>
      </c>
      <c r="B117" t="s">
        <v>237</v>
      </c>
      <c r="C117" t="s">
        <v>167</v>
      </c>
      <c r="D117" t="s">
        <v>210</v>
      </c>
      <c r="E117">
        <v>10</v>
      </c>
      <c r="F117">
        <v>23215.01</v>
      </c>
    </row>
    <row r="118" spans="1:6" x14ac:dyDescent="0.25">
      <c r="A118" t="str">
        <f t="shared" si="3"/>
        <v>Current Plan 3|Horizon|Advantage EPO Gold 100 $25/$45</v>
      </c>
      <c r="B118" t="s">
        <v>237</v>
      </c>
      <c r="C118" t="s">
        <v>167</v>
      </c>
      <c r="D118" t="s">
        <v>212</v>
      </c>
      <c r="E118">
        <v>10</v>
      </c>
      <c r="F118">
        <v>23435.45</v>
      </c>
    </row>
    <row r="119" spans="1:6" x14ac:dyDescent="0.25">
      <c r="A119" t="str">
        <f t="shared" si="3"/>
        <v>Current Plan 3|UnitedHealthcare Oxford|NJ P LBTY NG 15/45/100 PPO 26</v>
      </c>
      <c r="B119" t="s">
        <v>237</v>
      </c>
      <c r="C119" t="s">
        <v>172</v>
      </c>
      <c r="D119" t="s">
        <v>214</v>
      </c>
      <c r="E119">
        <v>10</v>
      </c>
      <c r="F119">
        <v>23586.84</v>
      </c>
    </row>
    <row r="120" spans="1:6" x14ac:dyDescent="0.25">
      <c r="A120" t="str">
        <f t="shared" si="3"/>
        <v>Current Plan 3|Horizon|Advantage EPO Gold 100 $25/$45 BlueCard</v>
      </c>
      <c r="B120" t="s">
        <v>237</v>
      </c>
      <c r="C120" t="s">
        <v>167</v>
      </c>
      <c r="D120" t="s">
        <v>216</v>
      </c>
      <c r="E120">
        <v>10</v>
      </c>
      <c r="F120">
        <v>25611.23</v>
      </c>
    </row>
    <row r="121" spans="1:6" x14ac:dyDescent="0.25">
      <c r="A121" t="str">
        <f t="shared" si="3"/>
        <v>Current Plan 3|AmeriHealth New Jersey|SEH Gold EPO National Access with NY $10/$40</v>
      </c>
      <c r="B121" t="s">
        <v>237</v>
      </c>
      <c r="C121" t="s">
        <v>101</v>
      </c>
      <c r="D121" t="s">
        <v>218</v>
      </c>
      <c r="E121">
        <v>10</v>
      </c>
      <c r="F121">
        <v>25643.11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97</vt:i4>
      </vt:variant>
      <vt:variant>
        <vt:lpstr>Named Ranges</vt:lpstr>
      </vt:variant>
      <vt:variant>
        <vt:i4>100</vt:i4>
      </vt:variant>
    </vt:vector>
  </HeadingPairs>
  <TitlesOfParts>
    <vt:vector size="197" baseType="lpstr">
      <vt:lpstr>Coversheet</vt:lpstr>
      <vt:lpstr>Summary</vt:lpstr>
      <vt:lpstr>Medical Current Plan 1~a</vt:lpstr>
      <vt:lpstr>Medical Current Plan 1~b</vt:lpstr>
      <vt:lpstr>Medical Current Plan 1~c</vt:lpstr>
      <vt:lpstr>Medical Current Plan 1~d</vt:lpstr>
      <vt:lpstr>Medical Current Plan 1~e</vt:lpstr>
      <vt:lpstr>Medical Current Plan 1~f</vt:lpstr>
      <vt:lpstr>Medical Current Plan 1~g</vt:lpstr>
      <vt:lpstr>Medical Current Plan 1~h</vt:lpstr>
      <vt:lpstr>Medical Current Plan 1~i</vt:lpstr>
      <vt:lpstr>Medical Current Plan 1~j</vt:lpstr>
      <vt:lpstr>Medical Current Plan 1~k</vt:lpstr>
      <vt:lpstr>Medical Current Plan 1~l</vt:lpstr>
      <vt:lpstr>Medical Current Plan 1~m</vt:lpstr>
      <vt:lpstr>Medical Current Plan 1~n</vt:lpstr>
      <vt:lpstr>Medical Current Plan 1~o</vt:lpstr>
      <vt:lpstr>Medical Current Plan 1~p</vt:lpstr>
      <vt:lpstr>Medical Current Plan 1~q</vt:lpstr>
      <vt:lpstr>Medical Current Plan 1~r</vt:lpstr>
      <vt:lpstr>Medical Current Plan 1~s</vt:lpstr>
      <vt:lpstr>Medical Current Plan 1~t</vt:lpstr>
      <vt:lpstr>Medical Current Plan 2~a</vt:lpstr>
      <vt:lpstr>Medical Current Plan 2~b</vt:lpstr>
      <vt:lpstr>Medical Current Plan 2~c</vt:lpstr>
      <vt:lpstr>Medical Current Plan 2~d</vt:lpstr>
      <vt:lpstr>Medical Current Plan 2~e</vt:lpstr>
      <vt:lpstr>Medical Current Plan 2~f</vt:lpstr>
      <vt:lpstr>Medical Current Plan 2~g</vt:lpstr>
      <vt:lpstr>Medical Current Plan 2~h</vt:lpstr>
      <vt:lpstr>Medical Current Plan 2~i</vt:lpstr>
      <vt:lpstr>Medical Current Plan 2~j</vt:lpstr>
      <vt:lpstr>Medical Current Plan 2~k</vt:lpstr>
      <vt:lpstr>Medical Current Plan 2~l</vt:lpstr>
      <vt:lpstr>Medical Current Plan 2~m</vt:lpstr>
      <vt:lpstr>Medical Current Plan 2~n</vt:lpstr>
      <vt:lpstr>Medical Current Plan 2~o</vt:lpstr>
      <vt:lpstr>Medical Current Plan 2~p</vt:lpstr>
      <vt:lpstr>Medical Current Plan 2~q</vt:lpstr>
      <vt:lpstr>Medical Current Plan 2~r</vt:lpstr>
      <vt:lpstr>Medical Current Plan 2~s</vt:lpstr>
      <vt:lpstr>Medical Current Plan 2~t</vt:lpstr>
      <vt:lpstr>Medical Current Plan 3~a</vt:lpstr>
      <vt:lpstr>Medical Current Plan 3~b</vt:lpstr>
      <vt:lpstr>Medical Current Plan 3~c</vt:lpstr>
      <vt:lpstr>Medical Current Plan 3~d</vt:lpstr>
      <vt:lpstr>Medical Current Plan 3~e</vt:lpstr>
      <vt:lpstr>Medical Current Plan 3~f</vt:lpstr>
      <vt:lpstr>Medical Current Plan 3~g</vt:lpstr>
      <vt:lpstr>Medical Current Plan 3~h</vt:lpstr>
      <vt:lpstr>Medical Current Plan 3~i</vt:lpstr>
      <vt:lpstr>Medical Current Plan 3~j</vt:lpstr>
      <vt:lpstr>Medical Current Plan 3~k</vt:lpstr>
      <vt:lpstr>Medical Current Plan 3~l</vt:lpstr>
      <vt:lpstr>Medical Current Plan 3~m</vt:lpstr>
      <vt:lpstr>Medical Current Plan 3~n</vt:lpstr>
      <vt:lpstr>Medical Current Plan 3~o</vt:lpstr>
      <vt:lpstr>Medical Current Plan 3~p</vt:lpstr>
      <vt:lpstr>Medical Current Plan 3~q</vt:lpstr>
      <vt:lpstr>Medical Current Plan 3~r</vt:lpstr>
      <vt:lpstr>Medical Current Plan 3~s</vt:lpstr>
      <vt:lpstr>Medical Current Plan 3~t</vt:lpstr>
      <vt:lpstr>Census Details Current Plan ~1a</vt:lpstr>
      <vt:lpstr>Census Details Current Plan ~1b</vt:lpstr>
      <vt:lpstr>Census Details Current Plan ~1c</vt:lpstr>
      <vt:lpstr>Census Details Current Plan ~1d</vt:lpstr>
      <vt:lpstr>Census Details Current Plan ~1e</vt:lpstr>
      <vt:lpstr>Census Details Current Plan ~1f</vt:lpstr>
      <vt:lpstr>Census Details Current Plan ~1g</vt:lpstr>
      <vt:lpstr>Census Details Current Plan ~1h</vt:lpstr>
      <vt:lpstr>Census Details Current Plan ~1i</vt:lpstr>
      <vt:lpstr>Census Details Current Plan ~1j</vt:lpstr>
      <vt:lpstr>Census Details Current Plan ~1k</vt:lpstr>
      <vt:lpstr>Census Details Current Plan ~2a</vt:lpstr>
      <vt:lpstr>Census Details Current Plan ~2b</vt:lpstr>
      <vt:lpstr>Census Details Current Plan ~2c</vt:lpstr>
      <vt:lpstr>Census Details Current Plan ~2d</vt:lpstr>
      <vt:lpstr>Census Details Current Plan ~2e</vt:lpstr>
      <vt:lpstr>Census Details Current Plan ~2f</vt:lpstr>
      <vt:lpstr>Census Details Current Plan ~2g</vt:lpstr>
      <vt:lpstr>Census Details Current Plan ~2h</vt:lpstr>
      <vt:lpstr>Census Details Current Plan ~2i</vt:lpstr>
      <vt:lpstr>Census Details Current Plan ~2j</vt:lpstr>
      <vt:lpstr>Census Details Current Plan ~2k</vt:lpstr>
      <vt:lpstr>Census Details Current Plan ~3a</vt:lpstr>
      <vt:lpstr>Census Details Current Plan ~3b</vt:lpstr>
      <vt:lpstr>Census Details Current Plan ~3c</vt:lpstr>
      <vt:lpstr>Census Details Current Plan ~3d</vt:lpstr>
      <vt:lpstr>Census Details Current Plan ~3e</vt:lpstr>
      <vt:lpstr>Census Details Current Plan ~3f</vt:lpstr>
      <vt:lpstr>Census Details Current Plan ~3g</vt:lpstr>
      <vt:lpstr>Census Details Current Plan ~3h</vt:lpstr>
      <vt:lpstr>Census Details Current Plan ~3i</vt:lpstr>
      <vt:lpstr>Census Details Current Plan ~3j</vt:lpstr>
      <vt:lpstr>Census Details Current Plan ~3k</vt:lpstr>
      <vt:lpstr>Rate Table</vt:lpstr>
      <vt:lpstr>Multi Option Summary Data</vt:lpstr>
      <vt:lpstr>effective_date</vt:lpstr>
      <vt:lpstr>group_name</vt:lpstr>
      <vt:lpstr>member_count</vt:lpstr>
      <vt:lpstr>prepared_date</vt:lpstr>
      <vt:lpstr>'Census Details Current Plan ~1a'!Print_Area</vt:lpstr>
      <vt:lpstr>'Census Details Current Plan ~1b'!Print_Area</vt:lpstr>
      <vt:lpstr>'Census Details Current Plan ~1c'!Print_Area</vt:lpstr>
      <vt:lpstr>'Census Details Current Plan ~1d'!Print_Area</vt:lpstr>
      <vt:lpstr>'Census Details Current Plan ~1e'!Print_Area</vt:lpstr>
      <vt:lpstr>'Census Details Current Plan ~1f'!Print_Area</vt:lpstr>
      <vt:lpstr>'Census Details Current Plan ~1g'!Print_Area</vt:lpstr>
      <vt:lpstr>'Census Details Current Plan ~1h'!Print_Area</vt:lpstr>
      <vt:lpstr>'Census Details Current Plan ~1i'!Print_Area</vt:lpstr>
      <vt:lpstr>'Census Details Current Plan ~1j'!Print_Area</vt:lpstr>
      <vt:lpstr>'Census Details Current Plan ~1k'!Print_Area</vt:lpstr>
      <vt:lpstr>'Census Details Current Plan ~2a'!Print_Area</vt:lpstr>
      <vt:lpstr>'Census Details Current Plan ~2b'!Print_Area</vt:lpstr>
      <vt:lpstr>'Census Details Current Plan ~2c'!Print_Area</vt:lpstr>
      <vt:lpstr>'Census Details Current Plan ~2d'!Print_Area</vt:lpstr>
      <vt:lpstr>'Census Details Current Plan ~2e'!Print_Area</vt:lpstr>
      <vt:lpstr>'Census Details Current Plan ~2f'!Print_Area</vt:lpstr>
      <vt:lpstr>'Census Details Current Plan ~2g'!Print_Area</vt:lpstr>
      <vt:lpstr>'Census Details Current Plan ~2h'!Print_Area</vt:lpstr>
      <vt:lpstr>'Census Details Current Plan ~2i'!Print_Area</vt:lpstr>
      <vt:lpstr>'Census Details Current Plan ~2j'!Print_Area</vt:lpstr>
      <vt:lpstr>'Census Details Current Plan ~2k'!Print_Area</vt:lpstr>
      <vt:lpstr>'Census Details Current Plan ~3a'!Print_Area</vt:lpstr>
      <vt:lpstr>'Census Details Current Plan ~3b'!Print_Area</vt:lpstr>
      <vt:lpstr>'Census Details Current Plan ~3c'!Print_Area</vt:lpstr>
      <vt:lpstr>'Census Details Current Plan ~3d'!Print_Area</vt:lpstr>
      <vt:lpstr>'Census Details Current Plan ~3e'!Print_Area</vt:lpstr>
      <vt:lpstr>'Census Details Current Plan ~3f'!Print_Area</vt:lpstr>
      <vt:lpstr>'Census Details Current Plan ~3g'!Print_Area</vt:lpstr>
      <vt:lpstr>'Census Details Current Plan ~3h'!Print_Area</vt:lpstr>
      <vt:lpstr>'Census Details Current Plan ~3i'!Print_Area</vt:lpstr>
      <vt:lpstr>'Census Details Current Plan ~3j'!Print_Area</vt:lpstr>
      <vt:lpstr>'Census Details Current Plan ~3k'!Print_Area</vt:lpstr>
      <vt:lpstr>Coversheet!Print_Area</vt:lpstr>
      <vt:lpstr>'Medical Current Plan 1~a'!Print_Area</vt:lpstr>
      <vt:lpstr>'Medical Current Plan 1~b'!Print_Area</vt:lpstr>
      <vt:lpstr>'Medical Current Plan 1~c'!Print_Area</vt:lpstr>
      <vt:lpstr>'Medical Current Plan 1~d'!Print_Area</vt:lpstr>
      <vt:lpstr>'Medical Current Plan 1~e'!Print_Area</vt:lpstr>
      <vt:lpstr>'Medical Current Plan 1~f'!Print_Area</vt:lpstr>
      <vt:lpstr>'Medical Current Plan 1~g'!Print_Area</vt:lpstr>
      <vt:lpstr>'Medical Current Plan 1~h'!Print_Area</vt:lpstr>
      <vt:lpstr>'Medical Current Plan 1~i'!Print_Area</vt:lpstr>
      <vt:lpstr>'Medical Current Plan 1~j'!Print_Area</vt:lpstr>
      <vt:lpstr>'Medical Current Plan 1~k'!Print_Area</vt:lpstr>
      <vt:lpstr>'Medical Current Plan 1~l'!Print_Area</vt:lpstr>
      <vt:lpstr>'Medical Current Plan 1~m'!Print_Area</vt:lpstr>
      <vt:lpstr>'Medical Current Plan 1~n'!Print_Area</vt:lpstr>
      <vt:lpstr>'Medical Current Plan 1~o'!Print_Area</vt:lpstr>
      <vt:lpstr>'Medical Current Plan 1~p'!Print_Area</vt:lpstr>
      <vt:lpstr>'Medical Current Plan 1~q'!Print_Area</vt:lpstr>
      <vt:lpstr>'Medical Current Plan 1~r'!Print_Area</vt:lpstr>
      <vt:lpstr>'Medical Current Plan 1~s'!Print_Area</vt:lpstr>
      <vt:lpstr>'Medical Current Plan 1~t'!Print_Area</vt:lpstr>
      <vt:lpstr>'Medical Current Plan 2~a'!Print_Area</vt:lpstr>
      <vt:lpstr>'Medical Current Plan 2~b'!Print_Area</vt:lpstr>
      <vt:lpstr>'Medical Current Plan 2~c'!Print_Area</vt:lpstr>
      <vt:lpstr>'Medical Current Plan 2~d'!Print_Area</vt:lpstr>
      <vt:lpstr>'Medical Current Plan 2~e'!Print_Area</vt:lpstr>
      <vt:lpstr>'Medical Current Plan 2~f'!Print_Area</vt:lpstr>
      <vt:lpstr>'Medical Current Plan 2~g'!Print_Area</vt:lpstr>
      <vt:lpstr>'Medical Current Plan 2~h'!Print_Area</vt:lpstr>
      <vt:lpstr>'Medical Current Plan 2~i'!Print_Area</vt:lpstr>
      <vt:lpstr>'Medical Current Plan 2~j'!Print_Area</vt:lpstr>
      <vt:lpstr>'Medical Current Plan 2~k'!Print_Area</vt:lpstr>
      <vt:lpstr>'Medical Current Plan 2~l'!Print_Area</vt:lpstr>
      <vt:lpstr>'Medical Current Plan 2~m'!Print_Area</vt:lpstr>
      <vt:lpstr>'Medical Current Plan 2~n'!Print_Area</vt:lpstr>
      <vt:lpstr>'Medical Current Plan 2~o'!Print_Area</vt:lpstr>
      <vt:lpstr>'Medical Current Plan 2~p'!Print_Area</vt:lpstr>
      <vt:lpstr>'Medical Current Plan 2~q'!Print_Area</vt:lpstr>
      <vt:lpstr>'Medical Current Plan 2~r'!Print_Area</vt:lpstr>
      <vt:lpstr>'Medical Current Plan 2~s'!Print_Area</vt:lpstr>
      <vt:lpstr>'Medical Current Plan 2~t'!Print_Area</vt:lpstr>
      <vt:lpstr>'Medical Current Plan 3~a'!Print_Area</vt:lpstr>
      <vt:lpstr>'Medical Current Plan 3~b'!Print_Area</vt:lpstr>
      <vt:lpstr>'Medical Current Plan 3~c'!Print_Area</vt:lpstr>
      <vt:lpstr>'Medical Current Plan 3~d'!Print_Area</vt:lpstr>
      <vt:lpstr>'Medical Current Plan 3~e'!Print_Area</vt:lpstr>
      <vt:lpstr>'Medical Current Plan 3~f'!Print_Area</vt:lpstr>
      <vt:lpstr>'Medical Current Plan 3~g'!Print_Area</vt:lpstr>
      <vt:lpstr>'Medical Current Plan 3~h'!Print_Area</vt:lpstr>
      <vt:lpstr>'Medical Current Plan 3~i'!Print_Area</vt:lpstr>
      <vt:lpstr>'Medical Current Plan 3~j'!Print_Area</vt:lpstr>
      <vt:lpstr>'Medical Current Plan 3~k'!Print_Area</vt:lpstr>
      <vt:lpstr>'Medical Current Plan 3~l'!Print_Area</vt:lpstr>
      <vt:lpstr>'Medical Current Plan 3~m'!Print_Area</vt:lpstr>
      <vt:lpstr>'Medical Current Plan 3~n'!Print_Area</vt:lpstr>
      <vt:lpstr>'Medical Current Plan 3~o'!Print_Area</vt:lpstr>
      <vt:lpstr>'Medical Current Plan 3~p'!Print_Area</vt:lpstr>
      <vt:lpstr>'Medical Current Plan 3~q'!Print_Area</vt:lpstr>
      <vt:lpstr>'Medical Current Plan 3~r'!Print_Area</vt:lpstr>
      <vt:lpstr>'Medical Current Plan 3~s'!Print_Area</vt:lpstr>
      <vt:lpstr>'Medical Current Plan 3~t'!Print_Area</vt:lpstr>
      <vt:lpstr>'Rate Table'!Print_Area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Dana Sensi</cp:lastModifiedBy>
  <cp:lastPrinted>2022-09-09T22:03:48Z</cp:lastPrinted>
  <dcterms:created xsi:type="dcterms:W3CDTF">2019-04-19T18:20:17Z</dcterms:created>
  <dcterms:modified xsi:type="dcterms:W3CDTF">2026-04-23T19:43:40Z</dcterms:modified>
</cp:coreProperties>
</file>